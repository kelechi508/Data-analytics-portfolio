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mc:AlternateContent xmlns:mc="http://schemas.openxmlformats.org/markup-compatibility/2006">
    <mc:Choice Requires="x15">
      <x15ac:absPath xmlns:x15ac="http://schemas.microsoft.com/office/spreadsheetml/2010/11/ac" url="/Users/macbook/Documents/"/>
    </mc:Choice>
  </mc:AlternateContent>
  <xr:revisionPtr revIDLastSave="0" documentId="8_{AEF1FD52-6ACC-CB46-8661-1A7B14738D5B}" xr6:coauthVersionLast="47" xr6:coauthVersionMax="47" xr10:uidLastSave="{00000000-0000-0000-0000-000000000000}"/>
  <bookViews>
    <workbookView xWindow="360" yWindow="500" windowWidth="28040" windowHeight="16020" activeTab="1" xr2:uid="{632DCE86-D0D2-054F-BCF4-57A1CC13D1B7}"/>
  </bookViews>
  <sheets>
    <sheet name="Pivot Tables" sheetId="2" r:id="rId1"/>
    <sheet name="Dataset" sheetId="1" r:id="rId2"/>
    <sheet name="Pivot Charts and Dashboard" sheetId="3" r:id="rId3"/>
  </sheets>
  <definedNames>
    <definedName name="Slicer_Category">#N/A</definedName>
    <definedName name="Slicer_Quarter">#N/A</definedName>
    <definedName name="Slicer_Sales_Rep">#N/A</definedName>
  </definedNames>
  <calcPr calcId="18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3" l="1"/>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2" i="1"/>
</calcChain>
</file>

<file path=xl/sharedStrings.xml><?xml version="1.0" encoding="utf-8"?>
<sst xmlns="http://schemas.openxmlformats.org/spreadsheetml/2006/main" count="216" uniqueCount="52">
  <si>
    <t>Order_ID</t>
  </si>
  <si>
    <t>Order_Date</t>
  </si>
  <si>
    <t>Region</t>
  </si>
  <si>
    <t>Sales_Rep</t>
  </si>
  <si>
    <t>Category</t>
  </si>
  <si>
    <t>Units_Sold</t>
  </si>
  <si>
    <t>Unit_Price</t>
  </si>
  <si>
    <t>Total_Sales</t>
  </si>
  <si>
    <t>Lagos</t>
  </si>
  <si>
    <t>Tunde</t>
  </si>
  <si>
    <t>Electronics</t>
  </si>
  <si>
    <t>Abuja</t>
  </si>
  <si>
    <t>Aisha</t>
  </si>
  <si>
    <t>Fashion</t>
  </si>
  <si>
    <t>Port Harcourt</t>
  </si>
  <si>
    <t>Emeka</t>
  </si>
  <si>
    <t>Groceries</t>
  </si>
  <si>
    <t>Ibadan</t>
  </si>
  <si>
    <t>Chioma</t>
  </si>
  <si>
    <t>Home</t>
  </si>
  <si>
    <t>Kelvin</t>
  </si>
  <si>
    <t>Zainab</t>
  </si>
  <si>
    <t>Year</t>
  </si>
  <si>
    <t>Month</t>
  </si>
  <si>
    <t>Month Name</t>
  </si>
  <si>
    <t>Quarter</t>
  </si>
  <si>
    <t>Weekday Name</t>
  </si>
  <si>
    <t>Row Labels</t>
  </si>
  <si>
    <t>Grand Total</t>
  </si>
  <si>
    <t>January</t>
  </si>
  <si>
    <t>February</t>
  </si>
  <si>
    <t>March</t>
  </si>
  <si>
    <t>April</t>
  </si>
  <si>
    <t>May</t>
  </si>
  <si>
    <t>June</t>
  </si>
  <si>
    <t>July</t>
  </si>
  <si>
    <t>August</t>
  </si>
  <si>
    <t>September</t>
  </si>
  <si>
    <t>October</t>
  </si>
  <si>
    <t>November</t>
  </si>
  <si>
    <t>December</t>
  </si>
  <si>
    <t>Column Labels</t>
  </si>
  <si>
    <t>Q1</t>
  </si>
  <si>
    <t>Q2</t>
  </si>
  <si>
    <t>Q3</t>
  </si>
  <si>
    <t>Q4</t>
  </si>
  <si>
    <t xml:space="preserve"> Total_Sales</t>
  </si>
  <si>
    <t>Total Revenue</t>
  </si>
  <si>
    <t>Total Units Sold</t>
  </si>
  <si>
    <t>Peak Month</t>
  </si>
  <si>
    <t xml:space="preserve">Revenue Increase by Year </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</si>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</sst>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7" x14ac:knownFonts="1">
    <font>
      <sz val="12"/>
      <color theme="1"/>
      <name val="Corbel"/>
      <family val="2"/>
      <scheme val="minor"/>
    </font>
    <font>
      <b/>
      <sz val="12"/>
      <color theme="1"/>
      <name val="Corbel"/>
      <scheme val="minor"/>
    </font>
    <font>
      <b/>
      <sz val="36"/>
      <color theme="1"/>
      <name val="Aptos Narrow (Body)"/>
    </font>
    <font>
      <b/>
      <sz val="20"/>
      <color theme="1"/>
      <name val="Aptos Narrow (Body)"/>
    </font>
    <font>
      <b/>
      <sz val="20"/>
      <color theme="1"/>
      <name val="Corbel"/>
      <scheme val="minor"/>
    </font>
    <font>
      <b/>
      <sz val="21"/>
      <color theme="1"/>
      <name val="Corbel (Body)"/>
    </font>
    <font>
      <sz val="21"/>
      <color theme="1"/>
      <name val="Corbel"/>
      <family val="2"/>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2" tint="0.59999389629810485"/>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3" borderId="0" xfId="0" applyFill="1" applyAlignment="1">
      <alignment horizontal="center"/>
    </xf>
    <xf numFmtId="0" fontId="2" fillId="3" borderId="0" xfId="0" applyFont="1" applyFill="1" applyAlignment="1">
      <alignment horizontal="center"/>
    </xf>
    <xf numFmtId="0" fontId="3" fillId="3" borderId="0" xfId="0" applyFont="1" applyFill="1" applyAlignment="1">
      <alignment horizontal="center"/>
    </xf>
    <xf numFmtId="0" fontId="0" fillId="2" borderId="0" xfId="0" applyFill="1" applyAlignment="1"/>
    <xf numFmtId="0" fontId="4" fillId="3" borderId="0" xfId="0" applyFont="1" applyFill="1" applyAlignment="1">
      <alignment horizontal="center"/>
    </xf>
    <xf numFmtId="165" fontId="4" fillId="3" borderId="0" xfId="0" applyNumberFormat="1" applyFont="1" applyFill="1" applyAlignment="1">
      <alignment horizontal="center"/>
    </xf>
    <xf numFmtId="10" fontId="4" fillId="3" borderId="0" xfId="0" applyNumberFormat="1" applyFont="1" applyFill="1" applyAlignment="1">
      <alignment horizontal="center"/>
    </xf>
    <xf numFmtId="0" fontId="2" fillId="2" borderId="0" xfId="0" applyFont="1" applyFill="1" applyAlignment="1"/>
    <xf numFmtId="0" fontId="5" fillId="3" borderId="0" xfId="0" applyFont="1" applyFill="1" applyAlignment="1">
      <alignment horizontal="center"/>
    </xf>
    <xf numFmtId="0" fontId="6" fillId="3" borderId="0" xfId="0" applyFont="1" applyFill="1" applyAlignment="1">
      <alignment horizontal="center"/>
    </xf>
    <xf numFmtId="0" fontId="1" fillId="4" borderId="0" xfId="0" applyFont="1" applyFill="1"/>
  </cellXfs>
  <cellStyles count="1">
    <cellStyle name="Normal" xfId="0" builtinId="0"/>
  </cellStyles>
  <dxfs count="3">
    <dxf>
      <font>
        <b/>
        <i val="0"/>
        <strike val="0"/>
        <condense val="0"/>
        <extend val="0"/>
        <outline val="0"/>
        <shadow val="0"/>
        <u val="none"/>
        <vertAlign val="baseline"/>
        <sz val="12"/>
        <color theme="1"/>
        <name val="Corbel"/>
        <scheme val="minor"/>
      </font>
      <fill>
        <patternFill patternType="solid">
          <fgColor indexed="64"/>
          <bgColor theme="2" tint="0.59999389629810485"/>
        </patternFill>
      </fil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Trend &amp; Time Based Performance Analysis .xlsx]Pivot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2944785276073622E-2"/>
              <c:y val="-3.8674033149171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dLbls>
            <c:dLbl>
              <c:idx val="0"/>
              <c:layout>
                <c:manualLayout>
                  <c:x val="-4.2944785276073622E-2"/>
                  <c:y val="-3.8674033149171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05-5B40-9F0F-9688C48749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Tables'!$A$4:$A$16</c:f>
              <c:strCache>
                <c:ptCount val="12"/>
                <c:pt idx="0">
                  <c:v>December</c:v>
                </c:pt>
                <c:pt idx="1">
                  <c:v>March</c:v>
                </c:pt>
                <c:pt idx="2">
                  <c:v>June</c:v>
                </c:pt>
                <c:pt idx="3">
                  <c:v>October</c:v>
                </c:pt>
                <c:pt idx="4">
                  <c:v>July</c:v>
                </c:pt>
                <c:pt idx="5">
                  <c:v>November</c:v>
                </c:pt>
                <c:pt idx="6">
                  <c:v>January</c:v>
                </c:pt>
                <c:pt idx="7">
                  <c:v>September</c:v>
                </c:pt>
                <c:pt idx="8">
                  <c:v>April</c:v>
                </c:pt>
                <c:pt idx="9">
                  <c:v>August</c:v>
                </c:pt>
                <c:pt idx="10">
                  <c:v>February</c:v>
                </c:pt>
                <c:pt idx="11">
                  <c:v>May</c:v>
                </c:pt>
              </c:strCache>
            </c:strRef>
          </c:cat>
          <c:val>
            <c:numRef>
              <c:f>'Pivot Tables'!$B$4:$B$16</c:f>
              <c:numCache>
                <c:formatCode>"₦"#,##0</c:formatCode>
                <c:ptCount val="12"/>
                <c:pt idx="0">
                  <c:v>1920000</c:v>
                </c:pt>
                <c:pt idx="1">
                  <c:v>1392000</c:v>
                </c:pt>
                <c:pt idx="2">
                  <c:v>1350000</c:v>
                </c:pt>
                <c:pt idx="3">
                  <c:v>1222000</c:v>
                </c:pt>
                <c:pt idx="4">
                  <c:v>1090000</c:v>
                </c:pt>
                <c:pt idx="5">
                  <c:v>1070000</c:v>
                </c:pt>
                <c:pt idx="6">
                  <c:v>1031000</c:v>
                </c:pt>
                <c:pt idx="7">
                  <c:v>879000</c:v>
                </c:pt>
                <c:pt idx="8">
                  <c:v>714000</c:v>
                </c:pt>
                <c:pt idx="9">
                  <c:v>643200</c:v>
                </c:pt>
                <c:pt idx="10">
                  <c:v>610100</c:v>
                </c:pt>
                <c:pt idx="11">
                  <c:v>458400</c:v>
                </c:pt>
              </c:numCache>
            </c:numRef>
          </c:val>
          <c:smooth val="0"/>
          <c:extLst>
            <c:ext xmlns:c16="http://schemas.microsoft.com/office/drawing/2014/chart" uri="{C3380CC4-5D6E-409C-BE32-E72D297353CC}">
              <c16:uniqueId val="{00000000-8605-5B40-9F0F-9688C4874954}"/>
            </c:ext>
          </c:extLst>
        </c:ser>
        <c:dLbls>
          <c:showLegendKey val="0"/>
          <c:showVal val="0"/>
          <c:showCatName val="0"/>
          <c:showSerName val="0"/>
          <c:showPercent val="0"/>
          <c:showBubbleSize val="0"/>
        </c:dLbls>
        <c:smooth val="0"/>
        <c:axId val="1424930288"/>
        <c:axId val="1424932000"/>
      </c:lineChart>
      <c:catAx>
        <c:axId val="142493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4932000"/>
        <c:crosses val="autoZero"/>
        <c:auto val="1"/>
        <c:lblAlgn val="ctr"/>
        <c:lblOffset val="100"/>
        <c:noMultiLvlLbl val="0"/>
      </c:catAx>
      <c:valAx>
        <c:axId val="142493200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493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Trend &amp; Time Based Performance Analysis .xlsx]Pivot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Year</a:t>
            </a:r>
            <a:r>
              <a:rPr lang="en-GB" b="1" baseline="0"/>
              <a:t> Comparison</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Tables'!$N$3:$N$4</c:f>
              <c:strCache>
                <c:ptCount val="1"/>
                <c:pt idx="0">
                  <c:v>Q4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Tables'!$M$5:$M$7</c:f>
              <c:strCache>
                <c:ptCount val="2"/>
                <c:pt idx="0">
                  <c:v>2023</c:v>
                </c:pt>
                <c:pt idx="1">
                  <c:v>2024</c:v>
                </c:pt>
              </c:strCache>
            </c:strRef>
          </c:cat>
          <c:val>
            <c:numRef>
              <c:f>'Pivot Tables'!$N$5:$N$7</c:f>
              <c:numCache>
                <c:formatCode>"₦"#,##0</c:formatCode>
                <c:ptCount val="2"/>
                <c:pt idx="0">
                  <c:v>2018000</c:v>
                </c:pt>
                <c:pt idx="1">
                  <c:v>2194000</c:v>
                </c:pt>
              </c:numCache>
            </c:numRef>
          </c:val>
          <c:extLst>
            <c:ext xmlns:c16="http://schemas.microsoft.com/office/drawing/2014/chart" uri="{C3380CC4-5D6E-409C-BE32-E72D297353CC}">
              <c16:uniqueId val="{00000000-0F38-1A40-9A5D-CD5CF5AA23AE}"/>
            </c:ext>
          </c:extLst>
        </c:ser>
        <c:ser>
          <c:idx val="1"/>
          <c:order val="1"/>
          <c:tx>
            <c:strRef>
              <c:f>'Pivot Tables'!$O$3:$O$4</c:f>
              <c:strCache>
                <c:ptCount val="1"/>
                <c:pt idx="0">
                  <c:v>Q1</c:v>
                </c:pt>
              </c:strCache>
            </c:strRef>
          </c:tx>
          <c:spPr>
            <a:solidFill>
              <a:schemeClr val="accent2"/>
            </a:solidFill>
            <a:ln>
              <a:noFill/>
            </a:ln>
            <a:effectLst/>
          </c:spPr>
          <c:invertIfNegative val="0"/>
          <c:cat>
            <c:strRef>
              <c:f>'Pivot Tables'!$M$5:$M$7</c:f>
              <c:strCache>
                <c:ptCount val="2"/>
                <c:pt idx="0">
                  <c:v>2023</c:v>
                </c:pt>
                <c:pt idx="1">
                  <c:v>2024</c:v>
                </c:pt>
              </c:strCache>
            </c:strRef>
          </c:cat>
          <c:val>
            <c:numRef>
              <c:f>'Pivot Tables'!$O$5:$O$7</c:f>
              <c:numCache>
                <c:formatCode>"₦"#,##0</c:formatCode>
                <c:ptCount val="2"/>
                <c:pt idx="0">
                  <c:v>1648500</c:v>
                </c:pt>
                <c:pt idx="1">
                  <c:v>1384600</c:v>
                </c:pt>
              </c:numCache>
            </c:numRef>
          </c:val>
          <c:extLst>
            <c:ext xmlns:c16="http://schemas.microsoft.com/office/drawing/2014/chart" uri="{C3380CC4-5D6E-409C-BE32-E72D297353CC}">
              <c16:uniqueId val="{00000001-0F38-1A40-9A5D-CD5CF5AA23AE}"/>
            </c:ext>
          </c:extLst>
        </c:ser>
        <c:ser>
          <c:idx val="2"/>
          <c:order val="2"/>
          <c:tx>
            <c:strRef>
              <c:f>'Pivot Tables'!$P$3:$P$4</c:f>
              <c:strCache>
                <c:ptCount val="1"/>
                <c:pt idx="0">
                  <c:v>Q3</c:v>
                </c:pt>
              </c:strCache>
            </c:strRef>
          </c:tx>
          <c:spPr>
            <a:solidFill>
              <a:schemeClr val="accent3"/>
            </a:solidFill>
            <a:ln>
              <a:noFill/>
            </a:ln>
            <a:effectLst/>
          </c:spPr>
          <c:invertIfNegative val="0"/>
          <c:cat>
            <c:strRef>
              <c:f>'Pivot Tables'!$M$5:$M$7</c:f>
              <c:strCache>
                <c:ptCount val="2"/>
                <c:pt idx="0">
                  <c:v>2023</c:v>
                </c:pt>
                <c:pt idx="1">
                  <c:v>2024</c:v>
                </c:pt>
              </c:strCache>
            </c:strRef>
          </c:cat>
          <c:val>
            <c:numRef>
              <c:f>'Pivot Tables'!$P$5:$P$7</c:f>
              <c:numCache>
                <c:formatCode>"₦"#,##0</c:formatCode>
                <c:ptCount val="2"/>
                <c:pt idx="0">
                  <c:v>1354000</c:v>
                </c:pt>
                <c:pt idx="1">
                  <c:v>1258200</c:v>
                </c:pt>
              </c:numCache>
            </c:numRef>
          </c:val>
          <c:extLst>
            <c:ext xmlns:c16="http://schemas.microsoft.com/office/drawing/2014/chart" uri="{C3380CC4-5D6E-409C-BE32-E72D297353CC}">
              <c16:uniqueId val="{00000002-0F38-1A40-9A5D-CD5CF5AA23AE}"/>
            </c:ext>
          </c:extLst>
        </c:ser>
        <c:ser>
          <c:idx val="3"/>
          <c:order val="3"/>
          <c:tx>
            <c:strRef>
              <c:f>'Pivot Tables'!$Q$3:$Q$4</c:f>
              <c:strCache>
                <c:ptCount val="1"/>
                <c:pt idx="0">
                  <c:v>Q2</c:v>
                </c:pt>
              </c:strCache>
            </c:strRef>
          </c:tx>
          <c:spPr>
            <a:solidFill>
              <a:schemeClr val="accent4"/>
            </a:solidFill>
            <a:ln>
              <a:noFill/>
            </a:ln>
            <a:effectLst/>
          </c:spPr>
          <c:invertIfNegative val="0"/>
          <c:cat>
            <c:strRef>
              <c:f>'Pivot Tables'!$M$5:$M$7</c:f>
              <c:strCache>
                <c:ptCount val="2"/>
                <c:pt idx="0">
                  <c:v>2023</c:v>
                </c:pt>
                <c:pt idx="1">
                  <c:v>2024</c:v>
                </c:pt>
              </c:strCache>
            </c:strRef>
          </c:cat>
          <c:val>
            <c:numRef>
              <c:f>'Pivot Tables'!$Q$5:$Q$7</c:f>
              <c:numCache>
                <c:formatCode>"₦"#,##0</c:formatCode>
                <c:ptCount val="2"/>
                <c:pt idx="0">
                  <c:v>1147000</c:v>
                </c:pt>
                <c:pt idx="1">
                  <c:v>1375400</c:v>
                </c:pt>
              </c:numCache>
            </c:numRef>
          </c:val>
          <c:extLst>
            <c:ext xmlns:c16="http://schemas.microsoft.com/office/drawing/2014/chart" uri="{C3380CC4-5D6E-409C-BE32-E72D297353CC}">
              <c16:uniqueId val="{00000003-0F38-1A40-9A5D-CD5CF5AA23AE}"/>
            </c:ext>
          </c:extLst>
        </c:ser>
        <c:dLbls>
          <c:showLegendKey val="0"/>
          <c:showVal val="0"/>
          <c:showCatName val="0"/>
          <c:showSerName val="0"/>
          <c:showPercent val="0"/>
          <c:showBubbleSize val="0"/>
        </c:dLbls>
        <c:gapWidth val="219"/>
        <c:axId val="1432973056"/>
        <c:axId val="1432930416"/>
      </c:barChart>
      <c:catAx>
        <c:axId val="143297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2930416"/>
        <c:crosses val="autoZero"/>
        <c:auto val="1"/>
        <c:lblAlgn val="ctr"/>
        <c:lblOffset val="100"/>
        <c:noMultiLvlLbl val="0"/>
      </c:catAx>
      <c:valAx>
        <c:axId val="143293041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297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Trend &amp; Time Based Performance Analysis .xlsx]Pivot Tables!PivotTable4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Contribution</a:t>
            </a:r>
            <a:endParaRPr lang="en-US" b="1"/>
          </a:p>
        </c:rich>
      </c:tx>
      <c:layout>
        <c:manualLayout>
          <c:xMode val="edge"/>
          <c:yMode val="edge"/>
          <c:x val="0.39249988021274218"/>
          <c:y val="3.76344086021505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dLbl>
          <c:idx val="0"/>
          <c:layout>
            <c:manualLayout>
              <c:x val="3.7557298238328728E-2"/>
              <c:y val="0.141408856151045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14612448291833"/>
          <c:y val="0.17252688172043013"/>
          <c:w val="0.31219066937119672"/>
          <c:h val="0.82747311827956982"/>
        </c:manualLayout>
      </c:layout>
      <c:pieChart>
        <c:varyColors val="1"/>
        <c:ser>
          <c:idx val="0"/>
          <c:order val="0"/>
          <c:tx>
            <c:strRef>
              <c:f>'Pivot Tables'!$K$3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B72-5743-BDC8-A94A5C1CEEA7}"/>
              </c:ext>
            </c:extLst>
          </c:dPt>
          <c:dPt>
            <c:idx val="1"/>
            <c:bubble3D val="0"/>
            <c:spPr>
              <a:solidFill>
                <a:schemeClr val="accent2"/>
              </a:solidFill>
              <a:ln>
                <a:noFill/>
              </a:ln>
              <a:effectLst/>
            </c:spPr>
            <c:extLst>
              <c:ext xmlns:c16="http://schemas.microsoft.com/office/drawing/2014/chart" uri="{C3380CC4-5D6E-409C-BE32-E72D297353CC}">
                <c16:uniqueId val="{00000003-BB72-5743-BDC8-A94A5C1CEEA7}"/>
              </c:ext>
            </c:extLst>
          </c:dPt>
          <c:dPt>
            <c:idx val="2"/>
            <c:bubble3D val="0"/>
            <c:spPr>
              <a:solidFill>
                <a:schemeClr val="accent3"/>
              </a:solidFill>
              <a:ln>
                <a:noFill/>
              </a:ln>
              <a:effectLst/>
            </c:spPr>
            <c:extLst>
              <c:ext xmlns:c16="http://schemas.microsoft.com/office/drawing/2014/chart" uri="{C3380CC4-5D6E-409C-BE32-E72D297353CC}">
                <c16:uniqueId val="{00000005-BB72-5743-BDC8-A94A5C1CEEA7}"/>
              </c:ext>
            </c:extLst>
          </c:dPt>
          <c:dPt>
            <c:idx val="3"/>
            <c:bubble3D val="0"/>
            <c:spPr>
              <a:solidFill>
                <a:schemeClr val="accent4"/>
              </a:solidFill>
              <a:ln>
                <a:noFill/>
              </a:ln>
              <a:effectLst/>
            </c:spPr>
            <c:extLst>
              <c:ext xmlns:c16="http://schemas.microsoft.com/office/drawing/2014/chart" uri="{C3380CC4-5D6E-409C-BE32-E72D297353CC}">
                <c16:uniqueId val="{00000007-BB72-5743-BDC8-A94A5C1CEEA7}"/>
              </c:ext>
            </c:extLst>
          </c:dPt>
          <c:dLbls>
            <c:dLbl>
              <c:idx val="3"/>
              <c:layout>
                <c:manualLayout>
                  <c:x val="3.7557298238328728E-2"/>
                  <c:y val="0.141408856151045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2-5743-BDC8-A94A5C1CEE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Tables'!$J$4:$J$8</c:f>
              <c:strCache>
                <c:ptCount val="4"/>
                <c:pt idx="0">
                  <c:v>Electronics</c:v>
                </c:pt>
                <c:pt idx="1">
                  <c:v>Fashion</c:v>
                </c:pt>
                <c:pt idx="2">
                  <c:v>Home</c:v>
                </c:pt>
                <c:pt idx="3">
                  <c:v>Groceries</c:v>
                </c:pt>
              </c:strCache>
            </c:strRef>
          </c:cat>
          <c:val>
            <c:numRef>
              <c:f>'Pivot Tables'!$K$4:$K$8</c:f>
              <c:numCache>
                <c:formatCode>"₦"#,##0</c:formatCode>
                <c:ptCount val="4"/>
                <c:pt idx="0">
                  <c:v>7750000</c:v>
                </c:pt>
                <c:pt idx="1">
                  <c:v>2012000</c:v>
                </c:pt>
                <c:pt idx="2">
                  <c:v>1811000</c:v>
                </c:pt>
                <c:pt idx="3">
                  <c:v>806700</c:v>
                </c:pt>
              </c:numCache>
            </c:numRef>
          </c:val>
          <c:extLst>
            <c:ext xmlns:c16="http://schemas.microsoft.com/office/drawing/2014/chart" uri="{C3380CC4-5D6E-409C-BE32-E72D297353CC}">
              <c16:uniqueId val="{00000008-BB72-5743-BDC8-A94A5C1CEEA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Trend &amp; Time Based Performance Analysis .xlsx]Pivot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96-3B44-B7EA-201BE74128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4"/>
                <c:pt idx="0">
                  <c:v>Lagos</c:v>
                </c:pt>
                <c:pt idx="1">
                  <c:v>Abuja</c:v>
                </c:pt>
                <c:pt idx="2">
                  <c:v>Ibadan</c:v>
                </c:pt>
                <c:pt idx="3">
                  <c:v>Port Harcourt</c:v>
                </c:pt>
              </c:strCache>
            </c:strRef>
          </c:cat>
          <c:val>
            <c:numRef>
              <c:f>'Pivot Tables'!$H$4:$H$8</c:f>
              <c:numCache>
                <c:formatCode>"₦"#,##0</c:formatCode>
                <c:ptCount val="4"/>
                <c:pt idx="0">
                  <c:v>5266000</c:v>
                </c:pt>
                <c:pt idx="1">
                  <c:v>3447200</c:v>
                </c:pt>
                <c:pt idx="2">
                  <c:v>1882400</c:v>
                </c:pt>
                <c:pt idx="3">
                  <c:v>1784100</c:v>
                </c:pt>
              </c:numCache>
            </c:numRef>
          </c:val>
          <c:extLst>
            <c:ext xmlns:c16="http://schemas.microsoft.com/office/drawing/2014/chart" uri="{C3380CC4-5D6E-409C-BE32-E72D297353CC}">
              <c16:uniqueId val="{00000000-8C96-3B44-B7EA-201BE74128E3}"/>
            </c:ext>
          </c:extLst>
        </c:ser>
        <c:dLbls>
          <c:showLegendKey val="0"/>
          <c:showVal val="0"/>
          <c:showCatName val="0"/>
          <c:showSerName val="0"/>
          <c:showPercent val="0"/>
          <c:showBubbleSize val="0"/>
        </c:dLbls>
        <c:gapWidth val="219"/>
        <c:overlap val="-27"/>
        <c:axId val="1438975408"/>
        <c:axId val="1436987024"/>
      </c:barChart>
      <c:catAx>
        <c:axId val="143897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6987024"/>
        <c:crosses val="autoZero"/>
        <c:auto val="1"/>
        <c:lblAlgn val="ctr"/>
        <c:lblOffset val="100"/>
        <c:noMultiLvlLbl val="0"/>
      </c:catAx>
      <c:valAx>
        <c:axId val="14369870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897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38100</xdr:colOff>
      <xdr:row>11</xdr:row>
      <xdr:rowOff>127000</xdr:rowOff>
    </xdr:from>
    <xdr:to>
      <xdr:col>35</xdr:col>
      <xdr:colOff>50800</xdr:colOff>
      <xdr:row>23</xdr:row>
      <xdr:rowOff>63500</xdr:rowOff>
    </xdr:to>
    <xdr:sp macro="" textlink="">
      <xdr:nvSpPr>
        <xdr:cNvPr id="3" name="Rectangle 2">
          <a:extLst>
            <a:ext uri="{FF2B5EF4-FFF2-40B4-BE49-F238E27FC236}">
              <a16:creationId xmlns:a16="http://schemas.microsoft.com/office/drawing/2014/main" id="{F87A43E1-0D34-3772-3134-AD578A329041}"/>
            </a:ext>
          </a:extLst>
        </xdr:cNvPr>
        <xdr:cNvSpPr/>
      </xdr:nvSpPr>
      <xdr:spPr>
        <a:xfrm>
          <a:off x="1333500" y="2362200"/>
          <a:ext cx="6273800" cy="23749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42</xdr:col>
      <xdr:colOff>165100</xdr:colOff>
      <xdr:row>11</xdr:row>
      <xdr:rowOff>76200</xdr:rowOff>
    </xdr:from>
    <xdr:to>
      <xdr:col>71</xdr:col>
      <xdr:colOff>177800</xdr:colOff>
      <xdr:row>23</xdr:row>
      <xdr:rowOff>12700</xdr:rowOff>
    </xdr:to>
    <xdr:sp macro="" textlink="">
      <xdr:nvSpPr>
        <xdr:cNvPr id="4" name="Rectangle 3">
          <a:extLst>
            <a:ext uri="{FF2B5EF4-FFF2-40B4-BE49-F238E27FC236}">
              <a16:creationId xmlns:a16="http://schemas.microsoft.com/office/drawing/2014/main" id="{C048875F-82FF-6749-856C-C1288AC0A0E5}"/>
            </a:ext>
          </a:extLst>
        </xdr:cNvPr>
        <xdr:cNvSpPr/>
      </xdr:nvSpPr>
      <xdr:spPr>
        <a:xfrm>
          <a:off x="9232900" y="2311400"/>
          <a:ext cx="6273800" cy="23749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38100</xdr:colOff>
      <xdr:row>23</xdr:row>
      <xdr:rowOff>165100</xdr:rowOff>
    </xdr:from>
    <xdr:to>
      <xdr:col>35</xdr:col>
      <xdr:colOff>50800</xdr:colOff>
      <xdr:row>35</xdr:row>
      <xdr:rowOff>101600</xdr:rowOff>
    </xdr:to>
    <xdr:sp macro="" textlink="">
      <xdr:nvSpPr>
        <xdr:cNvPr id="5" name="Rectangle 4">
          <a:extLst>
            <a:ext uri="{FF2B5EF4-FFF2-40B4-BE49-F238E27FC236}">
              <a16:creationId xmlns:a16="http://schemas.microsoft.com/office/drawing/2014/main" id="{716ECBB9-5D25-7F4E-8E51-1CD24FA672D9}"/>
            </a:ext>
          </a:extLst>
        </xdr:cNvPr>
        <xdr:cNvSpPr/>
      </xdr:nvSpPr>
      <xdr:spPr>
        <a:xfrm>
          <a:off x="1333500" y="4838700"/>
          <a:ext cx="6273800" cy="23749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42</xdr:col>
      <xdr:colOff>165100</xdr:colOff>
      <xdr:row>23</xdr:row>
      <xdr:rowOff>101600</xdr:rowOff>
    </xdr:from>
    <xdr:to>
      <xdr:col>71</xdr:col>
      <xdr:colOff>177800</xdr:colOff>
      <xdr:row>35</xdr:row>
      <xdr:rowOff>38100</xdr:rowOff>
    </xdr:to>
    <xdr:sp macro="" textlink="">
      <xdr:nvSpPr>
        <xdr:cNvPr id="6" name="Rectangle 5">
          <a:extLst>
            <a:ext uri="{FF2B5EF4-FFF2-40B4-BE49-F238E27FC236}">
              <a16:creationId xmlns:a16="http://schemas.microsoft.com/office/drawing/2014/main" id="{FAAF8013-C95C-BC4A-883C-F52EEC33E31A}"/>
            </a:ext>
          </a:extLst>
        </xdr:cNvPr>
        <xdr:cNvSpPr/>
      </xdr:nvSpPr>
      <xdr:spPr>
        <a:xfrm>
          <a:off x="9232900" y="4775200"/>
          <a:ext cx="6273800" cy="23749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63500</xdr:colOff>
      <xdr:row>11</xdr:row>
      <xdr:rowOff>139700</xdr:rowOff>
    </xdr:from>
    <xdr:to>
      <xdr:col>35</xdr:col>
      <xdr:colOff>12700</xdr:colOff>
      <xdr:row>23</xdr:row>
      <xdr:rowOff>0</xdr:rowOff>
    </xdr:to>
    <xdr:graphicFrame macro="">
      <xdr:nvGraphicFramePr>
        <xdr:cNvPr id="7" name="Chart 6">
          <a:extLst>
            <a:ext uri="{FF2B5EF4-FFF2-40B4-BE49-F238E27FC236}">
              <a16:creationId xmlns:a16="http://schemas.microsoft.com/office/drawing/2014/main" id="{D47E30C8-0941-9842-88A1-1B7D1A650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190500</xdr:colOff>
      <xdr:row>11</xdr:row>
      <xdr:rowOff>76200</xdr:rowOff>
    </xdr:from>
    <xdr:to>
      <xdr:col>71</xdr:col>
      <xdr:colOff>165100</xdr:colOff>
      <xdr:row>23</xdr:row>
      <xdr:rowOff>12700</xdr:rowOff>
    </xdr:to>
    <xdr:graphicFrame macro="">
      <xdr:nvGraphicFramePr>
        <xdr:cNvPr id="8" name="Chart 7">
          <a:extLst>
            <a:ext uri="{FF2B5EF4-FFF2-40B4-BE49-F238E27FC236}">
              <a16:creationId xmlns:a16="http://schemas.microsoft.com/office/drawing/2014/main" id="{2D256E02-10D1-8C4C-AC4B-AC0AC315E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xdr:colOff>
      <xdr:row>23</xdr:row>
      <xdr:rowOff>165100</xdr:rowOff>
    </xdr:from>
    <xdr:to>
      <xdr:col>35</xdr:col>
      <xdr:colOff>38100</xdr:colOff>
      <xdr:row>35</xdr:row>
      <xdr:rowOff>88900</xdr:rowOff>
    </xdr:to>
    <xdr:graphicFrame macro="">
      <xdr:nvGraphicFramePr>
        <xdr:cNvPr id="9" name="Chart 8">
          <a:extLst>
            <a:ext uri="{FF2B5EF4-FFF2-40B4-BE49-F238E27FC236}">
              <a16:creationId xmlns:a16="http://schemas.microsoft.com/office/drawing/2014/main" id="{7BE127FE-E76D-174C-BC25-B0124EA79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165100</xdr:colOff>
      <xdr:row>23</xdr:row>
      <xdr:rowOff>101600</xdr:rowOff>
    </xdr:from>
    <xdr:to>
      <xdr:col>71</xdr:col>
      <xdr:colOff>177800</xdr:colOff>
      <xdr:row>35</xdr:row>
      <xdr:rowOff>38100</xdr:rowOff>
    </xdr:to>
    <xdr:graphicFrame macro="">
      <xdr:nvGraphicFramePr>
        <xdr:cNvPr id="10" name="Chart 9">
          <a:extLst>
            <a:ext uri="{FF2B5EF4-FFF2-40B4-BE49-F238E27FC236}">
              <a16:creationId xmlns:a16="http://schemas.microsoft.com/office/drawing/2014/main" id="{8BF232D8-50A3-514B-BC3A-8A31E8167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72</xdr:col>
      <xdr:colOff>190500</xdr:colOff>
      <xdr:row>11</xdr:row>
      <xdr:rowOff>88900</xdr:rowOff>
    </xdr:from>
    <xdr:to>
      <xdr:col>81</xdr:col>
      <xdr:colOff>76200</xdr:colOff>
      <xdr:row>20</xdr:row>
      <xdr:rowOff>101600</xdr:rowOff>
    </xdr:to>
    <mc:AlternateContent xmlns:mc="http://schemas.openxmlformats.org/markup-compatibility/2006">
      <mc:Choice xmlns:a14="http://schemas.microsoft.com/office/drawing/2010/main" Requires="a14">
        <xdr:graphicFrame macro="">
          <xdr:nvGraphicFramePr>
            <xdr:cNvPr id="11" name="Sales_Rep">
              <a:extLst>
                <a:ext uri="{FF2B5EF4-FFF2-40B4-BE49-F238E27FC236}">
                  <a16:creationId xmlns:a16="http://schemas.microsoft.com/office/drawing/2014/main" id="{390ED4B4-ACF7-8DF2-3208-4D54AE7CF676}"/>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15735300" y="2324100"/>
              <a:ext cx="1828800" cy="1841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72</xdr:col>
      <xdr:colOff>203200</xdr:colOff>
      <xdr:row>20</xdr:row>
      <xdr:rowOff>165100</xdr:rowOff>
    </xdr:from>
    <xdr:to>
      <xdr:col>81</xdr:col>
      <xdr:colOff>88900</xdr:colOff>
      <xdr:row>27</xdr:row>
      <xdr:rowOff>25400</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C214BBEC-AAB8-0F52-67F8-7C3257DC2E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748000" y="4229100"/>
              <a:ext cx="1828800" cy="1282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72</xdr:col>
      <xdr:colOff>165100</xdr:colOff>
      <xdr:row>27</xdr:row>
      <xdr:rowOff>152401</xdr:rowOff>
    </xdr:from>
    <xdr:to>
      <xdr:col>81</xdr:col>
      <xdr:colOff>50800</xdr:colOff>
      <xdr:row>33</xdr:row>
      <xdr:rowOff>50801</xdr:rowOff>
    </xdr:to>
    <mc:AlternateContent xmlns:mc="http://schemas.openxmlformats.org/markup-compatibility/2006">
      <mc:Choice xmlns:a14="http://schemas.microsoft.com/office/drawing/2010/main" Requires="a14">
        <xdr:graphicFrame macro="">
          <xdr:nvGraphicFramePr>
            <xdr:cNvPr id="13" name="Quarter">
              <a:extLst>
                <a:ext uri="{FF2B5EF4-FFF2-40B4-BE49-F238E27FC236}">
                  <a16:creationId xmlns:a16="http://schemas.microsoft.com/office/drawing/2014/main" id="{621334B0-7C74-E8DD-5927-B65C9BD7022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5709900" y="5638801"/>
              <a:ext cx="1828800" cy="1117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echi emmanuel" refreshedDate="46080.574256018517" createdVersion="8" refreshedVersion="8" minRefreshableVersion="3" recordCount="52" xr:uid="{7EB81AF0-55BB-9C4F-A885-C736499DB8AF}">
  <cacheSource type="worksheet">
    <worksheetSource name="Table1"/>
  </cacheSource>
  <cacheFields count="13">
    <cacheField name="Order_ID" numFmtId="0">
      <sharedItems containsSemiMixedTypes="0" containsString="0" containsNumber="1" containsInteger="1" minValue="1001" maxValue="2024"/>
    </cacheField>
    <cacheField name="Order_Date" numFmtId="14">
      <sharedItems containsSemiMixedTypes="0" containsNonDate="0" containsDate="1" containsString="0" minDate="2023-01-03T00:00:00" maxDate="2024-12-19T00:00:00"/>
    </cacheField>
    <cacheField name="Region" numFmtId="0">
      <sharedItems count="4">
        <s v="Lagos"/>
        <s v="Abuja"/>
        <s v="Port Harcourt"/>
        <s v="Ibadan"/>
      </sharedItems>
    </cacheField>
    <cacheField name="Sales_Rep" numFmtId="0">
      <sharedItems count="6">
        <s v="Tunde"/>
        <s v="Aisha"/>
        <s v="Emeka"/>
        <s v="Chioma"/>
        <s v="Kelvin"/>
        <s v="Zainab"/>
      </sharedItems>
    </cacheField>
    <cacheField name="Category" numFmtId="0">
      <sharedItems count="4">
        <s v="Electronics"/>
        <s v="Fashion"/>
        <s v="Groceries"/>
        <s v="Home"/>
      </sharedItems>
    </cacheField>
    <cacheField name="Units_Sold" numFmtId="0">
      <sharedItems containsSemiMixedTypes="0" containsString="0" containsNumber="1" containsInteger="1" minValue="1" maxValue="32"/>
    </cacheField>
    <cacheField name="Unit_Price" numFmtId="0">
      <sharedItems containsSemiMixedTypes="0" containsString="0" containsNumber="1" containsInteger="1" minValue="3800" maxValue="320000"/>
    </cacheField>
    <cacheField name="Total_Sales" numFmtId="0">
      <sharedItems containsSemiMixedTypes="0" containsString="0" containsNumber="1" containsInteger="1" minValue="50000" maxValue="720000"/>
    </cacheField>
    <cacheField name="Year" numFmtId="0">
      <sharedItems containsSemiMixedTypes="0" containsString="0" containsNumber="1" containsInteger="1" minValue="2023" maxValue="2024" count="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Month Name" numFmtId="0">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Weekday Name" numFmtId="0">
      <sharedItems/>
    </cacheField>
  </cacheFields>
  <extLst>
    <ext xmlns:x14="http://schemas.microsoft.com/office/spreadsheetml/2009/9/main" uri="{725AE2AE-9491-48be-B2B4-4EB974FC3084}">
      <x14:pivotCacheDefinition pivotCacheId="491434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n v="1001"/>
    <d v="2023-01-03T00:00:00"/>
    <x v="0"/>
    <x v="0"/>
    <x v="0"/>
    <n v="2"/>
    <n v="150000"/>
    <n v="300000"/>
    <x v="0"/>
    <x v="0"/>
    <x v="0"/>
    <x v="0"/>
    <s v="Tuesday"/>
  </r>
  <r>
    <n v="1002"/>
    <d v="2023-01-05T00:00:00"/>
    <x v="1"/>
    <x v="1"/>
    <x v="1"/>
    <n v="5"/>
    <n v="20000"/>
    <n v="100000"/>
    <x v="0"/>
    <x v="0"/>
    <x v="0"/>
    <x v="0"/>
    <s v="Thursday"/>
  </r>
  <r>
    <n v="1003"/>
    <d v="2023-01-08T00:00:00"/>
    <x v="2"/>
    <x v="2"/>
    <x v="2"/>
    <n v="10"/>
    <n v="5000"/>
    <n v="50000"/>
    <x v="0"/>
    <x v="0"/>
    <x v="0"/>
    <x v="0"/>
    <s v="Sunday"/>
  </r>
  <r>
    <n v="1004"/>
    <d v="2023-01-15T00:00:00"/>
    <x v="3"/>
    <x v="3"/>
    <x v="3"/>
    <n v="3"/>
    <n v="45000"/>
    <n v="135000"/>
    <x v="0"/>
    <x v="0"/>
    <x v="0"/>
    <x v="0"/>
    <s v="Sunday"/>
  </r>
  <r>
    <n v="1005"/>
    <d v="2023-02-02T00:00:00"/>
    <x v="0"/>
    <x v="0"/>
    <x v="0"/>
    <n v="1"/>
    <n v="200000"/>
    <n v="200000"/>
    <x v="0"/>
    <x v="1"/>
    <x v="1"/>
    <x v="0"/>
    <s v="Thursday"/>
  </r>
  <r>
    <n v="1006"/>
    <d v="2023-02-14T00:00:00"/>
    <x v="1"/>
    <x v="1"/>
    <x v="1"/>
    <n v="8"/>
    <n v="18000"/>
    <n v="144000"/>
    <x v="0"/>
    <x v="1"/>
    <x v="1"/>
    <x v="0"/>
    <s v="Tuesday"/>
  </r>
  <r>
    <n v="1007"/>
    <d v="2023-02-20T00:00:00"/>
    <x v="2"/>
    <x v="2"/>
    <x v="2"/>
    <n v="15"/>
    <n v="4500"/>
    <n v="67500"/>
    <x v="0"/>
    <x v="1"/>
    <x v="1"/>
    <x v="0"/>
    <s v="Monday"/>
  </r>
  <r>
    <n v="1008"/>
    <d v="2023-03-01T00:00:00"/>
    <x v="3"/>
    <x v="3"/>
    <x v="3"/>
    <n v="4"/>
    <n v="40000"/>
    <n v="160000"/>
    <x v="0"/>
    <x v="2"/>
    <x v="2"/>
    <x v="0"/>
    <s v="Wednesday"/>
  </r>
  <r>
    <n v="1009"/>
    <d v="2023-03-10T00:00:00"/>
    <x v="0"/>
    <x v="4"/>
    <x v="0"/>
    <n v="3"/>
    <n v="120000"/>
    <n v="360000"/>
    <x v="0"/>
    <x v="2"/>
    <x v="2"/>
    <x v="0"/>
    <s v="Friday"/>
  </r>
  <r>
    <n v="1010"/>
    <d v="2023-03-18T00:00:00"/>
    <x v="1"/>
    <x v="5"/>
    <x v="1"/>
    <n v="6"/>
    <n v="22000"/>
    <n v="132000"/>
    <x v="0"/>
    <x v="2"/>
    <x v="2"/>
    <x v="0"/>
    <s v="Saturday"/>
  </r>
  <r>
    <n v="1011"/>
    <d v="2023-04-04T00:00:00"/>
    <x v="0"/>
    <x v="0"/>
    <x v="3"/>
    <n v="2"/>
    <n v="50000"/>
    <n v="100000"/>
    <x v="0"/>
    <x v="3"/>
    <x v="3"/>
    <x v="1"/>
    <s v="Tuesday"/>
  </r>
  <r>
    <n v="1012"/>
    <d v="2023-04-16T00:00:00"/>
    <x v="2"/>
    <x v="2"/>
    <x v="0"/>
    <n v="1"/>
    <n v="250000"/>
    <n v="250000"/>
    <x v="0"/>
    <x v="3"/>
    <x v="3"/>
    <x v="1"/>
    <s v="Sunday"/>
  </r>
  <r>
    <n v="1013"/>
    <d v="2023-05-02T00:00:00"/>
    <x v="3"/>
    <x v="3"/>
    <x v="2"/>
    <n v="20"/>
    <n v="4000"/>
    <n v="80000"/>
    <x v="0"/>
    <x v="4"/>
    <x v="4"/>
    <x v="1"/>
    <s v="Tuesday"/>
  </r>
  <r>
    <n v="1014"/>
    <d v="2023-05-15T00:00:00"/>
    <x v="1"/>
    <x v="1"/>
    <x v="1"/>
    <n v="7"/>
    <n v="21000"/>
    <n v="147000"/>
    <x v="0"/>
    <x v="4"/>
    <x v="4"/>
    <x v="1"/>
    <s v="Monday"/>
  </r>
  <r>
    <n v="1015"/>
    <d v="2023-06-10T00:00:00"/>
    <x v="0"/>
    <x v="4"/>
    <x v="0"/>
    <n v="2"/>
    <n v="180000"/>
    <n v="360000"/>
    <x v="0"/>
    <x v="5"/>
    <x v="5"/>
    <x v="1"/>
    <s v="Saturday"/>
  </r>
  <r>
    <n v="1016"/>
    <d v="2023-06-21T00:00:00"/>
    <x v="2"/>
    <x v="5"/>
    <x v="3"/>
    <n v="5"/>
    <n v="42000"/>
    <n v="210000"/>
    <x v="0"/>
    <x v="5"/>
    <x v="5"/>
    <x v="1"/>
    <s v="Wednesday"/>
  </r>
  <r>
    <n v="1017"/>
    <d v="2023-07-05T00:00:00"/>
    <x v="3"/>
    <x v="3"/>
    <x v="1"/>
    <n v="4"/>
    <n v="25000"/>
    <n v="100000"/>
    <x v="0"/>
    <x v="6"/>
    <x v="6"/>
    <x v="2"/>
    <s v="Wednesday"/>
  </r>
  <r>
    <n v="1018"/>
    <d v="2023-07-18T00:00:00"/>
    <x v="0"/>
    <x v="0"/>
    <x v="0"/>
    <n v="3"/>
    <n v="170000"/>
    <n v="510000"/>
    <x v="0"/>
    <x v="6"/>
    <x v="6"/>
    <x v="2"/>
    <s v="Tuesday"/>
  </r>
  <r>
    <n v="1019"/>
    <d v="2023-08-09T00:00:00"/>
    <x v="1"/>
    <x v="1"/>
    <x v="2"/>
    <n v="25"/>
    <n v="3800"/>
    <n v="95000"/>
    <x v="0"/>
    <x v="7"/>
    <x v="7"/>
    <x v="2"/>
    <s v="Wednesday"/>
  </r>
  <r>
    <n v="1020"/>
    <d v="2023-08-22T00:00:00"/>
    <x v="2"/>
    <x v="2"/>
    <x v="3"/>
    <n v="6"/>
    <n v="39000"/>
    <n v="234000"/>
    <x v="0"/>
    <x v="7"/>
    <x v="7"/>
    <x v="2"/>
    <s v="Tuesday"/>
  </r>
  <r>
    <n v="1021"/>
    <d v="2023-09-03T00:00:00"/>
    <x v="0"/>
    <x v="4"/>
    <x v="0"/>
    <n v="1"/>
    <n v="300000"/>
    <n v="300000"/>
    <x v="0"/>
    <x v="8"/>
    <x v="8"/>
    <x v="2"/>
    <s v="Sunday"/>
  </r>
  <r>
    <n v="1022"/>
    <d v="2023-09-17T00:00:00"/>
    <x v="3"/>
    <x v="5"/>
    <x v="1"/>
    <n v="5"/>
    <n v="23000"/>
    <n v="115000"/>
    <x v="0"/>
    <x v="8"/>
    <x v="8"/>
    <x v="2"/>
    <s v="Sunday"/>
  </r>
  <r>
    <n v="1023"/>
    <d v="2023-10-11T00:00:00"/>
    <x v="1"/>
    <x v="1"/>
    <x v="0"/>
    <n v="2"/>
    <n v="210000"/>
    <n v="420000"/>
    <x v="0"/>
    <x v="9"/>
    <x v="9"/>
    <x v="3"/>
    <s v="Wednesday"/>
  </r>
  <r>
    <n v="1024"/>
    <d v="2023-10-25T00:00:00"/>
    <x v="0"/>
    <x v="0"/>
    <x v="3"/>
    <n v="4"/>
    <n v="48000"/>
    <n v="192000"/>
    <x v="0"/>
    <x v="9"/>
    <x v="9"/>
    <x v="3"/>
    <s v="Wednesday"/>
  </r>
  <r>
    <n v="1025"/>
    <d v="2023-11-05T00:00:00"/>
    <x v="2"/>
    <x v="2"/>
    <x v="2"/>
    <n v="30"/>
    <n v="4200"/>
    <n v="126000"/>
    <x v="0"/>
    <x v="10"/>
    <x v="10"/>
    <x v="3"/>
    <s v="Sunday"/>
  </r>
  <r>
    <n v="1026"/>
    <d v="2023-11-20T00:00:00"/>
    <x v="3"/>
    <x v="3"/>
    <x v="0"/>
    <n v="2"/>
    <n v="190000"/>
    <n v="380000"/>
    <x v="0"/>
    <x v="10"/>
    <x v="10"/>
    <x v="3"/>
    <s v="Monday"/>
  </r>
  <r>
    <n v="1027"/>
    <d v="2023-12-02T00:00:00"/>
    <x v="0"/>
    <x v="4"/>
    <x v="1"/>
    <n v="10"/>
    <n v="24000"/>
    <n v="240000"/>
    <x v="0"/>
    <x v="11"/>
    <x v="11"/>
    <x v="3"/>
    <s v="Saturday"/>
  </r>
  <r>
    <n v="1028"/>
    <d v="2023-12-15T00:00:00"/>
    <x v="1"/>
    <x v="5"/>
    <x v="0"/>
    <n v="3"/>
    <n v="220000"/>
    <n v="660000"/>
    <x v="0"/>
    <x v="11"/>
    <x v="11"/>
    <x v="3"/>
    <s v="Friday"/>
  </r>
  <r>
    <n v="2001"/>
    <d v="2024-01-04T00:00:00"/>
    <x v="0"/>
    <x v="0"/>
    <x v="0"/>
    <n v="2"/>
    <n v="160000"/>
    <n v="320000"/>
    <x v="1"/>
    <x v="0"/>
    <x v="0"/>
    <x v="0"/>
    <s v="Thursday"/>
  </r>
  <r>
    <n v="2002"/>
    <d v="2024-01-12T00:00:00"/>
    <x v="1"/>
    <x v="1"/>
    <x v="1"/>
    <n v="6"/>
    <n v="21000"/>
    <n v="126000"/>
    <x v="1"/>
    <x v="0"/>
    <x v="0"/>
    <x v="0"/>
    <s v="Friday"/>
  </r>
  <r>
    <n v="2003"/>
    <d v="2024-02-08T00:00:00"/>
    <x v="2"/>
    <x v="2"/>
    <x v="2"/>
    <n v="12"/>
    <n v="4800"/>
    <n v="57600"/>
    <x v="1"/>
    <x v="1"/>
    <x v="1"/>
    <x v="0"/>
    <s v="Thursday"/>
  </r>
  <r>
    <n v="2004"/>
    <d v="2024-02-20T00:00:00"/>
    <x v="3"/>
    <x v="3"/>
    <x v="3"/>
    <n v="3"/>
    <n v="47000"/>
    <n v="141000"/>
    <x v="1"/>
    <x v="1"/>
    <x v="1"/>
    <x v="0"/>
    <s v="Tuesday"/>
  </r>
  <r>
    <n v="2005"/>
    <d v="2024-03-03T00:00:00"/>
    <x v="0"/>
    <x v="4"/>
    <x v="0"/>
    <n v="4"/>
    <n v="140000"/>
    <n v="560000"/>
    <x v="1"/>
    <x v="2"/>
    <x v="2"/>
    <x v="0"/>
    <s v="Sunday"/>
  </r>
  <r>
    <n v="2006"/>
    <d v="2024-03-18T00:00:00"/>
    <x v="1"/>
    <x v="5"/>
    <x v="1"/>
    <n v="9"/>
    <n v="20000"/>
    <n v="180000"/>
    <x v="1"/>
    <x v="2"/>
    <x v="2"/>
    <x v="0"/>
    <s v="Monday"/>
  </r>
  <r>
    <n v="2007"/>
    <d v="2024-04-10T00:00:00"/>
    <x v="0"/>
    <x v="0"/>
    <x v="3"/>
    <n v="2"/>
    <n v="52000"/>
    <n v="104000"/>
    <x v="1"/>
    <x v="3"/>
    <x v="3"/>
    <x v="1"/>
    <s v="Wednesday"/>
  </r>
  <r>
    <n v="2008"/>
    <d v="2024-04-19T00:00:00"/>
    <x v="2"/>
    <x v="2"/>
    <x v="0"/>
    <n v="1"/>
    <n v="260000"/>
    <n v="260000"/>
    <x v="1"/>
    <x v="3"/>
    <x v="3"/>
    <x v="1"/>
    <s v="Friday"/>
  </r>
  <r>
    <n v="2009"/>
    <d v="2024-05-05T00:00:00"/>
    <x v="3"/>
    <x v="3"/>
    <x v="2"/>
    <n v="18"/>
    <n v="4300"/>
    <n v="77400"/>
    <x v="1"/>
    <x v="4"/>
    <x v="4"/>
    <x v="1"/>
    <s v="Sunday"/>
  </r>
  <r>
    <n v="2010"/>
    <d v="2024-05-22T00:00:00"/>
    <x v="1"/>
    <x v="1"/>
    <x v="1"/>
    <n v="7"/>
    <n v="22000"/>
    <n v="154000"/>
    <x v="1"/>
    <x v="4"/>
    <x v="4"/>
    <x v="1"/>
    <s v="Wednesday"/>
  </r>
  <r>
    <n v="2011"/>
    <d v="2024-06-14T00:00:00"/>
    <x v="0"/>
    <x v="4"/>
    <x v="0"/>
    <n v="3"/>
    <n v="200000"/>
    <n v="600000"/>
    <x v="1"/>
    <x v="5"/>
    <x v="5"/>
    <x v="1"/>
    <s v="Friday"/>
  </r>
  <r>
    <n v="2012"/>
    <d v="2024-06-28T00:00:00"/>
    <x v="2"/>
    <x v="5"/>
    <x v="3"/>
    <n v="4"/>
    <n v="45000"/>
    <n v="180000"/>
    <x v="1"/>
    <x v="5"/>
    <x v="5"/>
    <x v="1"/>
    <s v="Friday"/>
  </r>
  <r>
    <n v="2013"/>
    <d v="2024-07-09T00:00:00"/>
    <x v="3"/>
    <x v="3"/>
    <x v="1"/>
    <n v="5"/>
    <n v="26000"/>
    <n v="130000"/>
    <x v="1"/>
    <x v="6"/>
    <x v="6"/>
    <x v="2"/>
    <s v="Tuesday"/>
  </r>
  <r>
    <n v="2014"/>
    <d v="2024-07-20T00:00:00"/>
    <x v="0"/>
    <x v="0"/>
    <x v="0"/>
    <n v="2"/>
    <n v="175000"/>
    <n v="350000"/>
    <x v="1"/>
    <x v="6"/>
    <x v="6"/>
    <x v="2"/>
    <s v="Saturday"/>
  </r>
  <r>
    <n v="2015"/>
    <d v="2024-08-11T00:00:00"/>
    <x v="1"/>
    <x v="1"/>
    <x v="2"/>
    <n v="28"/>
    <n v="3900"/>
    <n v="109200"/>
    <x v="1"/>
    <x v="7"/>
    <x v="7"/>
    <x v="2"/>
    <s v="Sunday"/>
  </r>
  <r>
    <n v="2016"/>
    <d v="2024-08-23T00:00:00"/>
    <x v="2"/>
    <x v="2"/>
    <x v="3"/>
    <n v="5"/>
    <n v="41000"/>
    <n v="205000"/>
    <x v="1"/>
    <x v="7"/>
    <x v="7"/>
    <x v="2"/>
    <s v="Friday"/>
  </r>
  <r>
    <n v="2017"/>
    <d v="2024-09-04T00:00:00"/>
    <x v="0"/>
    <x v="4"/>
    <x v="0"/>
    <n v="1"/>
    <n v="320000"/>
    <n v="320000"/>
    <x v="1"/>
    <x v="8"/>
    <x v="8"/>
    <x v="2"/>
    <s v="Wednesday"/>
  </r>
  <r>
    <n v="2018"/>
    <d v="2024-09-19T00:00:00"/>
    <x v="3"/>
    <x v="5"/>
    <x v="1"/>
    <n v="6"/>
    <n v="24000"/>
    <n v="144000"/>
    <x v="1"/>
    <x v="8"/>
    <x v="8"/>
    <x v="2"/>
    <s v="Thursday"/>
  </r>
  <r>
    <n v="2019"/>
    <d v="2024-10-06T00:00:00"/>
    <x v="1"/>
    <x v="1"/>
    <x v="0"/>
    <n v="2"/>
    <n v="230000"/>
    <n v="460000"/>
    <x v="1"/>
    <x v="9"/>
    <x v="9"/>
    <x v="3"/>
    <s v="Sunday"/>
  </r>
  <r>
    <n v="2020"/>
    <d v="2024-10-24T00:00:00"/>
    <x v="0"/>
    <x v="0"/>
    <x v="3"/>
    <n v="3"/>
    <n v="50000"/>
    <n v="150000"/>
    <x v="1"/>
    <x v="9"/>
    <x v="9"/>
    <x v="3"/>
    <s v="Thursday"/>
  </r>
  <r>
    <n v="2021"/>
    <d v="2024-11-08T00:00:00"/>
    <x v="2"/>
    <x v="2"/>
    <x v="2"/>
    <n v="32"/>
    <n v="4500"/>
    <n v="144000"/>
    <x v="1"/>
    <x v="10"/>
    <x v="10"/>
    <x v="3"/>
    <s v="Friday"/>
  </r>
  <r>
    <n v="2022"/>
    <d v="2024-11-19T00:00:00"/>
    <x v="3"/>
    <x v="3"/>
    <x v="0"/>
    <n v="2"/>
    <n v="210000"/>
    <n v="420000"/>
    <x v="1"/>
    <x v="10"/>
    <x v="10"/>
    <x v="3"/>
    <s v="Tuesday"/>
  </r>
  <r>
    <n v="2023"/>
    <d v="2024-12-03T00:00:00"/>
    <x v="0"/>
    <x v="4"/>
    <x v="1"/>
    <n v="12"/>
    <n v="25000"/>
    <n v="300000"/>
    <x v="1"/>
    <x v="11"/>
    <x v="11"/>
    <x v="3"/>
    <s v="Tuesday"/>
  </r>
  <r>
    <n v="2024"/>
    <d v="2024-12-18T00:00:00"/>
    <x v="1"/>
    <x v="5"/>
    <x v="0"/>
    <n v="3"/>
    <n v="240000"/>
    <n v="720000"/>
    <x v="1"/>
    <x v="11"/>
    <x v="11"/>
    <x v="3"/>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D3CF7-19BF-5F4E-AE8E-87413134E54B}"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R7" firstHeaderRow="1" firstDataRow="2" firstDataCol="1"/>
  <pivotFields count="13">
    <pivotField showAll="0"/>
    <pivotField numFmtId="14" showAll="0"/>
    <pivotField showAll="0"/>
    <pivotField showAll="0">
      <items count="7">
        <item x="1"/>
        <item x="3"/>
        <item x="2"/>
        <item x="4"/>
        <item x="0"/>
        <item x="5"/>
        <item t="default"/>
      </items>
    </pivotField>
    <pivotField showAll="0">
      <items count="5">
        <item x="0"/>
        <item x="1"/>
        <item x="2"/>
        <item x="3"/>
        <item t="default"/>
      </items>
    </pivotField>
    <pivotField showAll="0"/>
    <pivotField showAll="0"/>
    <pivotField dataField="1" showAll="0"/>
    <pivotField axis="axisRow" showAll="0" sortType="descending">
      <items count="3">
        <item x="0"/>
        <item x="1"/>
        <item t="default"/>
      </items>
      <autoSortScope>
        <pivotArea dataOnly="0" outline="0" fieldPosition="0">
          <references count="2">
            <reference field="4294967294" count="1" selected="0">
              <x v="0"/>
            </reference>
            <reference field="11" count="1" selected="0">
              <x v="0"/>
            </reference>
          </references>
        </pivotArea>
      </autoSortScope>
    </pivotField>
    <pivotField showAll="0"/>
    <pivotField showAll="0"/>
    <pivotField axis="axisCol"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3">
    <i>
      <x/>
    </i>
    <i>
      <x v="1"/>
    </i>
    <i t="grand">
      <x/>
    </i>
  </rowItems>
  <colFields count="1">
    <field x="11"/>
  </colFields>
  <colItems count="5">
    <i>
      <x v="3"/>
    </i>
    <i>
      <x/>
    </i>
    <i>
      <x v="2"/>
    </i>
    <i>
      <x v="1"/>
    </i>
    <i t="grand">
      <x/>
    </i>
  </colItems>
  <dataFields count="1">
    <dataField name=" Total_Sales" fld="7" baseField="0" baseItem="0" numFmtId="165"/>
  </dataFields>
  <chartFormats count="8">
    <chartFormat chart="0" format="0" series="1">
      <pivotArea type="data" outline="0" fieldPosition="0">
        <references count="2">
          <reference field="4294967294" count="1" selected="0">
            <x v="0"/>
          </reference>
          <reference field="11" count="1" selected="0">
            <x v="3"/>
          </reference>
        </references>
      </pivotArea>
    </chartFormat>
    <chartFormat chart="0" format="1" series="1">
      <pivotArea type="data" outline="0" fieldPosition="0">
        <references count="2">
          <reference field="4294967294" count="1" selected="0">
            <x v="0"/>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6" format="8" series="1">
      <pivotArea type="data" outline="0" fieldPosition="0">
        <references count="2">
          <reference field="4294967294" count="1" selected="0">
            <x v="0"/>
          </reference>
          <reference field="11" count="1" selected="0">
            <x v="3"/>
          </reference>
        </references>
      </pivotArea>
    </chartFormat>
    <chartFormat chart="6" format="9" series="1">
      <pivotArea type="data" outline="0" fieldPosition="0">
        <references count="2">
          <reference field="4294967294" count="1" selected="0">
            <x v="0"/>
          </reference>
          <reference field="11" count="1" selected="0">
            <x v="0"/>
          </reference>
        </references>
      </pivotArea>
    </chartFormat>
    <chartFormat chart="6" format="10" series="1">
      <pivotArea type="data" outline="0" fieldPosition="0">
        <references count="2">
          <reference field="4294967294" count="1" selected="0">
            <x v="0"/>
          </reference>
          <reference field="11" count="1" selected="0">
            <x v="2"/>
          </reference>
        </references>
      </pivotArea>
    </chartFormat>
    <chartFormat chart="6" format="1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32B267-3D52-C442-BF02-7C1D118ADCEB}"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8" firstHeaderRow="1" firstDataRow="1" firstDataCol="1"/>
  <pivotFields count="13">
    <pivotField showAll="0"/>
    <pivotField numFmtId="14" showAll="0"/>
    <pivotField showAll="0"/>
    <pivotField showAll="0">
      <items count="7">
        <item x="1"/>
        <item x="3"/>
        <item x="2"/>
        <item x="4"/>
        <item x="0"/>
        <item x="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
        <item x="0"/>
        <item x="1"/>
        <item t="default"/>
      </items>
    </pivotField>
    <pivotField showAll="0"/>
    <pivotField showAll="0"/>
    <pivotField showAll="0">
      <items count="5">
        <item x="0"/>
        <item x="1"/>
        <item x="2"/>
        <item x="3"/>
        <item t="default"/>
      </items>
    </pivotField>
    <pivotField showAll="0"/>
  </pivotFields>
  <rowFields count="1">
    <field x="4"/>
  </rowFields>
  <rowItems count="5">
    <i>
      <x/>
    </i>
    <i>
      <x v="1"/>
    </i>
    <i>
      <x v="3"/>
    </i>
    <i>
      <x v="2"/>
    </i>
    <i t="grand">
      <x/>
    </i>
  </rowItems>
  <colItems count="1">
    <i/>
  </colItems>
  <dataFields count="1">
    <dataField name=" Total_Sales" fld="7" baseField="0" baseItem="0" numFmtId="165"/>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79BF58-3C5B-5445-9989-D5C30812B3A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13">
    <pivotField showAll="0"/>
    <pivotField numFmtId="14"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7">
        <item x="1"/>
        <item x="3"/>
        <item x="2"/>
        <item x="4"/>
        <item x="0"/>
        <item x="5"/>
        <item t="default"/>
      </items>
    </pivotField>
    <pivotField showAll="0">
      <items count="5">
        <item x="0"/>
        <item x="1"/>
        <item x="2"/>
        <item x="3"/>
        <item t="default"/>
      </items>
    </pivotField>
    <pivotField showAll="0"/>
    <pivotField showAll="0"/>
    <pivotField dataField="1" showAll="0"/>
    <pivotField showAll="0"/>
    <pivotField showAll="0"/>
    <pivotField showAll="0"/>
    <pivotField showAll="0">
      <items count="5">
        <item x="0"/>
        <item x="1"/>
        <item x="2"/>
        <item x="3"/>
        <item t="default"/>
      </items>
    </pivotField>
    <pivotField showAll="0"/>
  </pivotFields>
  <rowFields count="1">
    <field x="2"/>
  </rowFields>
  <rowItems count="5">
    <i>
      <x v="2"/>
    </i>
    <i>
      <x/>
    </i>
    <i>
      <x v="1"/>
    </i>
    <i>
      <x v="3"/>
    </i>
    <i t="grand">
      <x/>
    </i>
  </rowItems>
  <colItems count="1">
    <i/>
  </colItems>
  <dataFields count="1">
    <dataField name=" Total_Sales" fld="7" baseField="0" baseItem="0" numFmtId="165"/>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105A99-3016-4A49-A1BF-4C2F67B7AC1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13">
    <pivotField showAll="0"/>
    <pivotField numFmtId="14" showAll="0"/>
    <pivotField showAll="0"/>
    <pivotField showAll="0">
      <items count="7">
        <item x="1"/>
        <item x="3"/>
        <item x="2"/>
        <item x="4"/>
        <item x="0"/>
        <item x="5"/>
        <item t="default"/>
      </items>
    </pivotField>
    <pivotField showAll="0">
      <items count="5">
        <item x="0"/>
        <item x="1"/>
        <item x="2"/>
        <item x="3"/>
        <item t="default"/>
      </items>
    </pivotField>
    <pivotField showAll="0"/>
    <pivotField showAll="0"/>
    <pivotField dataField="1"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x="3"/>
        <item t="default"/>
      </items>
    </pivotField>
    <pivotField showAll="0"/>
  </pivotFields>
  <rowFields count="1">
    <field x="8"/>
  </rowFields>
  <rowItems count="3">
    <i>
      <x v="1"/>
    </i>
    <i>
      <x/>
    </i>
    <i t="grand">
      <x/>
    </i>
  </rowItems>
  <colItems count="1">
    <i/>
  </colItems>
  <dataFields count="1">
    <dataField name=" Total_Sales"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BBBBE8-8F74-0644-9962-1734C8C06824}"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3">
    <pivotField showAll="0"/>
    <pivotField numFmtId="14" showAll="0"/>
    <pivotField showAll="0"/>
    <pivotField showAll="0">
      <items count="7">
        <item x="1"/>
        <item x="3"/>
        <item x="2"/>
        <item x="4"/>
        <item x="0"/>
        <item x="5"/>
        <item t="default"/>
      </items>
    </pivotField>
    <pivotField showAll="0">
      <items count="5">
        <item x="0"/>
        <item x="1"/>
        <item x="2"/>
        <item x="3"/>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s>
  <rowFields count="1">
    <field x="10"/>
  </rowFields>
  <rowItems count="13">
    <i>
      <x v="11"/>
    </i>
    <i>
      <x v="2"/>
    </i>
    <i>
      <x v="5"/>
    </i>
    <i>
      <x v="9"/>
    </i>
    <i>
      <x v="6"/>
    </i>
    <i>
      <x v="10"/>
    </i>
    <i>
      <x/>
    </i>
    <i>
      <x v="8"/>
    </i>
    <i>
      <x v="3"/>
    </i>
    <i>
      <x v="7"/>
    </i>
    <i>
      <x v="1"/>
    </i>
    <i>
      <x v="4"/>
    </i>
    <i t="grand">
      <x/>
    </i>
  </rowItems>
  <colItems count="1">
    <i/>
  </colItems>
  <dataFields count="1">
    <dataField name=" Total_Sales" fld="7" baseField="0" baseItem="0" numFmtId="165"/>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7E1F985-BD83-854E-A4B0-E4C0D51BF74D}" sourceName="Sales_Rep">
  <pivotTables>
    <pivotTable tabId="2" name="PivotTable1"/>
    <pivotTable tabId="2" name="PivotTable2"/>
    <pivotTable tabId="2" name="PivotTable3"/>
    <pivotTable tabId="2" name="PivotTable4"/>
    <pivotTable tabId="2" name="PivotTable6"/>
  </pivotTables>
  <data>
    <tabular pivotCacheId="491434384">
      <items count="6">
        <i x="1" s="1"/>
        <i x="3" s="1"/>
        <i x="2" s="1"/>
        <i x="4"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D9C6F4-0E13-304D-B0D5-995169E420F2}" sourceName="Category">
  <pivotTables>
    <pivotTable tabId="2" name="PivotTable1"/>
    <pivotTable tabId="2" name="PivotTable2"/>
    <pivotTable tabId="2" name="PivotTable3"/>
    <pivotTable tabId="2" name="PivotTable4"/>
    <pivotTable tabId="2" name="PivotTable6"/>
  </pivotTables>
  <data>
    <tabular pivotCacheId="49143438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952CD99-6F3F-8740-A7A9-D9531D1B750D}" sourceName="Quarter">
  <pivotTables>
    <pivotTable tabId="2" name="PivotTable6"/>
    <pivotTable tabId="2" name="PivotTable1"/>
    <pivotTable tabId="2" name="PivotTable2"/>
    <pivotTable tabId="2" name="PivotTable3"/>
    <pivotTable tabId="2" name="PivotTable4"/>
  </pivotTables>
  <data>
    <tabular pivotCacheId="49143438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E37BA10C-E76D-1346-B8CF-006D4470D581}" cache="Slicer_Sales_Rep" caption="Sales_Rep" showCaption="0" rowHeight="251883"/>
  <slicer name="Category" xr10:uid="{BFC1A852-EDC7-7C4F-B27D-59FDC80A7FFE}" cache="Slicer_Category" caption="Category" showCaption="0" rowHeight="251883"/>
  <slicer name="Quarter" xr10:uid="{F5A818AF-1549-A34E-AC15-1CC1B60E64AB}" cache="Slicer_Quarter" caption="Quarter" showCaption="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E0C5BB-E40E-0E42-803D-53F9D61307C0}" name="Table1" displayName="Table1" ref="A1:M53" totalsRowShown="0" headerRowDxfId="0">
  <autoFilter ref="A1:M53" xr:uid="{A0E0C5BB-E40E-0E42-803D-53F9D61307C0}"/>
  <tableColumns count="13">
    <tableColumn id="1" xr3:uid="{32FAF7B5-7F89-1048-8605-17A816ED11D2}" name="Order_ID"/>
    <tableColumn id="2" xr3:uid="{048D0003-7376-3746-BF0E-7D0CD2C1377D}" name="Order_Date" dataDxfId="2"/>
    <tableColumn id="3" xr3:uid="{1931FE54-879A-0C49-B743-A1EFA347968B}" name="Region"/>
    <tableColumn id="4" xr3:uid="{FB65616A-7B23-5E42-892C-FC876C25EB63}" name="Sales_Rep"/>
    <tableColumn id="5" xr3:uid="{54E47261-7EDA-E446-A17D-41709AAC18F9}" name="Category"/>
    <tableColumn id="6" xr3:uid="{092DB0DE-85C4-694B-9547-0A7E87A184BD}" name="Units_Sold"/>
    <tableColumn id="7" xr3:uid="{C7962CE0-51B2-6E49-8437-7679661D021F}" name="Unit_Price"/>
    <tableColumn id="8" xr3:uid="{BE674EB9-B80B-2F42-BB25-C6082C01C6B8}" name="Total_Sales"/>
    <tableColumn id="9" xr3:uid="{D7679814-A039-DD46-89A9-9442FD3796FF}" name="Year">
      <calculatedColumnFormula>YEAR(B2)</calculatedColumnFormula>
    </tableColumn>
    <tableColumn id="10" xr3:uid="{346844A1-A125-7B46-B11D-30BA363DABCF}" name="Month">
      <calculatedColumnFormula>MONTH(B2)</calculatedColumnFormula>
    </tableColumn>
    <tableColumn id="11" xr3:uid="{2103754D-7108-5D4A-BE0D-5A5FBE1E9666}" name="Month Name">
      <calculatedColumnFormula>TEXT(B2, "mmmm")</calculatedColumnFormula>
    </tableColumn>
    <tableColumn id="12" xr3:uid="{C368A37C-2119-034A-BE94-24C26D89558E}" name="Quarter" dataDxfId="1">
      <calculatedColumnFormula>"Q"&amp;ROUNDUP(MONTH(B2)/3, 0)</calculatedColumnFormula>
    </tableColumn>
    <tableColumn id="13" xr3:uid="{060B8FD5-2D3D-2A45-9C97-56AE5753B0B4}" name="Weekday Name">
      <calculatedColumnFormula>TEXT(B2, "dddd")</calculatedColumnFormula>
    </tableColumn>
  </tableColumns>
  <tableStyleInfo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0558-ABEB-3441-AB09-28DF21D39064}">
  <dimension ref="A3:R16"/>
  <sheetViews>
    <sheetView workbookViewId="0">
      <selection activeCell="H3" sqref="H3"/>
    </sheetView>
  </sheetViews>
  <sheetFormatPr baseColWidth="10" defaultRowHeight="16" x14ac:dyDescent="0.2"/>
  <cols>
    <col min="1" max="1" width="13.5" bestFit="1" customWidth="1"/>
    <col min="2" max="2" width="11.6640625" bestFit="1" customWidth="1"/>
    <col min="4" max="4" width="13.5" bestFit="1" customWidth="1"/>
    <col min="5" max="5" width="11.6640625" bestFit="1" customWidth="1"/>
    <col min="6" max="6" width="10.5" customWidth="1"/>
    <col min="7" max="7" width="13.5" bestFit="1" customWidth="1"/>
    <col min="8" max="8" width="11.6640625" bestFit="1" customWidth="1"/>
    <col min="9" max="9" width="11.5" customWidth="1"/>
    <col min="10" max="10" width="13.5" bestFit="1" customWidth="1"/>
    <col min="11" max="11" width="11.6640625" bestFit="1" customWidth="1"/>
    <col min="13" max="13" width="13.5" bestFit="1" customWidth="1"/>
    <col min="14" max="14" width="16.33203125" bestFit="1" customWidth="1"/>
    <col min="15" max="15" width="10.5" customWidth="1"/>
    <col min="16" max="17" width="10.6640625" bestFit="1" customWidth="1"/>
    <col min="18" max="18" width="11.5" bestFit="1" customWidth="1"/>
  </cols>
  <sheetData>
    <row r="3" spans="1:18" x14ac:dyDescent="0.2">
      <c r="A3" s="3" t="s">
        <v>27</v>
      </c>
      <c r="B3" t="s">
        <v>46</v>
      </c>
      <c r="D3" s="3" t="s">
        <v>27</v>
      </c>
      <c r="E3" t="s">
        <v>46</v>
      </c>
      <c r="G3" s="3" t="s">
        <v>27</v>
      </c>
      <c r="H3" t="s">
        <v>46</v>
      </c>
      <c r="J3" s="3" t="s">
        <v>27</v>
      </c>
      <c r="K3" t="s">
        <v>46</v>
      </c>
      <c r="M3" s="3" t="s">
        <v>46</v>
      </c>
      <c r="N3" s="3" t="s">
        <v>41</v>
      </c>
    </row>
    <row r="4" spans="1:18" x14ac:dyDescent="0.2">
      <c r="A4" s="4" t="s">
        <v>40</v>
      </c>
      <c r="B4" s="5">
        <v>1920000</v>
      </c>
      <c r="D4" s="4">
        <v>2024</v>
      </c>
      <c r="E4" s="5">
        <v>6212200</v>
      </c>
      <c r="G4" s="4" t="s">
        <v>8</v>
      </c>
      <c r="H4" s="5">
        <v>5266000</v>
      </c>
      <c r="J4" s="4" t="s">
        <v>10</v>
      </c>
      <c r="K4" s="5">
        <v>7750000</v>
      </c>
      <c r="M4" s="3" t="s">
        <v>27</v>
      </c>
      <c r="N4" t="s">
        <v>45</v>
      </c>
      <c r="O4" t="s">
        <v>42</v>
      </c>
      <c r="P4" t="s">
        <v>44</v>
      </c>
      <c r="Q4" t="s">
        <v>43</v>
      </c>
      <c r="R4" t="s">
        <v>28</v>
      </c>
    </row>
    <row r="5" spans="1:18" x14ac:dyDescent="0.2">
      <c r="A5" s="4" t="s">
        <v>31</v>
      </c>
      <c r="B5" s="5">
        <v>1392000</v>
      </c>
      <c r="D5" s="4">
        <v>2023</v>
      </c>
      <c r="E5" s="5">
        <v>6167500</v>
      </c>
      <c r="G5" s="4" t="s">
        <v>11</v>
      </c>
      <c r="H5" s="5">
        <v>3447200</v>
      </c>
      <c r="J5" s="4" t="s">
        <v>13</v>
      </c>
      <c r="K5" s="5">
        <v>2012000</v>
      </c>
      <c r="M5" s="4">
        <v>2023</v>
      </c>
      <c r="N5" s="5">
        <v>2018000</v>
      </c>
      <c r="O5" s="5">
        <v>1648500</v>
      </c>
      <c r="P5" s="5">
        <v>1354000</v>
      </c>
      <c r="Q5" s="5">
        <v>1147000</v>
      </c>
      <c r="R5" s="5">
        <v>6167500</v>
      </c>
    </row>
    <row r="6" spans="1:18" x14ac:dyDescent="0.2">
      <c r="A6" s="4" t="s">
        <v>34</v>
      </c>
      <c r="B6" s="5">
        <v>1350000</v>
      </c>
      <c r="D6" s="4" t="s">
        <v>28</v>
      </c>
      <c r="E6" s="5">
        <v>12379700</v>
      </c>
      <c r="G6" s="4" t="s">
        <v>17</v>
      </c>
      <c r="H6" s="5">
        <v>1882400</v>
      </c>
      <c r="J6" s="4" t="s">
        <v>19</v>
      </c>
      <c r="K6" s="5">
        <v>1811000</v>
      </c>
      <c r="M6" s="4">
        <v>2024</v>
      </c>
      <c r="N6" s="5">
        <v>2194000</v>
      </c>
      <c r="O6" s="5">
        <v>1384600</v>
      </c>
      <c r="P6" s="5">
        <v>1258200</v>
      </c>
      <c r="Q6" s="5">
        <v>1375400</v>
      </c>
      <c r="R6" s="5">
        <v>6212200</v>
      </c>
    </row>
    <row r="7" spans="1:18" x14ac:dyDescent="0.2">
      <c r="A7" s="4" t="s">
        <v>38</v>
      </c>
      <c r="B7" s="5">
        <v>1222000</v>
      </c>
      <c r="G7" s="4" t="s">
        <v>14</v>
      </c>
      <c r="H7" s="5">
        <v>1784100</v>
      </c>
      <c r="J7" s="4" t="s">
        <v>16</v>
      </c>
      <c r="K7" s="5">
        <v>806700</v>
      </c>
      <c r="M7" s="4" t="s">
        <v>28</v>
      </c>
      <c r="N7" s="5">
        <v>4212000</v>
      </c>
      <c r="O7" s="5">
        <v>3033100</v>
      </c>
      <c r="P7" s="5">
        <v>2612200</v>
      </c>
      <c r="Q7" s="5">
        <v>2522400</v>
      </c>
      <c r="R7" s="5">
        <v>12379700</v>
      </c>
    </row>
    <row r="8" spans="1:18" x14ac:dyDescent="0.2">
      <c r="A8" s="4" t="s">
        <v>35</v>
      </c>
      <c r="B8" s="5">
        <v>1090000</v>
      </c>
      <c r="G8" s="4" t="s">
        <v>28</v>
      </c>
      <c r="H8" s="5">
        <v>12379700</v>
      </c>
      <c r="J8" s="4" t="s">
        <v>28</v>
      </c>
      <c r="K8" s="5">
        <v>12379700</v>
      </c>
    </row>
    <row r="9" spans="1:18" x14ac:dyDescent="0.2">
      <c r="A9" s="4" t="s">
        <v>39</v>
      </c>
      <c r="B9" s="5">
        <v>1070000</v>
      </c>
    </row>
    <row r="10" spans="1:18" x14ac:dyDescent="0.2">
      <c r="A10" s="4" t="s">
        <v>29</v>
      </c>
      <c r="B10" s="5">
        <v>1031000</v>
      </c>
    </row>
    <row r="11" spans="1:18" x14ac:dyDescent="0.2">
      <c r="A11" s="4" t="s">
        <v>37</v>
      </c>
      <c r="B11" s="5">
        <v>879000</v>
      </c>
    </row>
    <row r="12" spans="1:18" x14ac:dyDescent="0.2">
      <c r="A12" s="4" t="s">
        <v>32</v>
      </c>
      <c r="B12" s="5">
        <v>714000</v>
      </c>
    </row>
    <row r="13" spans="1:18" x14ac:dyDescent="0.2">
      <c r="A13" s="4" t="s">
        <v>36</v>
      </c>
      <c r="B13" s="5">
        <v>643200</v>
      </c>
    </row>
    <row r="14" spans="1:18" x14ac:dyDescent="0.2">
      <c r="A14" s="4" t="s">
        <v>30</v>
      </c>
      <c r="B14" s="5">
        <v>610100</v>
      </c>
    </row>
    <row r="15" spans="1:18" x14ac:dyDescent="0.2">
      <c r="A15" s="4" t="s">
        <v>33</v>
      </c>
      <c r="B15" s="5">
        <v>458400</v>
      </c>
    </row>
    <row r="16" spans="1:18" x14ac:dyDescent="0.2">
      <c r="A16" s="4" t="s">
        <v>28</v>
      </c>
      <c r="B16" s="5">
        <v>12379700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0421-D77C-C94D-A535-30B257512599}">
  <dimension ref="A1:M53"/>
  <sheetViews>
    <sheetView tabSelected="1" workbookViewId="0">
      <pane xSplit="6" ySplit="7" topLeftCell="G8" activePane="bottomRight" state="frozen"/>
      <selection pane="topRight" activeCell="G1" sqref="G1"/>
      <selection pane="bottomLeft" activeCell="A8" sqref="A8"/>
      <selection pane="bottomRight" activeCell="O7" sqref="O7"/>
    </sheetView>
  </sheetViews>
  <sheetFormatPr baseColWidth="10" defaultRowHeight="16" x14ac:dyDescent="0.2"/>
  <cols>
    <col min="1" max="1" width="11.5" bestFit="1" customWidth="1"/>
    <col min="2" max="2" width="13.83203125" bestFit="1" customWidth="1"/>
    <col min="3" max="3" width="12.1640625" customWidth="1"/>
    <col min="4" max="4" width="12.6640625" bestFit="1" customWidth="1"/>
    <col min="5" max="5" width="11.6640625" bestFit="1" customWidth="1"/>
    <col min="6" max="6" width="13.33203125" bestFit="1" customWidth="1"/>
    <col min="7" max="7" width="12.6640625" bestFit="1" customWidth="1"/>
    <col min="8" max="8" width="13.83203125" bestFit="1" customWidth="1"/>
    <col min="11" max="11" width="15.1640625" bestFit="1" customWidth="1"/>
    <col min="13" max="13" width="17.1640625" bestFit="1" customWidth="1"/>
  </cols>
  <sheetData>
    <row r="1" spans="1:13" x14ac:dyDescent="0.2">
      <c r="A1" s="17" t="s">
        <v>0</v>
      </c>
      <c r="B1" s="17" t="s">
        <v>1</v>
      </c>
      <c r="C1" s="17" t="s">
        <v>2</v>
      </c>
      <c r="D1" s="17" t="s">
        <v>3</v>
      </c>
      <c r="E1" s="17" t="s">
        <v>4</v>
      </c>
      <c r="F1" s="17" t="s">
        <v>5</v>
      </c>
      <c r="G1" s="17" t="s">
        <v>6</v>
      </c>
      <c r="H1" s="17" t="s">
        <v>7</v>
      </c>
      <c r="I1" s="17" t="s">
        <v>22</v>
      </c>
      <c r="J1" s="17" t="s">
        <v>23</v>
      </c>
      <c r="K1" s="17" t="s">
        <v>24</v>
      </c>
      <c r="L1" s="17" t="s">
        <v>25</v>
      </c>
      <c r="M1" s="17" t="s">
        <v>26</v>
      </c>
    </row>
    <row r="2" spans="1:13" x14ac:dyDescent="0.2">
      <c r="A2">
        <v>1001</v>
      </c>
      <c r="B2" s="1">
        <v>44929</v>
      </c>
      <c r="C2" t="s">
        <v>8</v>
      </c>
      <c r="D2" t="s">
        <v>9</v>
      </c>
      <c r="E2" t="s">
        <v>10</v>
      </c>
      <c r="F2">
        <v>2</v>
      </c>
      <c r="G2">
        <v>150000</v>
      </c>
      <c r="H2">
        <v>300000</v>
      </c>
      <c r="I2">
        <f>YEAR(B2)</f>
        <v>2023</v>
      </c>
      <c r="J2">
        <f>MONTH(B2)</f>
        <v>1</v>
      </c>
      <c r="K2" t="str">
        <f>TEXT(B2, "mmmm")</f>
        <v>January</v>
      </c>
      <c r="L2" s="2" t="str">
        <f>"Q"&amp;ROUNDUP(MONTH(B2)/3, 0)</f>
        <v>Q1</v>
      </c>
      <c r="M2" t="str">
        <f>TEXT(B2, "dddd")</f>
        <v>Tuesday</v>
      </c>
    </row>
    <row r="3" spans="1:13" x14ac:dyDescent="0.2">
      <c r="A3">
        <v>1002</v>
      </c>
      <c r="B3" s="1">
        <v>44931</v>
      </c>
      <c r="C3" t="s">
        <v>11</v>
      </c>
      <c r="D3" t="s">
        <v>12</v>
      </c>
      <c r="E3" t="s">
        <v>13</v>
      </c>
      <c r="F3">
        <v>5</v>
      </c>
      <c r="G3">
        <v>20000</v>
      </c>
      <c r="H3">
        <v>100000</v>
      </c>
      <c r="I3">
        <f t="shared" ref="I3:I53" si="0">YEAR(B3)</f>
        <v>2023</v>
      </c>
      <c r="J3">
        <f t="shared" ref="J3:J53" si="1">MONTH(B3)</f>
        <v>1</v>
      </c>
      <c r="K3" t="str">
        <f t="shared" ref="K3:K53" si="2">TEXT(B3, "mmmm")</f>
        <v>January</v>
      </c>
      <c r="L3" s="2" t="str">
        <f t="shared" ref="L3:L53" si="3">"Q"&amp;ROUNDUP(MONTH(B3)/3, 0)</f>
        <v>Q1</v>
      </c>
      <c r="M3" t="str">
        <f t="shared" ref="M3:M53" si="4">TEXT(B3, "dddd")</f>
        <v>Thursday</v>
      </c>
    </row>
    <row r="4" spans="1:13" x14ac:dyDescent="0.2">
      <c r="A4">
        <v>1003</v>
      </c>
      <c r="B4" s="1">
        <v>44934</v>
      </c>
      <c r="C4" t="s">
        <v>14</v>
      </c>
      <c r="D4" t="s">
        <v>15</v>
      </c>
      <c r="E4" t="s">
        <v>16</v>
      </c>
      <c r="F4">
        <v>10</v>
      </c>
      <c r="G4">
        <v>5000</v>
      </c>
      <c r="H4">
        <v>50000</v>
      </c>
      <c r="I4">
        <f t="shared" si="0"/>
        <v>2023</v>
      </c>
      <c r="J4">
        <f t="shared" si="1"/>
        <v>1</v>
      </c>
      <c r="K4" t="str">
        <f t="shared" si="2"/>
        <v>January</v>
      </c>
      <c r="L4" s="2" t="str">
        <f t="shared" si="3"/>
        <v>Q1</v>
      </c>
      <c r="M4" t="str">
        <f t="shared" si="4"/>
        <v>Sunday</v>
      </c>
    </row>
    <row r="5" spans="1:13" x14ac:dyDescent="0.2">
      <c r="A5">
        <v>1004</v>
      </c>
      <c r="B5" s="1">
        <v>44941</v>
      </c>
      <c r="C5" t="s">
        <v>17</v>
      </c>
      <c r="D5" t="s">
        <v>18</v>
      </c>
      <c r="E5" t="s">
        <v>19</v>
      </c>
      <c r="F5">
        <v>3</v>
      </c>
      <c r="G5">
        <v>45000</v>
      </c>
      <c r="H5">
        <v>135000</v>
      </c>
      <c r="I5">
        <f t="shared" si="0"/>
        <v>2023</v>
      </c>
      <c r="J5">
        <f t="shared" si="1"/>
        <v>1</v>
      </c>
      <c r="K5" t="str">
        <f t="shared" si="2"/>
        <v>January</v>
      </c>
      <c r="L5" s="2" t="str">
        <f t="shared" si="3"/>
        <v>Q1</v>
      </c>
      <c r="M5" t="str">
        <f t="shared" si="4"/>
        <v>Sunday</v>
      </c>
    </row>
    <row r="6" spans="1:13" x14ac:dyDescent="0.2">
      <c r="A6">
        <v>1005</v>
      </c>
      <c r="B6" s="1">
        <v>44959</v>
      </c>
      <c r="C6" t="s">
        <v>8</v>
      </c>
      <c r="D6" t="s">
        <v>9</v>
      </c>
      <c r="E6" t="s">
        <v>10</v>
      </c>
      <c r="F6">
        <v>1</v>
      </c>
      <c r="G6">
        <v>200000</v>
      </c>
      <c r="H6">
        <v>200000</v>
      </c>
      <c r="I6">
        <f t="shared" si="0"/>
        <v>2023</v>
      </c>
      <c r="J6">
        <f t="shared" si="1"/>
        <v>2</v>
      </c>
      <c r="K6" t="str">
        <f t="shared" si="2"/>
        <v>February</v>
      </c>
      <c r="L6" s="2" t="str">
        <f t="shared" si="3"/>
        <v>Q1</v>
      </c>
      <c r="M6" t="str">
        <f t="shared" si="4"/>
        <v>Thursday</v>
      </c>
    </row>
    <row r="7" spans="1:13" x14ac:dyDescent="0.2">
      <c r="A7">
        <v>1006</v>
      </c>
      <c r="B7" s="1">
        <v>44971</v>
      </c>
      <c r="C7" t="s">
        <v>11</v>
      </c>
      <c r="D7" t="s">
        <v>12</v>
      </c>
      <c r="E7" t="s">
        <v>13</v>
      </c>
      <c r="F7">
        <v>8</v>
      </c>
      <c r="G7">
        <v>18000</v>
      </c>
      <c r="H7">
        <v>144000</v>
      </c>
      <c r="I7">
        <f t="shared" si="0"/>
        <v>2023</v>
      </c>
      <c r="J7">
        <f t="shared" si="1"/>
        <v>2</v>
      </c>
      <c r="K7" t="str">
        <f t="shared" si="2"/>
        <v>February</v>
      </c>
      <c r="L7" s="2" t="str">
        <f t="shared" si="3"/>
        <v>Q1</v>
      </c>
      <c r="M7" t="str">
        <f t="shared" si="4"/>
        <v>Tuesday</v>
      </c>
    </row>
    <row r="8" spans="1:13" x14ac:dyDescent="0.2">
      <c r="A8">
        <v>1007</v>
      </c>
      <c r="B8" s="1">
        <v>44977</v>
      </c>
      <c r="C8" t="s">
        <v>14</v>
      </c>
      <c r="D8" t="s">
        <v>15</v>
      </c>
      <c r="E8" t="s">
        <v>16</v>
      </c>
      <c r="F8">
        <v>15</v>
      </c>
      <c r="G8">
        <v>4500</v>
      </c>
      <c r="H8">
        <v>67500</v>
      </c>
      <c r="I8">
        <f t="shared" si="0"/>
        <v>2023</v>
      </c>
      <c r="J8">
        <f t="shared" si="1"/>
        <v>2</v>
      </c>
      <c r="K8" t="str">
        <f t="shared" si="2"/>
        <v>February</v>
      </c>
      <c r="L8" s="2" t="str">
        <f t="shared" si="3"/>
        <v>Q1</v>
      </c>
      <c r="M8" t="str">
        <f t="shared" si="4"/>
        <v>Monday</v>
      </c>
    </row>
    <row r="9" spans="1:13" x14ac:dyDescent="0.2">
      <c r="A9">
        <v>1008</v>
      </c>
      <c r="B9" s="1">
        <v>44986</v>
      </c>
      <c r="C9" t="s">
        <v>17</v>
      </c>
      <c r="D9" t="s">
        <v>18</v>
      </c>
      <c r="E9" t="s">
        <v>19</v>
      </c>
      <c r="F9">
        <v>4</v>
      </c>
      <c r="G9">
        <v>40000</v>
      </c>
      <c r="H9">
        <v>160000</v>
      </c>
      <c r="I9">
        <f t="shared" si="0"/>
        <v>2023</v>
      </c>
      <c r="J9">
        <f t="shared" si="1"/>
        <v>3</v>
      </c>
      <c r="K9" t="str">
        <f t="shared" si="2"/>
        <v>March</v>
      </c>
      <c r="L9" s="2" t="str">
        <f t="shared" si="3"/>
        <v>Q1</v>
      </c>
      <c r="M9" t="str">
        <f t="shared" si="4"/>
        <v>Wednesday</v>
      </c>
    </row>
    <row r="10" spans="1:13" x14ac:dyDescent="0.2">
      <c r="A10">
        <v>1009</v>
      </c>
      <c r="B10" s="1">
        <v>44995</v>
      </c>
      <c r="C10" t="s">
        <v>8</v>
      </c>
      <c r="D10" t="s">
        <v>20</v>
      </c>
      <c r="E10" t="s">
        <v>10</v>
      </c>
      <c r="F10">
        <v>3</v>
      </c>
      <c r="G10">
        <v>120000</v>
      </c>
      <c r="H10">
        <v>360000</v>
      </c>
      <c r="I10">
        <f t="shared" si="0"/>
        <v>2023</v>
      </c>
      <c r="J10">
        <f t="shared" si="1"/>
        <v>3</v>
      </c>
      <c r="K10" t="str">
        <f t="shared" si="2"/>
        <v>March</v>
      </c>
      <c r="L10" s="2" t="str">
        <f t="shared" si="3"/>
        <v>Q1</v>
      </c>
      <c r="M10" t="str">
        <f t="shared" si="4"/>
        <v>Friday</v>
      </c>
    </row>
    <row r="11" spans="1:13" x14ac:dyDescent="0.2">
      <c r="A11">
        <v>1010</v>
      </c>
      <c r="B11" s="1">
        <v>45003</v>
      </c>
      <c r="C11" t="s">
        <v>11</v>
      </c>
      <c r="D11" t="s">
        <v>21</v>
      </c>
      <c r="E11" t="s">
        <v>13</v>
      </c>
      <c r="F11">
        <v>6</v>
      </c>
      <c r="G11">
        <v>22000</v>
      </c>
      <c r="H11">
        <v>132000</v>
      </c>
      <c r="I11">
        <f t="shared" si="0"/>
        <v>2023</v>
      </c>
      <c r="J11">
        <f t="shared" si="1"/>
        <v>3</v>
      </c>
      <c r="K11" t="str">
        <f t="shared" si="2"/>
        <v>March</v>
      </c>
      <c r="L11" s="2" t="str">
        <f t="shared" si="3"/>
        <v>Q1</v>
      </c>
      <c r="M11" t="str">
        <f t="shared" si="4"/>
        <v>Saturday</v>
      </c>
    </row>
    <row r="12" spans="1:13" x14ac:dyDescent="0.2">
      <c r="A12">
        <v>1011</v>
      </c>
      <c r="B12" s="1">
        <v>45020</v>
      </c>
      <c r="C12" t="s">
        <v>8</v>
      </c>
      <c r="D12" t="s">
        <v>9</v>
      </c>
      <c r="E12" t="s">
        <v>19</v>
      </c>
      <c r="F12">
        <v>2</v>
      </c>
      <c r="G12">
        <v>50000</v>
      </c>
      <c r="H12">
        <v>100000</v>
      </c>
      <c r="I12">
        <f t="shared" si="0"/>
        <v>2023</v>
      </c>
      <c r="J12">
        <f t="shared" si="1"/>
        <v>4</v>
      </c>
      <c r="K12" t="str">
        <f t="shared" si="2"/>
        <v>April</v>
      </c>
      <c r="L12" s="2" t="str">
        <f t="shared" si="3"/>
        <v>Q2</v>
      </c>
      <c r="M12" t="str">
        <f t="shared" si="4"/>
        <v>Tuesday</v>
      </c>
    </row>
    <row r="13" spans="1:13" x14ac:dyDescent="0.2">
      <c r="A13">
        <v>1012</v>
      </c>
      <c r="B13" s="1">
        <v>45032</v>
      </c>
      <c r="C13" t="s">
        <v>14</v>
      </c>
      <c r="D13" t="s">
        <v>15</v>
      </c>
      <c r="E13" t="s">
        <v>10</v>
      </c>
      <c r="F13">
        <v>1</v>
      </c>
      <c r="G13">
        <v>250000</v>
      </c>
      <c r="H13">
        <v>250000</v>
      </c>
      <c r="I13">
        <f t="shared" si="0"/>
        <v>2023</v>
      </c>
      <c r="J13">
        <f t="shared" si="1"/>
        <v>4</v>
      </c>
      <c r="K13" t="str">
        <f t="shared" si="2"/>
        <v>April</v>
      </c>
      <c r="L13" s="2" t="str">
        <f t="shared" si="3"/>
        <v>Q2</v>
      </c>
      <c r="M13" t="str">
        <f t="shared" si="4"/>
        <v>Sunday</v>
      </c>
    </row>
    <row r="14" spans="1:13" x14ac:dyDescent="0.2">
      <c r="A14">
        <v>1013</v>
      </c>
      <c r="B14" s="1">
        <v>45048</v>
      </c>
      <c r="C14" t="s">
        <v>17</v>
      </c>
      <c r="D14" t="s">
        <v>18</v>
      </c>
      <c r="E14" t="s">
        <v>16</v>
      </c>
      <c r="F14">
        <v>20</v>
      </c>
      <c r="G14">
        <v>4000</v>
      </c>
      <c r="H14">
        <v>80000</v>
      </c>
      <c r="I14">
        <f t="shared" si="0"/>
        <v>2023</v>
      </c>
      <c r="J14">
        <f t="shared" si="1"/>
        <v>5</v>
      </c>
      <c r="K14" t="str">
        <f t="shared" si="2"/>
        <v>May</v>
      </c>
      <c r="L14" s="2" t="str">
        <f t="shared" si="3"/>
        <v>Q2</v>
      </c>
      <c r="M14" t="str">
        <f t="shared" si="4"/>
        <v>Tuesday</v>
      </c>
    </row>
    <row r="15" spans="1:13" x14ac:dyDescent="0.2">
      <c r="A15">
        <v>1014</v>
      </c>
      <c r="B15" s="1">
        <v>45061</v>
      </c>
      <c r="C15" t="s">
        <v>11</v>
      </c>
      <c r="D15" t="s">
        <v>12</v>
      </c>
      <c r="E15" t="s">
        <v>13</v>
      </c>
      <c r="F15">
        <v>7</v>
      </c>
      <c r="G15">
        <v>21000</v>
      </c>
      <c r="H15">
        <v>147000</v>
      </c>
      <c r="I15">
        <f t="shared" si="0"/>
        <v>2023</v>
      </c>
      <c r="J15">
        <f t="shared" si="1"/>
        <v>5</v>
      </c>
      <c r="K15" t="str">
        <f t="shared" si="2"/>
        <v>May</v>
      </c>
      <c r="L15" s="2" t="str">
        <f t="shared" si="3"/>
        <v>Q2</v>
      </c>
      <c r="M15" t="str">
        <f t="shared" si="4"/>
        <v>Monday</v>
      </c>
    </row>
    <row r="16" spans="1:13" x14ac:dyDescent="0.2">
      <c r="A16">
        <v>1015</v>
      </c>
      <c r="B16" s="1">
        <v>45087</v>
      </c>
      <c r="C16" t="s">
        <v>8</v>
      </c>
      <c r="D16" t="s">
        <v>20</v>
      </c>
      <c r="E16" t="s">
        <v>10</v>
      </c>
      <c r="F16">
        <v>2</v>
      </c>
      <c r="G16">
        <v>180000</v>
      </c>
      <c r="H16">
        <v>360000</v>
      </c>
      <c r="I16">
        <f t="shared" si="0"/>
        <v>2023</v>
      </c>
      <c r="J16">
        <f t="shared" si="1"/>
        <v>6</v>
      </c>
      <c r="K16" t="str">
        <f t="shared" si="2"/>
        <v>June</v>
      </c>
      <c r="L16" s="2" t="str">
        <f t="shared" si="3"/>
        <v>Q2</v>
      </c>
      <c r="M16" t="str">
        <f t="shared" si="4"/>
        <v>Saturday</v>
      </c>
    </row>
    <row r="17" spans="1:13" x14ac:dyDescent="0.2">
      <c r="A17">
        <v>1016</v>
      </c>
      <c r="B17" s="1">
        <v>45098</v>
      </c>
      <c r="C17" t="s">
        <v>14</v>
      </c>
      <c r="D17" t="s">
        <v>21</v>
      </c>
      <c r="E17" t="s">
        <v>19</v>
      </c>
      <c r="F17">
        <v>5</v>
      </c>
      <c r="G17">
        <v>42000</v>
      </c>
      <c r="H17">
        <v>210000</v>
      </c>
      <c r="I17">
        <f t="shared" si="0"/>
        <v>2023</v>
      </c>
      <c r="J17">
        <f t="shared" si="1"/>
        <v>6</v>
      </c>
      <c r="K17" t="str">
        <f t="shared" si="2"/>
        <v>June</v>
      </c>
      <c r="L17" s="2" t="str">
        <f t="shared" si="3"/>
        <v>Q2</v>
      </c>
      <c r="M17" t="str">
        <f t="shared" si="4"/>
        <v>Wednesday</v>
      </c>
    </row>
    <row r="18" spans="1:13" x14ac:dyDescent="0.2">
      <c r="A18">
        <v>1017</v>
      </c>
      <c r="B18" s="1">
        <v>45112</v>
      </c>
      <c r="C18" t="s">
        <v>17</v>
      </c>
      <c r="D18" t="s">
        <v>18</v>
      </c>
      <c r="E18" t="s">
        <v>13</v>
      </c>
      <c r="F18">
        <v>4</v>
      </c>
      <c r="G18">
        <v>25000</v>
      </c>
      <c r="H18">
        <v>100000</v>
      </c>
      <c r="I18">
        <f t="shared" si="0"/>
        <v>2023</v>
      </c>
      <c r="J18">
        <f t="shared" si="1"/>
        <v>7</v>
      </c>
      <c r="K18" t="str">
        <f t="shared" si="2"/>
        <v>July</v>
      </c>
      <c r="L18" s="2" t="str">
        <f t="shared" si="3"/>
        <v>Q3</v>
      </c>
      <c r="M18" t="str">
        <f t="shared" si="4"/>
        <v>Wednesday</v>
      </c>
    </row>
    <row r="19" spans="1:13" x14ac:dyDescent="0.2">
      <c r="A19">
        <v>1018</v>
      </c>
      <c r="B19" s="1">
        <v>45125</v>
      </c>
      <c r="C19" t="s">
        <v>8</v>
      </c>
      <c r="D19" t="s">
        <v>9</v>
      </c>
      <c r="E19" t="s">
        <v>10</v>
      </c>
      <c r="F19">
        <v>3</v>
      </c>
      <c r="G19">
        <v>170000</v>
      </c>
      <c r="H19">
        <v>510000</v>
      </c>
      <c r="I19">
        <f t="shared" si="0"/>
        <v>2023</v>
      </c>
      <c r="J19">
        <f t="shared" si="1"/>
        <v>7</v>
      </c>
      <c r="K19" t="str">
        <f t="shared" si="2"/>
        <v>July</v>
      </c>
      <c r="L19" s="2" t="str">
        <f t="shared" si="3"/>
        <v>Q3</v>
      </c>
      <c r="M19" t="str">
        <f t="shared" si="4"/>
        <v>Tuesday</v>
      </c>
    </row>
    <row r="20" spans="1:13" x14ac:dyDescent="0.2">
      <c r="A20">
        <v>1019</v>
      </c>
      <c r="B20" s="1">
        <v>45147</v>
      </c>
      <c r="C20" t="s">
        <v>11</v>
      </c>
      <c r="D20" t="s">
        <v>12</v>
      </c>
      <c r="E20" t="s">
        <v>16</v>
      </c>
      <c r="F20">
        <v>25</v>
      </c>
      <c r="G20">
        <v>3800</v>
      </c>
      <c r="H20">
        <v>95000</v>
      </c>
      <c r="I20">
        <f t="shared" si="0"/>
        <v>2023</v>
      </c>
      <c r="J20">
        <f t="shared" si="1"/>
        <v>8</v>
      </c>
      <c r="K20" t="str">
        <f t="shared" si="2"/>
        <v>August</v>
      </c>
      <c r="L20" s="2" t="str">
        <f t="shared" si="3"/>
        <v>Q3</v>
      </c>
      <c r="M20" t="str">
        <f t="shared" si="4"/>
        <v>Wednesday</v>
      </c>
    </row>
    <row r="21" spans="1:13" x14ac:dyDescent="0.2">
      <c r="A21">
        <v>1020</v>
      </c>
      <c r="B21" s="1">
        <v>45160</v>
      </c>
      <c r="C21" t="s">
        <v>14</v>
      </c>
      <c r="D21" t="s">
        <v>15</v>
      </c>
      <c r="E21" t="s">
        <v>19</v>
      </c>
      <c r="F21">
        <v>6</v>
      </c>
      <c r="G21">
        <v>39000</v>
      </c>
      <c r="H21">
        <v>234000</v>
      </c>
      <c r="I21">
        <f t="shared" si="0"/>
        <v>2023</v>
      </c>
      <c r="J21">
        <f t="shared" si="1"/>
        <v>8</v>
      </c>
      <c r="K21" t="str">
        <f t="shared" si="2"/>
        <v>August</v>
      </c>
      <c r="L21" s="2" t="str">
        <f t="shared" si="3"/>
        <v>Q3</v>
      </c>
      <c r="M21" t="str">
        <f t="shared" si="4"/>
        <v>Tuesday</v>
      </c>
    </row>
    <row r="22" spans="1:13" x14ac:dyDescent="0.2">
      <c r="A22">
        <v>1021</v>
      </c>
      <c r="B22" s="1">
        <v>45172</v>
      </c>
      <c r="C22" t="s">
        <v>8</v>
      </c>
      <c r="D22" t="s">
        <v>20</v>
      </c>
      <c r="E22" t="s">
        <v>10</v>
      </c>
      <c r="F22">
        <v>1</v>
      </c>
      <c r="G22">
        <v>300000</v>
      </c>
      <c r="H22">
        <v>300000</v>
      </c>
      <c r="I22">
        <f t="shared" si="0"/>
        <v>2023</v>
      </c>
      <c r="J22">
        <f t="shared" si="1"/>
        <v>9</v>
      </c>
      <c r="K22" t="str">
        <f t="shared" si="2"/>
        <v>September</v>
      </c>
      <c r="L22" s="2" t="str">
        <f t="shared" si="3"/>
        <v>Q3</v>
      </c>
      <c r="M22" t="str">
        <f t="shared" si="4"/>
        <v>Sunday</v>
      </c>
    </row>
    <row r="23" spans="1:13" x14ac:dyDescent="0.2">
      <c r="A23">
        <v>1022</v>
      </c>
      <c r="B23" s="1">
        <v>45186</v>
      </c>
      <c r="C23" t="s">
        <v>17</v>
      </c>
      <c r="D23" t="s">
        <v>21</v>
      </c>
      <c r="E23" t="s">
        <v>13</v>
      </c>
      <c r="F23">
        <v>5</v>
      </c>
      <c r="G23">
        <v>23000</v>
      </c>
      <c r="H23">
        <v>115000</v>
      </c>
      <c r="I23">
        <f t="shared" si="0"/>
        <v>2023</v>
      </c>
      <c r="J23">
        <f t="shared" si="1"/>
        <v>9</v>
      </c>
      <c r="K23" t="str">
        <f t="shared" si="2"/>
        <v>September</v>
      </c>
      <c r="L23" s="2" t="str">
        <f t="shared" si="3"/>
        <v>Q3</v>
      </c>
      <c r="M23" t="str">
        <f t="shared" si="4"/>
        <v>Sunday</v>
      </c>
    </row>
    <row r="24" spans="1:13" x14ac:dyDescent="0.2">
      <c r="A24">
        <v>1023</v>
      </c>
      <c r="B24" s="1">
        <v>45210</v>
      </c>
      <c r="C24" t="s">
        <v>11</v>
      </c>
      <c r="D24" t="s">
        <v>12</v>
      </c>
      <c r="E24" t="s">
        <v>10</v>
      </c>
      <c r="F24">
        <v>2</v>
      </c>
      <c r="G24">
        <v>210000</v>
      </c>
      <c r="H24">
        <v>420000</v>
      </c>
      <c r="I24">
        <f t="shared" si="0"/>
        <v>2023</v>
      </c>
      <c r="J24">
        <f t="shared" si="1"/>
        <v>10</v>
      </c>
      <c r="K24" t="str">
        <f t="shared" si="2"/>
        <v>October</v>
      </c>
      <c r="L24" s="2" t="str">
        <f t="shared" si="3"/>
        <v>Q4</v>
      </c>
      <c r="M24" t="str">
        <f t="shared" si="4"/>
        <v>Wednesday</v>
      </c>
    </row>
    <row r="25" spans="1:13" x14ac:dyDescent="0.2">
      <c r="A25">
        <v>1024</v>
      </c>
      <c r="B25" s="1">
        <v>45224</v>
      </c>
      <c r="C25" t="s">
        <v>8</v>
      </c>
      <c r="D25" t="s">
        <v>9</v>
      </c>
      <c r="E25" t="s">
        <v>19</v>
      </c>
      <c r="F25">
        <v>4</v>
      </c>
      <c r="G25">
        <v>48000</v>
      </c>
      <c r="H25">
        <v>192000</v>
      </c>
      <c r="I25">
        <f t="shared" si="0"/>
        <v>2023</v>
      </c>
      <c r="J25">
        <f t="shared" si="1"/>
        <v>10</v>
      </c>
      <c r="K25" t="str">
        <f t="shared" si="2"/>
        <v>October</v>
      </c>
      <c r="L25" s="2" t="str">
        <f t="shared" si="3"/>
        <v>Q4</v>
      </c>
      <c r="M25" t="str">
        <f t="shared" si="4"/>
        <v>Wednesday</v>
      </c>
    </row>
    <row r="26" spans="1:13" x14ac:dyDescent="0.2">
      <c r="A26">
        <v>1025</v>
      </c>
      <c r="B26" s="1">
        <v>45235</v>
      </c>
      <c r="C26" t="s">
        <v>14</v>
      </c>
      <c r="D26" t="s">
        <v>15</v>
      </c>
      <c r="E26" t="s">
        <v>16</v>
      </c>
      <c r="F26">
        <v>30</v>
      </c>
      <c r="G26">
        <v>4200</v>
      </c>
      <c r="H26">
        <v>126000</v>
      </c>
      <c r="I26">
        <f t="shared" si="0"/>
        <v>2023</v>
      </c>
      <c r="J26">
        <f t="shared" si="1"/>
        <v>11</v>
      </c>
      <c r="K26" t="str">
        <f t="shared" si="2"/>
        <v>November</v>
      </c>
      <c r="L26" s="2" t="str">
        <f t="shared" si="3"/>
        <v>Q4</v>
      </c>
      <c r="M26" t="str">
        <f t="shared" si="4"/>
        <v>Sunday</v>
      </c>
    </row>
    <row r="27" spans="1:13" x14ac:dyDescent="0.2">
      <c r="A27">
        <v>1026</v>
      </c>
      <c r="B27" s="1">
        <v>45250</v>
      </c>
      <c r="C27" t="s">
        <v>17</v>
      </c>
      <c r="D27" t="s">
        <v>18</v>
      </c>
      <c r="E27" t="s">
        <v>10</v>
      </c>
      <c r="F27">
        <v>2</v>
      </c>
      <c r="G27">
        <v>190000</v>
      </c>
      <c r="H27">
        <v>380000</v>
      </c>
      <c r="I27">
        <f t="shared" si="0"/>
        <v>2023</v>
      </c>
      <c r="J27">
        <f t="shared" si="1"/>
        <v>11</v>
      </c>
      <c r="K27" t="str">
        <f t="shared" si="2"/>
        <v>November</v>
      </c>
      <c r="L27" s="2" t="str">
        <f t="shared" si="3"/>
        <v>Q4</v>
      </c>
      <c r="M27" t="str">
        <f t="shared" si="4"/>
        <v>Monday</v>
      </c>
    </row>
    <row r="28" spans="1:13" x14ac:dyDescent="0.2">
      <c r="A28">
        <v>1027</v>
      </c>
      <c r="B28" s="1">
        <v>45262</v>
      </c>
      <c r="C28" t="s">
        <v>8</v>
      </c>
      <c r="D28" t="s">
        <v>20</v>
      </c>
      <c r="E28" t="s">
        <v>13</v>
      </c>
      <c r="F28">
        <v>10</v>
      </c>
      <c r="G28">
        <v>24000</v>
      </c>
      <c r="H28">
        <v>240000</v>
      </c>
      <c r="I28">
        <f t="shared" si="0"/>
        <v>2023</v>
      </c>
      <c r="J28">
        <f t="shared" si="1"/>
        <v>12</v>
      </c>
      <c r="K28" t="str">
        <f t="shared" si="2"/>
        <v>December</v>
      </c>
      <c r="L28" s="2" t="str">
        <f t="shared" si="3"/>
        <v>Q4</v>
      </c>
      <c r="M28" t="str">
        <f t="shared" si="4"/>
        <v>Saturday</v>
      </c>
    </row>
    <row r="29" spans="1:13" x14ac:dyDescent="0.2">
      <c r="A29">
        <v>1028</v>
      </c>
      <c r="B29" s="1">
        <v>45275</v>
      </c>
      <c r="C29" t="s">
        <v>11</v>
      </c>
      <c r="D29" t="s">
        <v>21</v>
      </c>
      <c r="E29" t="s">
        <v>10</v>
      </c>
      <c r="F29">
        <v>3</v>
      </c>
      <c r="G29">
        <v>220000</v>
      </c>
      <c r="H29">
        <v>660000</v>
      </c>
      <c r="I29">
        <f t="shared" si="0"/>
        <v>2023</v>
      </c>
      <c r="J29">
        <f t="shared" si="1"/>
        <v>12</v>
      </c>
      <c r="K29" t="str">
        <f t="shared" si="2"/>
        <v>December</v>
      </c>
      <c r="L29" s="2" t="str">
        <f t="shared" si="3"/>
        <v>Q4</v>
      </c>
      <c r="M29" t="str">
        <f t="shared" si="4"/>
        <v>Friday</v>
      </c>
    </row>
    <row r="30" spans="1:13" x14ac:dyDescent="0.2">
      <c r="A30">
        <v>2001</v>
      </c>
      <c r="B30" s="1">
        <v>45295</v>
      </c>
      <c r="C30" t="s">
        <v>8</v>
      </c>
      <c r="D30" t="s">
        <v>9</v>
      </c>
      <c r="E30" t="s">
        <v>10</v>
      </c>
      <c r="F30">
        <v>2</v>
      </c>
      <c r="G30">
        <v>160000</v>
      </c>
      <c r="H30">
        <v>320000</v>
      </c>
      <c r="I30">
        <f t="shared" si="0"/>
        <v>2024</v>
      </c>
      <c r="J30">
        <f t="shared" si="1"/>
        <v>1</v>
      </c>
      <c r="K30" t="str">
        <f t="shared" si="2"/>
        <v>January</v>
      </c>
      <c r="L30" s="2" t="str">
        <f t="shared" si="3"/>
        <v>Q1</v>
      </c>
      <c r="M30" t="str">
        <f t="shared" si="4"/>
        <v>Thursday</v>
      </c>
    </row>
    <row r="31" spans="1:13" x14ac:dyDescent="0.2">
      <c r="A31">
        <v>2002</v>
      </c>
      <c r="B31" s="1">
        <v>45303</v>
      </c>
      <c r="C31" t="s">
        <v>11</v>
      </c>
      <c r="D31" t="s">
        <v>12</v>
      </c>
      <c r="E31" t="s">
        <v>13</v>
      </c>
      <c r="F31">
        <v>6</v>
      </c>
      <c r="G31">
        <v>21000</v>
      </c>
      <c r="H31">
        <v>126000</v>
      </c>
      <c r="I31">
        <f t="shared" si="0"/>
        <v>2024</v>
      </c>
      <c r="J31">
        <f t="shared" si="1"/>
        <v>1</v>
      </c>
      <c r="K31" t="str">
        <f t="shared" si="2"/>
        <v>January</v>
      </c>
      <c r="L31" s="2" t="str">
        <f t="shared" si="3"/>
        <v>Q1</v>
      </c>
      <c r="M31" t="str">
        <f t="shared" si="4"/>
        <v>Friday</v>
      </c>
    </row>
    <row r="32" spans="1:13" x14ac:dyDescent="0.2">
      <c r="A32">
        <v>2003</v>
      </c>
      <c r="B32" s="1">
        <v>45330</v>
      </c>
      <c r="C32" t="s">
        <v>14</v>
      </c>
      <c r="D32" t="s">
        <v>15</v>
      </c>
      <c r="E32" t="s">
        <v>16</v>
      </c>
      <c r="F32">
        <v>12</v>
      </c>
      <c r="G32">
        <v>4800</v>
      </c>
      <c r="H32">
        <v>57600</v>
      </c>
      <c r="I32">
        <f t="shared" si="0"/>
        <v>2024</v>
      </c>
      <c r="J32">
        <f t="shared" si="1"/>
        <v>2</v>
      </c>
      <c r="K32" t="str">
        <f t="shared" si="2"/>
        <v>February</v>
      </c>
      <c r="L32" s="2" t="str">
        <f t="shared" si="3"/>
        <v>Q1</v>
      </c>
      <c r="M32" t="str">
        <f t="shared" si="4"/>
        <v>Thursday</v>
      </c>
    </row>
    <row r="33" spans="1:13" x14ac:dyDescent="0.2">
      <c r="A33">
        <v>2004</v>
      </c>
      <c r="B33" s="1">
        <v>45342</v>
      </c>
      <c r="C33" t="s">
        <v>17</v>
      </c>
      <c r="D33" t="s">
        <v>18</v>
      </c>
      <c r="E33" t="s">
        <v>19</v>
      </c>
      <c r="F33">
        <v>3</v>
      </c>
      <c r="G33">
        <v>47000</v>
      </c>
      <c r="H33">
        <v>141000</v>
      </c>
      <c r="I33">
        <f t="shared" si="0"/>
        <v>2024</v>
      </c>
      <c r="J33">
        <f t="shared" si="1"/>
        <v>2</v>
      </c>
      <c r="K33" t="str">
        <f t="shared" si="2"/>
        <v>February</v>
      </c>
      <c r="L33" s="2" t="str">
        <f t="shared" si="3"/>
        <v>Q1</v>
      </c>
      <c r="M33" t="str">
        <f t="shared" si="4"/>
        <v>Tuesday</v>
      </c>
    </row>
    <row r="34" spans="1:13" x14ac:dyDescent="0.2">
      <c r="A34">
        <v>2005</v>
      </c>
      <c r="B34" s="1">
        <v>45354</v>
      </c>
      <c r="C34" t="s">
        <v>8</v>
      </c>
      <c r="D34" t="s">
        <v>20</v>
      </c>
      <c r="E34" t="s">
        <v>10</v>
      </c>
      <c r="F34">
        <v>4</v>
      </c>
      <c r="G34">
        <v>140000</v>
      </c>
      <c r="H34">
        <v>560000</v>
      </c>
      <c r="I34">
        <f t="shared" si="0"/>
        <v>2024</v>
      </c>
      <c r="J34">
        <f t="shared" si="1"/>
        <v>3</v>
      </c>
      <c r="K34" t="str">
        <f t="shared" si="2"/>
        <v>March</v>
      </c>
      <c r="L34" s="2" t="str">
        <f t="shared" si="3"/>
        <v>Q1</v>
      </c>
      <c r="M34" t="str">
        <f t="shared" si="4"/>
        <v>Sunday</v>
      </c>
    </row>
    <row r="35" spans="1:13" x14ac:dyDescent="0.2">
      <c r="A35">
        <v>2006</v>
      </c>
      <c r="B35" s="1">
        <v>45369</v>
      </c>
      <c r="C35" t="s">
        <v>11</v>
      </c>
      <c r="D35" t="s">
        <v>21</v>
      </c>
      <c r="E35" t="s">
        <v>13</v>
      </c>
      <c r="F35">
        <v>9</v>
      </c>
      <c r="G35">
        <v>20000</v>
      </c>
      <c r="H35">
        <v>180000</v>
      </c>
      <c r="I35">
        <f t="shared" si="0"/>
        <v>2024</v>
      </c>
      <c r="J35">
        <f t="shared" si="1"/>
        <v>3</v>
      </c>
      <c r="K35" t="str">
        <f t="shared" si="2"/>
        <v>March</v>
      </c>
      <c r="L35" s="2" t="str">
        <f t="shared" si="3"/>
        <v>Q1</v>
      </c>
      <c r="M35" t="str">
        <f t="shared" si="4"/>
        <v>Monday</v>
      </c>
    </row>
    <row r="36" spans="1:13" x14ac:dyDescent="0.2">
      <c r="A36">
        <v>2007</v>
      </c>
      <c r="B36" s="1">
        <v>45392</v>
      </c>
      <c r="C36" t="s">
        <v>8</v>
      </c>
      <c r="D36" t="s">
        <v>9</v>
      </c>
      <c r="E36" t="s">
        <v>19</v>
      </c>
      <c r="F36">
        <v>2</v>
      </c>
      <c r="G36">
        <v>52000</v>
      </c>
      <c r="H36">
        <v>104000</v>
      </c>
      <c r="I36">
        <f t="shared" si="0"/>
        <v>2024</v>
      </c>
      <c r="J36">
        <f t="shared" si="1"/>
        <v>4</v>
      </c>
      <c r="K36" t="str">
        <f t="shared" si="2"/>
        <v>April</v>
      </c>
      <c r="L36" s="2" t="str">
        <f t="shared" si="3"/>
        <v>Q2</v>
      </c>
      <c r="M36" t="str">
        <f t="shared" si="4"/>
        <v>Wednesday</v>
      </c>
    </row>
    <row r="37" spans="1:13" x14ac:dyDescent="0.2">
      <c r="A37">
        <v>2008</v>
      </c>
      <c r="B37" s="1">
        <v>45401</v>
      </c>
      <c r="C37" t="s">
        <v>14</v>
      </c>
      <c r="D37" t="s">
        <v>15</v>
      </c>
      <c r="E37" t="s">
        <v>10</v>
      </c>
      <c r="F37">
        <v>1</v>
      </c>
      <c r="G37">
        <v>260000</v>
      </c>
      <c r="H37">
        <v>260000</v>
      </c>
      <c r="I37">
        <f t="shared" si="0"/>
        <v>2024</v>
      </c>
      <c r="J37">
        <f t="shared" si="1"/>
        <v>4</v>
      </c>
      <c r="K37" t="str">
        <f t="shared" si="2"/>
        <v>April</v>
      </c>
      <c r="L37" s="2" t="str">
        <f t="shared" si="3"/>
        <v>Q2</v>
      </c>
      <c r="M37" t="str">
        <f t="shared" si="4"/>
        <v>Friday</v>
      </c>
    </row>
    <row r="38" spans="1:13" x14ac:dyDescent="0.2">
      <c r="A38">
        <v>2009</v>
      </c>
      <c r="B38" s="1">
        <v>45417</v>
      </c>
      <c r="C38" t="s">
        <v>17</v>
      </c>
      <c r="D38" t="s">
        <v>18</v>
      </c>
      <c r="E38" t="s">
        <v>16</v>
      </c>
      <c r="F38">
        <v>18</v>
      </c>
      <c r="G38">
        <v>4300</v>
      </c>
      <c r="H38">
        <v>77400</v>
      </c>
      <c r="I38">
        <f t="shared" si="0"/>
        <v>2024</v>
      </c>
      <c r="J38">
        <f t="shared" si="1"/>
        <v>5</v>
      </c>
      <c r="K38" t="str">
        <f t="shared" si="2"/>
        <v>May</v>
      </c>
      <c r="L38" s="2" t="str">
        <f t="shared" si="3"/>
        <v>Q2</v>
      </c>
      <c r="M38" t="str">
        <f t="shared" si="4"/>
        <v>Sunday</v>
      </c>
    </row>
    <row r="39" spans="1:13" x14ac:dyDescent="0.2">
      <c r="A39">
        <v>2010</v>
      </c>
      <c r="B39" s="1">
        <v>45434</v>
      </c>
      <c r="C39" t="s">
        <v>11</v>
      </c>
      <c r="D39" t="s">
        <v>12</v>
      </c>
      <c r="E39" t="s">
        <v>13</v>
      </c>
      <c r="F39">
        <v>7</v>
      </c>
      <c r="G39">
        <v>22000</v>
      </c>
      <c r="H39">
        <v>154000</v>
      </c>
      <c r="I39">
        <f t="shared" si="0"/>
        <v>2024</v>
      </c>
      <c r="J39">
        <f t="shared" si="1"/>
        <v>5</v>
      </c>
      <c r="K39" t="str">
        <f t="shared" si="2"/>
        <v>May</v>
      </c>
      <c r="L39" s="2" t="str">
        <f t="shared" si="3"/>
        <v>Q2</v>
      </c>
      <c r="M39" t="str">
        <f t="shared" si="4"/>
        <v>Wednesday</v>
      </c>
    </row>
    <row r="40" spans="1:13" x14ac:dyDescent="0.2">
      <c r="A40">
        <v>2011</v>
      </c>
      <c r="B40" s="1">
        <v>45457</v>
      </c>
      <c r="C40" t="s">
        <v>8</v>
      </c>
      <c r="D40" t="s">
        <v>20</v>
      </c>
      <c r="E40" t="s">
        <v>10</v>
      </c>
      <c r="F40">
        <v>3</v>
      </c>
      <c r="G40">
        <v>200000</v>
      </c>
      <c r="H40">
        <v>600000</v>
      </c>
      <c r="I40">
        <f t="shared" si="0"/>
        <v>2024</v>
      </c>
      <c r="J40">
        <f t="shared" si="1"/>
        <v>6</v>
      </c>
      <c r="K40" t="str">
        <f t="shared" si="2"/>
        <v>June</v>
      </c>
      <c r="L40" s="2" t="str">
        <f t="shared" si="3"/>
        <v>Q2</v>
      </c>
      <c r="M40" t="str">
        <f t="shared" si="4"/>
        <v>Friday</v>
      </c>
    </row>
    <row r="41" spans="1:13" x14ac:dyDescent="0.2">
      <c r="A41">
        <v>2012</v>
      </c>
      <c r="B41" s="1">
        <v>45471</v>
      </c>
      <c r="C41" t="s">
        <v>14</v>
      </c>
      <c r="D41" t="s">
        <v>21</v>
      </c>
      <c r="E41" t="s">
        <v>19</v>
      </c>
      <c r="F41">
        <v>4</v>
      </c>
      <c r="G41">
        <v>45000</v>
      </c>
      <c r="H41">
        <v>180000</v>
      </c>
      <c r="I41">
        <f t="shared" si="0"/>
        <v>2024</v>
      </c>
      <c r="J41">
        <f t="shared" si="1"/>
        <v>6</v>
      </c>
      <c r="K41" t="str">
        <f t="shared" si="2"/>
        <v>June</v>
      </c>
      <c r="L41" s="2" t="str">
        <f t="shared" si="3"/>
        <v>Q2</v>
      </c>
      <c r="M41" t="str">
        <f t="shared" si="4"/>
        <v>Friday</v>
      </c>
    </row>
    <row r="42" spans="1:13" x14ac:dyDescent="0.2">
      <c r="A42">
        <v>2013</v>
      </c>
      <c r="B42" s="1">
        <v>45482</v>
      </c>
      <c r="C42" t="s">
        <v>17</v>
      </c>
      <c r="D42" t="s">
        <v>18</v>
      </c>
      <c r="E42" t="s">
        <v>13</v>
      </c>
      <c r="F42">
        <v>5</v>
      </c>
      <c r="G42">
        <v>26000</v>
      </c>
      <c r="H42">
        <v>130000</v>
      </c>
      <c r="I42">
        <f t="shared" si="0"/>
        <v>2024</v>
      </c>
      <c r="J42">
        <f t="shared" si="1"/>
        <v>7</v>
      </c>
      <c r="K42" t="str">
        <f t="shared" si="2"/>
        <v>July</v>
      </c>
      <c r="L42" s="2" t="str">
        <f t="shared" si="3"/>
        <v>Q3</v>
      </c>
      <c r="M42" t="str">
        <f t="shared" si="4"/>
        <v>Tuesday</v>
      </c>
    </row>
    <row r="43" spans="1:13" x14ac:dyDescent="0.2">
      <c r="A43">
        <v>2014</v>
      </c>
      <c r="B43" s="1">
        <v>45493</v>
      </c>
      <c r="C43" t="s">
        <v>8</v>
      </c>
      <c r="D43" t="s">
        <v>9</v>
      </c>
      <c r="E43" t="s">
        <v>10</v>
      </c>
      <c r="F43">
        <v>2</v>
      </c>
      <c r="G43">
        <v>175000</v>
      </c>
      <c r="H43">
        <v>350000</v>
      </c>
      <c r="I43">
        <f t="shared" si="0"/>
        <v>2024</v>
      </c>
      <c r="J43">
        <f t="shared" si="1"/>
        <v>7</v>
      </c>
      <c r="K43" t="str">
        <f t="shared" si="2"/>
        <v>July</v>
      </c>
      <c r="L43" s="2" t="str">
        <f t="shared" si="3"/>
        <v>Q3</v>
      </c>
      <c r="M43" t="str">
        <f t="shared" si="4"/>
        <v>Saturday</v>
      </c>
    </row>
    <row r="44" spans="1:13" x14ac:dyDescent="0.2">
      <c r="A44">
        <v>2015</v>
      </c>
      <c r="B44" s="1">
        <v>45515</v>
      </c>
      <c r="C44" t="s">
        <v>11</v>
      </c>
      <c r="D44" t="s">
        <v>12</v>
      </c>
      <c r="E44" t="s">
        <v>16</v>
      </c>
      <c r="F44">
        <v>28</v>
      </c>
      <c r="G44">
        <v>3900</v>
      </c>
      <c r="H44">
        <v>109200</v>
      </c>
      <c r="I44">
        <f t="shared" si="0"/>
        <v>2024</v>
      </c>
      <c r="J44">
        <f t="shared" si="1"/>
        <v>8</v>
      </c>
      <c r="K44" t="str">
        <f t="shared" si="2"/>
        <v>August</v>
      </c>
      <c r="L44" s="2" t="str">
        <f t="shared" si="3"/>
        <v>Q3</v>
      </c>
      <c r="M44" t="str">
        <f t="shared" si="4"/>
        <v>Sunday</v>
      </c>
    </row>
    <row r="45" spans="1:13" x14ac:dyDescent="0.2">
      <c r="A45">
        <v>2016</v>
      </c>
      <c r="B45" s="1">
        <v>45527</v>
      </c>
      <c r="C45" t="s">
        <v>14</v>
      </c>
      <c r="D45" t="s">
        <v>15</v>
      </c>
      <c r="E45" t="s">
        <v>19</v>
      </c>
      <c r="F45">
        <v>5</v>
      </c>
      <c r="G45">
        <v>41000</v>
      </c>
      <c r="H45">
        <v>205000</v>
      </c>
      <c r="I45">
        <f t="shared" si="0"/>
        <v>2024</v>
      </c>
      <c r="J45">
        <f t="shared" si="1"/>
        <v>8</v>
      </c>
      <c r="K45" t="str">
        <f t="shared" si="2"/>
        <v>August</v>
      </c>
      <c r="L45" s="2" t="str">
        <f t="shared" si="3"/>
        <v>Q3</v>
      </c>
      <c r="M45" t="str">
        <f t="shared" si="4"/>
        <v>Friday</v>
      </c>
    </row>
    <row r="46" spans="1:13" x14ac:dyDescent="0.2">
      <c r="A46">
        <v>2017</v>
      </c>
      <c r="B46" s="1">
        <v>45539</v>
      </c>
      <c r="C46" t="s">
        <v>8</v>
      </c>
      <c r="D46" t="s">
        <v>20</v>
      </c>
      <c r="E46" t="s">
        <v>10</v>
      </c>
      <c r="F46">
        <v>1</v>
      </c>
      <c r="G46">
        <v>320000</v>
      </c>
      <c r="H46">
        <v>320000</v>
      </c>
      <c r="I46">
        <f t="shared" si="0"/>
        <v>2024</v>
      </c>
      <c r="J46">
        <f t="shared" si="1"/>
        <v>9</v>
      </c>
      <c r="K46" t="str">
        <f t="shared" si="2"/>
        <v>September</v>
      </c>
      <c r="L46" s="2" t="str">
        <f t="shared" si="3"/>
        <v>Q3</v>
      </c>
      <c r="M46" t="str">
        <f t="shared" si="4"/>
        <v>Wednesday</v>
      </c>
    </row>
    <row r="47" spans="1:13" x14ac:dyDescent="0.2">
      <c r="A47">
        <v>2018</v>
      </c>
      <c r="B47" s="1">
        <v>45554</v>
      </c>
      <c r="C47" t="s">
        <v>17</v>
      </c>
      <c r="D47" t="s">
        <v>21</v>
      </c>
      <c r="E47" t="s">
        <v>13</v>
      </c>
      <c r="F47">
        <v>6</v>
      </c>
      <c r="G47">
        <v>24000</v>
      </c>
      <c r="H47">
        <v>144000</v>
      </c>
      <c r="I47">
        <f t="shared" si="0"/>
        <v>2024</v>
      </c>
      <c r="J47">
        <f t="shared" si="1"/>
        <v>9</v>
      </c>
      <c r="K47" t="str">
        <f t="shared" si="2"/>
        <v>September</v>
      </c>
      <c r="L47" s="2" t="str">
        <f t="shared" si="3"/>
        <v>Q3</v>
      </c>
      <c r="M47" t="str">
        <f t="shared" si="4"/>
        <v>Thursday</v>
      </c>
    </row>
    <row r="48" spans="1:13" x14ac:dyDescent="0.2">
      <c r="A48">
        <v>2019</v>
      </c>
      <c r="B48" s="1">
        <v>45571</v>
      </c>
      <c r="C48" t="s">
        <v>11</v>
      </c>
      <c r="D48" t="s">
        <v>12</v>
      </c>
      <c r="E48" t="s">
        <v>10</v>
      </c>
      <c r="F48">
        <v>2</v>
      </c>
      <c r="G48">
        <v>230000</v>
      </c>
      <c r="H48">
        <v>460000</v>
      </c>
      <c r="I48">
        <f t="shared" si="0"/>
        <v>2024</v>
      </c>
      <c r="J48">
        <f t="shared" si="1"/>
        <v>10</v>
      </c>
      <c r="K48" t="str">
        <f t="shared" si="2"/>
        <v>October</v>
      </c>
      <c r="L48" s="2" t="str">
        <f t="shared" si="3"/>
        <v>Q4</v>
      </c>
      <c r="M48" t="str">
        <f t="shared" si="4"/>
        <v>Sunday</v>
      </c>
    </row>
    <row r="49" spans="1:13" x14ac:dyDescent="0.2">
      <c r="A49">
        <v>2020</v>
      </c>
      <c r="B49" s="1">
        <v>45589</v>
      </c>
      <c r="C49" t="s">
        <v>8</v>
      </c>
      <c r="D49" t="s">
        <v>9</v>
      </c>
      <c r="E49" t="s">
        <v>19</v>
      </c>
      <c r="F49">
        <v>3</v>
      </c>
      <c r="G49">
        <v>50000</v>
      </c>
      <c r="H49">
        <v>150000</v>
      </c>
      <c r="I49">
        <f t="shared" si="0"/>
        <v>2024</v>
      </c>
      <c r="J49">
        <f t="shared" si="1"/>
        <v>10</v>
      </c>
      <c r="K49" t="str">
        <f t="shared" si="2"/>
        <v>October</v>
      </c>
      <c r="L49" s="2" t="str">
        <f t="shared" si="3"/>
        <v>Q4</v>
      </c>
      <c r="M49" t="str">
        <f t="shared" si="4"/>
        <v>Thursday</v>
      </c>
    </row>
    <row r="50" spans="1:13" x14ac:dyDescent="0.2">
      <c r="A50">
        <v>2021</v>
      </c>
      <c r="B50" s="1">
        <v>45604</v>
      </c>
      <c r="C50" t="s">
        <v>14</v>
      </c>
      <c r="D50" t="s">
        <v>15</v>
      </c>
      <c r="E50" t="s">
        <v>16</v>
      </c>
      <c r="F50">
        <v>32</v>
      </c>
      <c r="G50">
        <v>4500</v>
      </c>
      <c r="H50">
        <v>144000</v>
      </c>
      <c r="I50">
        <f t="shared" si="0"/>
        <v>2024</v>
      </c>
      <c r="J50">
        <f t="shared" si="1"/>
        <v>11</v>
      </c>
      <c r="K50" t="str">
        <f t="shared" si="2"/>
        <v>November</v>
      </c>
      <c r="L50" s="2" t="str">
        <f t="shared" si="3"/>
        <v>Q4</v>
      </c>
      <c r="M50" t="str">
        <f t="shared" si="4"/>
        <v>Friday</v>
      </c>
    </row>
    <row r="51" spans="1:13" x14ac:dyDescent="0.2">
      <c r="A51">
        <v>2022</v>
      </c>
      <c r="B51" s="1">
        <v>45615</v>
      </c>
      <c r="C51" t="s">
        <v>17</v>
      </c>
      <c r="D51" t="s">
        <v>18</v>
      </c>
      <c r="E51" t="s">
        <v>10</v>
      </c>
      <c r="F51">
        <v>2</v>
      </c>
      <c r="G51">
        <v>210000</v>
      </c>
      <c r="H51">
        <v>420000</v>
      </c>
      <c r="I51">
        <f t="shared" si="0"/>
        <v>2024</v>
      </c>
      <c r="J51">
        <f t="shared" si="1"/>
        <v>11</v>
      </c>
      <c r="K51" t="str">
        <f t="shared" si="2"/>
        <v>November</v>
      </c>
      <c r="L51" s="2" t="str">
        <f t="shared" si="3"/>
        <v>Q4</v>
      </c>
      <c r="M51" t="str">
        <f t="shared" si="4"/>
        <v>Tuesday</v>
      </c>
    </row>
    <row r="52" spans="1:13" x14ac:dyDescent="0.2">
      <c r="A52">
        <v>2023</v>
      </c>
      <c r="B52" s="1">
        <v>45629</v>
      </c>
      <c r="C52" t="s">
        <v>8</v>
      </c>
      <c r="D52" t="s">
        <v>20</v>
      </c>
      <c r="E52" t="s">
        <v>13</v>
      </c>
      <c r="F52">
        <v>12</v>
      </c>
      <c r="G52">
        <v>25000</v>
      </c>
      <c r="H52">
        <v>300000</v>
      </c>
      <c r="I52">
        <f t="shared" si="0"/>
        <v>2024</v>
      </c>
      <c r="J52">
        <f t="shared" si="1"/>
        <v>12</v>
      </c>
      <c r="K52" t="str">
        <f t="shared" si="2"/>
        <v>December</v>
      </c>
      <c r="L52" s="2" t="str">
        <f t="shared" si="3"/>
        <v>Q4</v>
      </c>
      <c r="M52" t="str">
        <f t="shared" si="4"/>
        <v>Tuesday</v>
      </c>
    </row>
    <row r="53" spans="1:13" x14ac:dyDescent="0.2">
      <c r="A53">
        <v>2024</v>
      </c>
      <c r="B53" s="1">
        <v>45644</v>
      </c>
      <c r="C53" t="s">
        <v>11</v>
      </c>
      <c r="D53" t="s">
        <v>21</v>
      </c>
      <c r="E53" t="s">
        <v>10</v>
      </c>
      <c r="F53">
        <v>3</v>
      </c>
      <c r="G53">
        <v>240000</v>
      </c>
      <c r="H53">
        <v>720000</v>
      </c>
      <c r="I53">
        <f t="shared" si="0"/>
        <v>2024</v>
      </c>
      <c r="J53">
        <f t="shared" si="1"/>
        <v>12</v>
      </c>
      <c r="K53" t="str">
        <f t="shared" si="2"/>
        <v>December</v>
      </c>
      <c r="L53" s="2" t="str">
        <f t="shared" si="3"/>
        <v>Q4</v>
      </c>
      <c r="M53" t="str">
        <f t="shared" si="4"/>
        <v>Wednesday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6E5C7-5080-4F4C-B376-D581982DBE5C}">
  <dimension ref="B2:CD36"/>
  <sheetViews>
    <sheetView showGridLines="0" workbookViewId="0">
      <selection activeCell="AL23" sqref="AL23"/>
    </sheetView>
  </sheetViews>
  <sheetFormatPr baseColWidth="10" defaultRowHeight="16" x14ac:dyDescent="0.2"/>
  <cols>
    <col min="1" max="83" width="2.83203125" customWidth="1"/>
  </cols>
  <sheetData>
    <row r="2" spans="2:82" x14ac:dyDescent="0.2">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row>
    <row r="3" spans="2:82" ht="16" customHeight="1" x14ac:dyDescent="0.55000000000000004">
      <c r="B3" s="6"/>
      <c r="C3" s="6"/>
      <c r="D3" s="6"/>
      <c r="E3" s="6"/>
      <c r="F3" s="6"/>
      <c r="G3" s="6"/>
      <c r="H3" s="6"/>
      <c r="I3" s="6"/>
      <c r="J3" s="6"/>
      <c r="K3" s="6"/>
      <c r="L3" s="6"/>
      <c r="M3" s="6"/>
      <c r="N3" s="14"/>
      <c r="O3" s="14"/>
      <c r="P3" s="14"/>
      <c r="Q3" s="14"/>
      <c r="R3" s="14"/>
      <c r="S3" s="14"/>
      <c r="T3" s="14"/>
      <c r="U3" s="14"/>
      <c r="V3" s="14"/>
      <c r="W3" s="14"/>
      <c r="X3" s="8" t="s">
        <v>51</v>
      </c>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14"/>
      <c r="BI3" s="14"/>
      <c r="BJ3" s="14"/>
      <c r="BK3" s="14"/>
      <c r="BL3" s="14"/>
      <c r="BM3" s="14"/>
      <c r="BN3" s="14"/>
      <c r="BO3" s="14"/>
      <c r="BP3" s="14"/>
      <c r="BQ3" s="6"/>
      <c r="BR3" s="6"/>
      <c r="BS3" s="6"/>
      <c r="BT3" s="6"/>
      <c r="BU3" s="6"/>
      <c r="BV3" s="6"/>
      <c r="BW3" s="6"/>
      <c r="BX3" s="6"/>
      <c r="BY3" s="6"/>
      <c r="BZ3" s="6"/>
      <c r="CA3" s="6"/>
      <c r="CB3" s="6"/>
      <c r="CC3" s="6"/>
      <c r="CD3" s="6"/>
    </row>
    <row r="4" spans="2:82" ht="16" customHeight="1" x14ac:dyDescent="0.55000000000000004">
      <c r="B4" s="6"/>
      <c r="C4" s="6"/>
      <c r="D4" s="6"/>
      <c r="E4" s="6"/>
      <c r="F4" s="6"/>
      <c r="G4" s="6"/>
      <c r="H4" s="6"/>
      <c r="I4" s="6"/>
      <c r="J4" s="6"/>
      <c r="K4" s="6"/>
      <c r="L4" s="6"/>
      <c r="M4" s="6"/>
      <c r="N4" s="14"/>
      <c r="O4" s="14"/>
      <c r="P4" s="14"/>
      <c r="Q4" s="14"/>
      <c r="R4" s="14"/>
      <c r="S4" s="14"/>
      <c r="T4" s="14"/>
      <c r="U4" s="14"/>
      <c r="V4" s="14"/>
      <c r="W4" s="14"/>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14"/>
      <c r="BI4" s="14"/>
      <c r="BJ4" s="14"/>
      <c r="BK4" s="14"/>
      <c r="BL4" s="14"/>
      <c r="BM4" s="14"/>
      <c r="BN4" s="14"/>
      <c r="BO4" s="14"/>
      <c r="BP4" s="14"/>
      <c r="BQ4" s="6"/>
      <c r="BR4" s="6"/>
      <c r="BS4" s="6"/>
      <c r="BT4" s="6"/>
      <c r="BU4" s="6"/>
      <c r="BV4" s="6"/>
      <c r="BW4" s="6"/>
      <c r="BX4" s="6"/>
      <c r="BY4" s="6"/>
      <c r="BZ4" s="6"/>
      <c r="CA4" s="6"/>
      <c r="CB4" s="6"/>
      <c r="CC4" s="6"/>
      <c r="CD4" s="6"/>
    </row>
    <row r="5" spans="2:82" ht="16" customHeight="1" x14ac:dyDescent="0.55000000000000004">
      <c r="B5" s="6"/>
      <c r="C5" s="6"/>
      <c r="D5" s="6"/>
      <c r="E5" s="6"/>
      <c r="F5" s="6"/>
      <c r="G5" s="6"/>
      <c r="H5" s="6"/>
      <c r="I5" s="6"/>
      <c r="J5" s="6"/>
      <c r="K5" s="6"/>
      <c r="L5" s="6"/>
      <c r="M5" s="6"/>
      <c r="N5" s="14"/>
      <c r="O5" s="14"/>
      <c r="P5" s="14"/>
      <c r="Q5" s="14"/>
      <c r="R5" s="14"/>
      <c r="S5" s="14"/>
      <c r="T5" s="14"/>
      <c r="U5" s="14"/>
      <c r="V5" s="14"/>
      <c r="W5" s="14"/>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14"/>
      <c r="BI5" s="14"/>
      <c r="BJ5" s="14"/>
      <c r="BK5" s="14"/>
      <c r="BL5" s="14"/>
      <c r="BM5" s="14"/>
      <c r="BN5" s="14"/>
      <c r="BO5" s="14"/>
      <c r="BP5" s="14"/>
      <c r="BQ5" s="6"/>
      <c r="BR5" s="6"/>
      <c r="BS5" s="6"/>
      <c r="BT5" s="6"/>
      <c r="BU5" s="6"/>
      <c r="BV5" s="6"/>
      <c r="BW5" s="6"/>
      <c r="BX5" s="6"/>
      <c r="BY5" s="6"/>
      <c r="BZ5" s="6"/>
      <c r="CA5" s="6"/>
      <c r="CB5" s="6"/>
      <c r="CC5" s="6"/>
      <c r="CD5" s="6"/>
    </row>
    <row r="6" spans="2:82"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spans="2:82" ht="16" customHeight="1" x14ac:dyDescent="0.2">
      <c r="B7" s="6"/>
      <c r="C7" s="6"/>
      <c r="D7" s="6"/>
      <c r="E7" s="6"/>
      <c r="F7" s="6"/>
      <c r="G7" s="6"/>
      <c r="H7" s="6"/>
      <c r="I7" s="6"/>
      <c r="J7" s="6"/>
      <c r="K7" s="6"/>
      <c r="L7" s="6"/>
      <c r="M7" s="6"/>
      <c r="N7" s="6"/>
      <c r="O7" s="6"/>
      <c r="P7" s="6"/>
      <c r="Q7" s="6"/>
      <c r="R7" s="6"/>
      <c r="S7" s="6"/>
      <c r="T7" s="9" t="s">
        <v>47</v>
      </c>
      <c r="U7" s="7"/>
      <c r="V7" s="7"/>
      <c r="W7" s="7"/>
      <c r="X7" s="7"/>
      <c r="Y7" s="7"/>
      <c r="Z7" s="7"/>
      <c r="AA7" s="6"/>
      <c r="AB7" s="6"/>
      <c r="AC7" s="6"/>
      <c r="AD7" s="6"/>
      <c r="AE7" s="9" t="s">
        <v>49</v>
      </c>
      <c r="AF7" s="7"/>
      <c r="AG7" s="7"/>
      <c r="AH7" s="7"/>
      <c r="AI7" s="7"/>
      <c r="AJ7" s="7"/>
      <c r="AK7" s="7"/>
      <c r="AL7" s="10"/>
      <c r="AM7" s="10"/>
      <c r="AN7" s="10"/>
      <c r="AO7" s="10"/>
      <c r="AP7" s="6"/>
      <c r="AQ7" s="6"/>
      <c r="AR7" s="6"/>
      <c r="AS7" s="6"/>
      <c r="AT7" s="6"/>
      <c r="AU7" s="6"/>
      <c r="AV7" s="9" t="s">
        <v>48</v>
      </c>
      <c r="AW7" s="7"/>
      <c r="AX7" s="7"/>
      <c r="AY7" s="7"/>
      <c r="AZ7" s="7"/>
      <c r="BA7" s="7"/>
      <c r="BB7" s="7"/>
      <c r="BC7" s="7"/>
      <c r="BD7" s="7"/>
      <c r="BE7" s="7"/>
      <c r="BF7" s="7"/>
      <c r="BG7" s="7"/>
      <c r="BH7" s="6"/>
      <c r="BI7" s="6"/>
      <c r="BJ7" s="15" t="s">
        <v>50</v>
      </c>
      <c r="BK7" s="16"/>
      <c r="BL7" s="16"/>
      <c r="BM7" s="16"/>
      <c r="BN7" s="16"/>
      <c r="BO7" s="16"/>
      <c r="BP7" s="16"/>
      <c r="BQ7" s="16"/>
      <c r="BR7" s="16"/>
      <c r="BS7" s="16"/>
      <c r="BT7" s="16"/>
      <c r="BU7" s="16"/>
      <c r="BV7" s="16"/>
      <c r="BW7" s="16"/>
      <c r="BX7" s="6"/>
      <c r="BY7" s="6"/>
      <c r="BZ7" s="6"/>
      <c r="CA7" s="6"/>
      <c r="CB7" s="6"/>
      <c r="CC7" s="6"/>
      <c r="CD7" s="6"/>
    </row>
    <row r="8" spans="2:82" x14ac:dyDescent="0.2">
      <c r="B8" s="6"/>
      <c r="C8" s="6"/>
      <c r="D8" s="6"/>
      <c r="E8" s="6"/>
      <c r="F8" s="6"/>
      <c r="G8" s="6"/>
      <c r="H8" s="6"/>
      <c r="I8" s="6"/>
      <c r="J8" s="6"/>
      <c r="K8" s="6"/>
      <c r="L8" s="6"/>
      <c r="M8" s="6"/>
      <c r="N8" s="6"/>
      <c r="O8" s="6"/>
      <c r="P8" s="6"/>
      <c r="Q8" s="6"/>
      <c r="R8" s="6"/>
      <c r="S8" s="6"/>
      <c r="T8" s="7"/>
      <c r="U8" s="7"/>
      <c r="V8" s="7"/>
      <c r="W8" s="7"/>
      <c r="X8" s="7"/>
      <c r="Y8" s="7"/>
      <c r="Z8" s="7"/>
      <c r="AA8" s="6"/>
      <c r="AB8" s="6"/>
      <c r="AC8" s="6"/>
      <c r="AD8" s="6"/>
      <c r="AE8" s="7"/>
      <c r="AF8" s="7"/>
      <c r="AG8" s="7"/>
      <c r="AH8" s="7"/>
      <c r="AI8" s="7"/>
      <c r="AJ8" s="7"/>
      <c r="AK8" s="7"/>
      <c r="AL8" s="10"/>
      <c r="AM8" s="10"/>
      <c r="AN8" s="10"/>
      <c r="AO8" s="10"/>
      <c r="AP8" s="6"/>
      <c r="AQ8" s="6"/>
      <c r="AR8" s="6"/>
      <c r="AS8" s="6"/>
      <c r="AT8" s="6"/>
      <c r="AU8" s="6"/>
      <c r="AV8" s="7"/>
      <c r="AW8" s="7"/>
      <c r="AX8" s="7"/>
      <c r="AY8" s="7"/>
      <c r="AZ8" s="7"/>
      <c r="BA8" s="7"/>
      <c r="BB8" s="7"/>
      <c r="BC8" s="7"/>
      <c r="BD8" s="7"/>
      <c r="BE8" s="7"/>
      <c r="BF8" s="7"/>
      <c r="BG8" s="7"/>
      <c r="BH8" s="6"/>
      <c r="BI8" s="6"/>
      <c r="BJ8" s="16"/>
      <c r="BK8" s="16"/>
      <c r="BL8" s="16"/>
      <c r="BM8" s="16"/>
      <c r="BN8" s="16"/>
      <c r="BO8" s="16"/>
      <c r="BP8" s="16"/>
      <c r="BQ8" s="16"/>
      <c r="BR8" s="16"/>
      <c r="BS8" s="16"/>
      <c r="BT8" s="16"/>
      <c r="BU8" s="16"/>
      <c r="BV8" s="16"/>
      <c r="BW8" s="16"/>
      <c r="BX8" s="6"/>
      <c r="BY8" s="6"/>
      <c r="BZ8" s="6"/>
      <c r="CA8" s="6"/>
      <c r="CB8" s="6"/>
      <c r="CC8" s="6"/>
      <c r="CD8" s="6"/>
    </row>
    <row r="9" spans="2:82" x14ac:dyDescent="0.2">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row>
    <row r="10" spans="2:82" ht="16" customHeight="1" x14ac:dyDescent="0.2">
      <c r="B10" s="6"/>
      <c r="C10" s="6"/>
      <c r="D10" s="6"/>
      <c r="E10" s="6"/>
      <c r="F10" s="6"/>
      <c r="G10" s="6"/>
      <c r="H10" s="6"/>
      <c r="I10" s="6"/>
      <c r="J10" s="6"/>
      <c r="K10" s="6"/>
      <c r="L10" s="6"/>
      <c r="M10" s="6"/>
      <c r="N10" s="6"/>
      <c r="O10" s="6"/>
      <c r="P10" s="6"/>
      <c r="Q10" s="6"/>
      <c r="R10" s="12">
        <f>'Pivot Tables'!$B$16</f>
        <v>12379700</v>
      </c>
      <c r="S10" s="12"/>
      <c r="T10" s="12"/>
      <c r="U10" s="12"/>
      <c r="V10" s="12"/>
      <c r="W10" s="12"/>
      <c r="X10" s="12"/>
      <c r="Y10" s="12"/>
      <c r="Z10" s="12"/>
      <c r="AA10" s="12"/>
      <c r="AB10" s="12"/>
      <c r="AC10" s="6"/>
      <c r="AD10" s="6"/>
      <c r="AE10" s="9" t="s">
        <v>40</v>
      </c>
      <c r="AF10" s="7"/>
      <c r="AG10" s="7"/>
      <c r="AH10" s="7"/>
      <c r="AI10" s="7"/>
      <c r="AJ10" s="7"/>
      <c r="AK10" s="7"/>
      <c r="AL10" s="10"/>
      <c r="AM10" s="10"/>
      <c r="AN10" s="10"/>
      <c r="AO10" s="10"/>
      <c r="AP10" s="10"/>
      <c r="AQ10" s="6"/>
      <c r="AR10" s="6"/>
      <c r="AS10" s="6"/>
      <c r="AT10" s="6"/>
      <c r="AU10" s="6"/>
      <c r="AV10" s="6"/>
      <c r="AW10" s="10"/>
      <c r="AX10" s="11">
        <v>361</v>
      </c>
      <c r="AY10" s="11"/>
      <c r="AZ10" s="11"/>
      <c r="BA10" s="11"/>
      <c r="BB10" s="11"/>
      <c r="BC10" s="11"/>
      <c r="BD10" s="10"/>
      <c r="BE10" s="6"/>
      <c r="BF10" s="6"/>
      <c r="BG10" s="6"/>
      <c r="BH10" s="6"/>
      <c r="BI10" s="6"/>
      <c r="BJ10" s="6"/>
      <c r="BK10" s="6"/>
      <c r="BL10" s="6"/>
      <c r="BM10" s="6"/>
      <c r="BN10" s="6"/>
      <c r="BO10" s="13">
        <v>7.1999999999999998E-3</v>
      </c>
      <c r="BP10" s="11"/>
      <c r="BQ10" s="11"/>
      <c r="BR10" s="11"/>
      <c r="BS10" s="11"/>
      <c r="BT10" s="11"/>
      <c r="BU10" s="6"/>
      <c r="BV10" s="6"/>
      <c r="BW10" s="6"/>
      <c r="BX10" s="6"/>
      <c r="BY10" s="6"/>
      <c r="BZ10" s="6"/>
      <c r="CA10" s="6"/>
      <c r="CB10" s="6"/>
      <c r="CC10" s="6"/>
      <c r="CD10" s="6"/>
    </row>
    <row r="11" spans="2:82" ht="16" customHeight="1" x14ac:dyDescent="0.2">
      <c r="B11" s="6"/>
      <c r="C11" s="6"/>
      <c r="D11" s="6"/>
      <c r="E11" s="6"/>
      <c r="F11" s="6"/>
      <c r="G11" s="6"/>
      <c r="H11" s="6"/>
      <c r="I11" s="6"/>
      <c r="J11" s="6"/>
      <c r="K11" s="6"/>
      <c r="L11" s="6"/>
      <c r="M11" s="6"/>
      <c r="N11" s="6"/>
      <c r="O11" s="6"/>
      <c r="P11" s="6"/>
      <c r="Q11" s="6"/>
      <c r="R11" s="12"/>
      <c r="S11" s="12"/>
      <c r="T11" s="12"/>
      <c r="U11" s="12"/>
      <c r="V11" s="12"/>
      <c r="W11" s="12"/>
      <c r="X11" s="12"/>
      <c r="Y11" s="12"/>
      <c r="Z11" s="12"/>
      <c r="AA11" s="12"/>
      <c r="AB11" s="12"/>
      <c r="AC11" s="6"/>
      <c r="AD11" s="6"/>
      <c r="AE11" s="7"/>
      <c r="AF11" s="7"/>
      <c r="AG11" s="7"/>
      <c r="AH11" s="7"/>
      <c r="AI11" s="7"/>
      <c r="AJ11" s="7"/>
      <c r="AK11" s="7"/>
      <c r="AL11" s="10"/>
      <c r="AM11" s="10"/>
      <c r="AN11" s="10"/>
      <c r="AO11" s="10"/>
      <c r="AP11" s="10"/>
      <c r="AQ11" s="6"/>
      <c r="AR11" s="6"/>
      <c r="AS11" s="6"/>
      <c r="AT11" s="6"/>
      <c r="AU11" s="6"/>
      <c r="AV11" s="6"/>
      <c r="AW11" s="6"/>
      <c r="AX11" s="11"/>
      <c r="AY11" s="11"/>
      <c r="AZ11" s="11"/>
      <c r="BA11" s="11"/>
      <c r="BB11" s="11"/>
      <c r="BC11" s="11"/>
      <c r="BD11" s="6"/>
      <c r="BE11" s="6"/>
      <c r="BF11" s="6"/>
      <c r="BG11" s="6"/>
      <c r="BH11" s="6"/>
      <c r="BI11" s="6"/>
      <c r="BJ11" s="6"/>
      <c r="BK11" s="6"/>
      <c r="BL11" s="6"/>
      <c r="BM11" s="6"/>
      <c r="BN11" s="6"/>
      <c r="BO11" s="11"/>
      <c r="BP11" s="11"/>
      <c r="BQ11" s="11"/>
      <c r="BR11" s="11"/>
      <c r="BS11" s="11"/>
      <c r="BT11" s="11"/>
      <c r="BU11" s="6"/>
      <c r="BV11" s="6"/>
      <c r="BW11" s="6"/>
      <c r="BX11" s="6"/>
      <c r="BY11" s="6"/>
      <c r="BZ11" s="6"/>
      <c r="CA11" s="6"/>
      <c r="CB11" s="6"/>
      <c r="CC11" s="6"/>
      <c r="CD11" s="6"/>
    </row>
    <row r="12" spans="2:82" x14ac:dyDescent="0.2">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row>
    <row r="13" spans="2:82" x14ac:dyDescent="0.2">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row>
    <row r="14" spans="2:82" x14ac:dyDescent="0.2">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row>
    <row r="15" spans="2:82" x14ac:dyDescent="0.2">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row>
    <row r="16" spans="2:82" x14ac:dyDescent="0.2">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row>
    <row r="17" spans="2:82" x14ac:dyDescent="0.2">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row>
    <row r="18" spans="2:82" x14ac:dyDescent="0.2">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row>
    <row r="19" spans="2:82" x14ac:dyDescent="0.2">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row>
    <row r="20" spans="2:82" x14ac:dyDescent="0.2">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row>
    <row r="21" spans="2:82" x14ac:dyDescent="0.2">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row>
    <row r="22" spans="2:82" x14ac:dyDescent="0.2">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row>
    <row r="23" spans="2:82" x14ac:dyDescent="0.2">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row>
    <row r="24" spans="2:82" x14ac:dyDescent="0.2">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row>
    <row r="25" spans="2:82" x14ac:dyDescent="0.2">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row>
    <row r="26" spans="2:82" x14ac:dyDescent="0.2">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row>
    <row r="27" spans="2:82" x14ac:dyDescent="0.2">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row>
    <row r="28" spans="2:82" x14ac:dyDescent="0.2">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row>
    <row r="29" spans="2:82" x14ac:dyDescent="0.2">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row>
    <row r="30" spans="2:82" x14ac:dyDescent="0.2">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row>
    <row r="31" spans="2:82" x14ac:dyDescent="0.2">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row>
    <row r="32" spans="2:82" x14ac:dyDescent="0.2">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row>
    <row r="33" spans="2:82" x14ac:dyDescent="0.2">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row>
    <row r="34" spans="2:82"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row>
    <row r="35" spans="2:82" x14ac:dyDescent="0.2">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row>
    <row r="36" spans="2:82" x14ac:dyDescent="0.2">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row>
  </sheetData>
  <mergeCells count="9">
    <mergeCell ref="X3:BG5"/>
    <mergeCell ref="AE7:AK8"/>
    <mergeCell ref="AE10:AK11"/>
    <mergeCell ref="BJ7:BW8"/>
    <mergeCell ref="BO10:BT11"/>
    <mergeCell ref="R10:AB11"/>
    <mergeCell ref="AX10:BC11"/>
    <mergeCell ref="T7:Z8"/>
    <mergeCell ref="AV7:BG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Dataset</vt:lpstr>
      <vt:lpstr>Pivot Charts and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kelechi emmanuel</dc:creator>
  <cp:lastModifiedBy>kelechi emmanuel</cp:lastModifiedBy>
  <dcterms:created xsi:type="dcterms:W3CDTF">2026-02-27T12:28:48Z</dcterms:created>
  <dcterms:modified xsi:type="dcterms:W3CDTF">2026-02-27T15:29:25Z</dcterms:modified>
</cp:coreProperties>
</file>