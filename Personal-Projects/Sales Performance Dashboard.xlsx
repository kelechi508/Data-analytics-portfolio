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hidePivotFieldList="1"/>
  <mc:AlternateContent xmlns:mc="http://schemas.openxmlformats.org/markup-compatibility/2006">
    <mc:Choice Requires="x15">
      <x15ac:absPath xmlns:x15ac="http://schemas.microsoft.com/office/spreadsheetml/2010/11/ac" url="/Users/macbook/Documents/"/>
    </mc:Choice>
  </mc:AlternateContent>
  <xr:revisionPtr revIDLastSave="0" documentId="13_ncr:1_{D4F83205-56E2-5140-AC59-211E77DFEA51}" xr6:coauthVersionLast="47" xr6:coauthVersionMax="47" xr10:uidLastSave="{00000000-0000-0000-0000-000000000000}"/>
  <bookViews>
    <workbookView xWindow="360" yWindow="500" windowWidth="28040" windowHeight="16020" activeTab="2" xr2:uid="{04B19EB4-7EFD-324A-80F2-0F1C1CD98597}"/>
  </bookViews>
  <sheets>
    <sheet name="Raw DataSet" sheetId="1" r:id="rId1"/>
    <sheet name="Cleaned Data" sheetId="2" r:id="rId2"/>
    <sheet name="Pivot Tables and Dashboard" sheetId="3" r:id="rId3"/>
  </sheets>
  <definedNames>
    <definedName name="Slicer_OrderStatus">#N/A</definedName>
    <definedName name="Slicer_Region">#N/A</definedName>
    <definedName name="Slicer_SalesRep">#N/A</definedName>
    <definedName name="Slicer_Year">#N/A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2" i="2"/>
  <c r="M2" i="2"/>
  <c r="N2" i="2"/>
  <c r="O2" i="2"/>
  <c r="M3" i="2"/>
  <c r="P3" i="2" s="1"/>
  <c r="N3" i="2"/>
  <c r="O3" i="2"/>
  <c r="M4" i="2"/>
  <c r="N4" i="2"/>
  <c r="O4" i="2"/>
  <c r="M5" i="2"/>
  <c r="P5" i="2" s="1"/>
  <c r="N5" i="2"/>
  <c r="O5" i="2"/>
  <c r="M6" i="2"/>
  <c r="P6" i="2" s="1"/>
  <c r="N6" i="2"/>
  <c r="O6" i="2"/>
  <c r="M7" i="2"/>
  <c r="P7" i="2" s="1"/>
  <c r="N7" i="2"/>
  <c r="O7" i="2"/>
  <c r="M8" i="2"/>
  <c r="N8" i="2"/>
  <c r="O8" i="2"/>
  <c r="M9" i="2"/>
  <c r="P9" i="2" s="1"/>
  <c r="N9" i="2"/>
  <c r="O9" i="2"/>
  <c r="M10" i="2"/>
  <c r="P10" i="2" s="1"/>
  <c r="N10" i="2"/>
  <c r="O10" i="2"/>
  <c r="M11" i="2"/>
  <c r="P11" i="2" s="1"/>
  <c r="N11" i="2"/>
  <c r="O11" i="2"/>
  <c r="M12" i="2"/>
  <c r="N12" i="2"/>
  <c r="O12" i="2"/>
  <c r="M13" i="2"/>
  <c r="P13" i="2" s="1"/>
  <c r="N13" i="2"/>
  <c r="O13" i="2"/>
  <c r="M14" i="2"/>
  <c r="P14" i="2" s="1"/>
  <c r="N14" i="2"/>
  <c r="O14" i="2"/>
  <c r="M15" i="2"/>
  <c r="P15" i="2" s="1"/>
  <c r="N15" i="2"/>
  <c r="O15" i="2"/>
  <c r="M16" i="2"/>
  <c r="N16" i="2"/>
  <c r="O16" i="2"/>
  <c r="M17" i="2"/>
  <c r="P17" i="2" s="1"/>
  <c r="N17" i="2"/>
  <c r="O17" i="2"/>
  <c r="M18" i="2"/>
  <c r="P18" i="2" s="1"/>
  <c r="N18" i="2"/>
  <c r="O18" i="2"/>
  <c r="M19" i="2"/>
  <c r="P19" i="2" s="1"/>
  <c r="N19" i="2"/>
  <c r="O19" i="2"/>
  <c r="M20" i="2"/>
  <c r="N20" i="2"/>
  <c r="O20" i="2"/>
  <c r="M21" i="2"/>
  <c r="P21" i="2" s="1"/>
  <c r="N21" i="2"/>
  <c r="O21" i="2"/>
  <c r="M22" i="2"/>
  <c r="P22" i="2" s="1"/>
  <c r="N22" i="2"/>
  <c r="O22" i="2"/>
  <c r="M23" i="2"/>
  <c r="P23" i="2" s="1"/>
  <c r="N23" i="2"/>
  <c r="O23" i="2"/>
  <c r="M24" i="2"/>
  <c r="N24" i="2"/>
  <c r="O24" i="2"/>
  <c r="M25" i="2"/>
  <c r="P25" i="2" s="1"/>
  <c r="N25" i="2"/>
  <c r="O25" i="2"/>
  <c r="M26" i="2"/>
  <c r="P26" i="2" s="1"/>
  <c r="N26" i="2"/>
  <c r="O26" i="2"/>
  <c r="M27" i="2"/>
  <c r="P27" i="2" s="1"/>
  <c r="N27" i="2"/>
  <c r="O27" i="2"/>
  <c r="M28" i="2"/>
  <c r="N28" i="2"/>
  <c r="O28" i="2"/>
  <c r="M29" i="2"/>
  <c r="P29" i="2" s="1"/>
  <c r="N29" i="2"/>
  <c r="O29" i="2"/>
  <c r="M30" i="2"/>
  <c r="P30" i="2" s="1"/>
  <c r="N30" i="2"/>
  <c r="O30" i="2"/>
  <c r="M31" i="2"/>
  <c r="P31" i="2" s="1"/>
  <c r="N31" i="2"/>
  <c r="O31" i="2"/>
  <c r="M32" i="2"/>
  <c r="N32" i="2"/>
  <c r="O32" i="2"/>
  <c r="M33" i="2"/>
  <c r="P33" i="2" s="1"/>
  <c r="N33" i="2"/>
  <c r="O33" i="2"/>
  <c r="M34" i="2"/>
  <c r="P34" i="2" s="1"/>
  <c r="N34" i="2"/>
  <c r="O34" i="2"/>
  <c r="M35" i="2"/>
  <c r="P35" i="2" s="1"/>
  <c r="N35" i="2"/>
  <c r="O35" i="2"/>
  <c r="M36" i="2"/>
  <c r="N36" i="2"/>
  <c r="O36" i="2"/>
  <c r="M37" i="2"/>
  <c r="P37" i="2" s="1"/>
  <c r="N37" i="2"/>
  <c r="O37" i="2"/>
  <c r="M38" i="2"/>
  <c r="P38" i="2" s="1"/>
  <c r="N38" i="2"/>
  <c r="O38" i="2"/>
  <c r="M39" i="2"/>
  <c r="P39" i="2" s="1"/>
  <c r="N39" i="2"/>
  <c r="O39" i="2"/>
  <c r="M40" i="2"/>
  <c r="N40" i="2"/>
  <c r="O40" i="2"/>
  <c r="M41" i="2"/>
  <c r="P41" i="2" s="1"/>
  <c r="N41" i="2"/>
  <c r="O41" i="2"/>
  <c r="M42" i="2"/>
  <c r="P42" i="2" s="1"/>
  <c r="N42" i="2"/>
  <c r="O42" i="2"/>
  <c r="M43" i="2"/>
  <c r="P43" i="2" s="1"/>
  <c r="N43" i="2"/>
  <c r="O43" i="2"/>
  <c r="M44" i="2"/>
  <c r="N44" i="2"/>
  <c r="O44" i="2"/>
  <c r="M45" i="2"/>
  <c r="P45" i="2" s="1"/>
  <c r="N45" i="2"/>
  <c r="O45" i="2"/>
  <c r="M46" i="2"/>
  <c r="P46" i="2" s="1"/>
  <c r="N46" i="2"/>
  <c r="O46" i="2"/>
  <c r="M47" i="2"/>
  <c r="P47" i="2" s="1"/>
  <c r="N47" i="2"/>
  <c r="O47" i="2"/>
  <c r="M48" i="2"/>
  <c r="N48" i="2"/>
  <c r="O48" i="2"/>
  <c r="M49" i="2"/>
  <c r="P49" i="2" s="1"/>
  <c r="N49" i="2"/>
  <c r="O49" i="2"/>
  <c r="M50" i="2"/>
  <c r="P50" i="2" s="1"/>
  <c r="N50" i="2"/>
  <c r="O50" i="2"/>
  <c r="M51" i="2"/>
  <c r="P51" i="2" s="1"/>
  <c r="N51" i="2"/>
  <c r="O51" i="2"/>
  <c r="M52" i="2"/>
  <c r="N52" i="2"/>
  <c r="O52" i="2"/>
  <c r="M53" i="2"/>
  <c r="P53" i="2" s="1"/>
  <c r="N53" i="2"/>
  <c r="O53" i="2"/>
  <c r="M54" i="2"/>
  <c r="P54" i="2" s="1"/>
  <c r="N54" i="2"/>
  <c r="O54" i="2"/>
  <c r="M55" i="2"/>
  <c r="P55" i="2" s="1"/>
  <c r="N55" i="2"/>
  <c r="O55" i="2"/>
  <c r="M56" i="2"/>
  <c r="N56" i="2"/>
  <c r="O56" i="2"/>
  <c r="M57" i="2"/>
  <c r="P57" i="2" s="1"/>
  <c r="N57" i="2"/>
  <c r="O57" i="2"/>
  <c r="M58" i="2"/>
  <c r="P58" i="2" s="1"/>
  <c r="N58" i="2"/>
  <c r="O58" i="2"/>
  <c r="M59" i="2"/>
  <c r="P59" i="2" s="1"/>
  <c r="N59" i="2"/>
  <c r="O59" i="2"/>
  <c r="M60" i="2"/>
  <c r="N60" i="2"/>
  <c r="O60" i="2"/>
  <c r="M61" i="2"/>
  <c r="P61" i="2" s="1"/>
  <c r="N61" i="2"/>
  <c r="O61" i="2"/>
  <c r="M62" i="2"/>
  <c r="P62" i="2" s="1"/>
  <c r="N62" i="2"/>
  <c r="O62" i="2"/>
  <c r="M63" i="2"/>
  <c r="P63" i="2" s="1"/>
  <c r="N63" i="2"/>
  <c r="O63" i="2"/>
  <c r="M64" i="2"/>
  <c r="N64" i="2"/>
  <c r="O64" i="2"/>
  <c r="M65" i="2"/>
  <c r="P65" i="2" s="1"/>
  <c r="N65" i="2"/>
  <c r="O65" i="2"/>
  <c r="M66" i="2"/>
  <c r="P66" i="2" s="1"/>
  <c r="N66" i="2"/>
  <c r="O66" i="2"/>
  <c r="M67" i="2"/>
  <c r="P67" i="2" s="1"/>
  <c r="N67" i="2"/>
  <c r="O67" i="2"/>
  <c r="M68" i="2"/>
  <c r="N68" i="2"/>
  <c r="O68" i="2"/>
  <c r="M69" i="2"/>
  <c r="P69" i="2" s="1"/>
  <c r="N69" i="2"/>
  <c r="O69" i="2"/>
  <c r="M70" i="2"/>
  <c r="P70" i="2" s="1"/>
  <c r="N70" i="2"/>
  <c r="O70" i="2"/>
  <c r="M71" i="2"/>
  <c r="P71" i="2" s="1"/>
  <c r="N71" i="2"/>
  <c r="O71" i="2"/>
  <c r="M72" i="2"/>
  <c r="N72" i="2"/>
  <c r="O72" i="2"/>
  <c r="M73" i="2"/>
  <c r="P73" i="2" s="1"/>
  <c r="N73" i="2"/>
  <c r="O73" i="2"/>
  <c r="M74" i="2"/>
  <c r="P74" i="2" s="1"/>
  <c r="N74" i="2"/>
  <c r="O74" i="2"/>
  <c r="M75" i="2"/>
  <c r="P75" i="2" s="1"/>
  <c r="N75" i="2"/>
  <c r="O75" i="2"/>
  <c r="M76" i="2"/>
  <c r="N76" i="2"/>
  <c r="O76" i="2"/>
  <c r="M77" i="2"/>
  <c r="P77" i="2" s="1"/>
  <c r="N77" i="2"/>
  <c r="O77" i="2"/>
  <c r="M78" i="2"/>
  <c r="P78" i="2" s="1"/>
  <c r="N78" i="2"/>
  <c r="O78" i="2"/>
  <c r="M79" i="2"/>
  <c r="P79" i="2" s="1"/>
  <c r="N79" i="2"/>
  <c r="O79" i="2"/>
  <c r="M80" i="2"/>
  <c r="N80" i="2"/>
  <c r="O80" i="2"/>
  <c r="M81" i="2"/>
  <c r="P81" i="2" s="1"/>
  <c r="N81" i="2"/>
  <c r="O81" i="2"/>
  <c r="M82" i="2"/>
  <c r="P82" i="2" s="1"/>
  <c r="N82" i="2"/>
  <c r="O82" i="2"/>
  <c r="M83" i="2"/>
  <c r="P83" i="2" s="1"/>
  <c r="N83" i="2"/>
  <c r="O83" i="2"/>
  <c r="M84" i="2"/>
  <c r="N84" i="2"/>
  <c r="O84" i="2"/>
  <c r="M85" i="2"/>
  <c r="P85" i="2" s="1"/>
  <c r="N85" i="2"/>
  <c r="O85" i="2"/>
  <c r="M86" i="2"/>
  <c r="P86" i="2" s="1"/>
  <c r="N86" i="2"/>
  <c r="O86" i="2"/>
  <c r="M87" i="2"/>
  <c r="P87" i="2" s="1"/>
  <c r="N87" i="2"/>
  <c r="O87" i="2"/>
  <c r="M88" i="2"/>
  <c r="N88" i="2"/>
  <c r="O88" i="2"/>
  <c r="M89" i="2"/>
  <c r="P89" i="2" s="1"/>
  <c r="N89" i="2"/>
  <c r="O89" i="2"/>
  <c r="M90" i="2"/>
  <c r="P90" i="2" s="1"/>
  <c r="N90" i="2"/>
  <c r="O90" i="2"/>
  <c r="M91" i="2"/>
  <c r="P91" i="2" s="1"/>
  <c r="N91" i="2"/>
  <c r="O91" i="2"/>
  <c r="M92" i="2"/>
  <c r="N92" i="2"/>
  <c r="O92" i="2"/>
  <c r="M93" i="2"/>
  <c r="P93" i="2" s="1"/>
  <c r="N93" i="2"/>
  <c r="O93" i="2"/>
  <c r="M94" i="2"/>
  <c r="P94" i="2" s="1"/>
  <c r="N94" i="2"/>
  <c r="O94" i="2"/>
  <c r="M95" i="2"/>
  <c r="P95" i="2" s="1"/>
  <c r="N95" i="2"/>
  <c r="O95" i="2"/>
  <c r="M96" i="2"/>
  <c r="N96" i="2"/>
  <c r="O96" i="2"/>
  <c r="M97" i="2"/>
  <c r="P97" i="2" s="1"/>
  <c r="N97" i="2"/>
  <c r="O97" i="2"/>
  <c r="M98" i="2"/>
  <c r="P98" i="2" s="1"/>
  <c r="N98" i="2"/>
  <c r="O98" i="2"/>
  <c r="M99" i="2"/>
  <c r="P99" i="2" s="1"/>
  <c r="N99" i="2"/>
  <c r="O99" i="2"/>
  <c r="M100" i="2"/>
  <c r="N100" i="2"/>
  <c r="O100" i="2"/>
  <c r="M101" i="2"/>
  <c r="P101" i="2" s="1"/>
  <c r="N101" i="2"/>
  <c r="O101" i="2"/>
  <c r="M102" i="2"/>
  <c r="P102" i="2" s="1"/>
  <c r="N102" i="2"/>
  <c r="O102" i="2"/>
  <c r="M103" i="2"/>
  <c r="P103" i="2" s="1"/>
  <c r="N103" i="2"/>
  <c r="O103" i="2"/>
  <c r="M104" i="2"/>
  <c r="N104" i="2"/>
  <c r="O104" i="2"/>
  <c r="M105" i="2"/>
  <c r="P105" i="2" s="1"/>
  <c r="N105" i="2"/>
  <c r="O105" i="2"/>
  <c r="M106" i="2"/>
  <c r="P106" i="2" s="1"/>
  <c r="N106" i="2"/>
  <c r="O106" i="2"/>
  <c r="M107" i="2"/>
  <c r="P107" i="2" s="1"/>
  <c r="N107" i="2"/>
  <c r="O107" i="2"/>
  <c r="M108" i="2"/>
  <c r="N108" i="2"/>
  <c r="O108" i="2"/>
  <c r="M109" i="2"/>
  <c r="P109" i="2" s="1"/>
  <c r="N109" i="2"/>
  <c r="O109" i="2"/>
  <c r="M110" i="2"/>
  <c r="P110" i="2" s="1"/>
  <c r="N110" i="2"/>
  <c r="O110" i="2"/>
  <c r="M111" i="2"/>
  <c r="P111" i="2" s="1"/>
  <c r="N111" i="2"/>
  <c r="O111" i="2"/>
  <c r="M112" i="2"/>
  <c r="N112" i="2"/>
  <c r="O112" i="2"/>
  <c r="M113" i="2"/>
  <c r="P113" i="2" s="1"/>
  <c r="N113" i="2"/>
  <c r="O113" i="2"/>
  <c r="M114" i="2"/>
  <c r="P114" i="2" s="1"/>
  <c r="N114" i="2"/>
  <c r="O114" i="2"/>
  <c r="M115" i="2"/>
  <c r="P115" i="2" s="1"/>
  <c r="N115" i="2"/>
  <c r="O115" i="2"/>
  <c r="M116" i="2"/>
  <c r="N116" i="2"/>
  <c r="O116" i="2"/>
  <c r="M117" i="2"/>
  <c r="P117" i="2" s="1"/>
  <c r="N117" i="2"/>
  <c r="O117" i="2"/>
  <c r="M118" i="2"/>
  <c r="P118" i="2" s="1"/>
  <c r="N118" i="2"/>
  <c r="O118" i="2"/>
  <c r="M119" i="2"/>
  <c r="P119" i="2" s="1"/>
  <c r="N119" i="2"/>
  <c r="O119" i="2"/>
  <c r="M120" i="2"/>
  <c r="N120" i="2"/>
  <c r="O120" i="2"/>
  <c r="M121" i="2"/>
  <c r="P121" i="2" s="1"/>
  <c r="N121" i="2"/>
  <c r="O121" i="2"/>
  <c r="M122" i="2"/>
  <c r="P122" i="2" s="1"/>
  <c r="N122" i="2"/>
  <c r="O122" i="2"/>
  <c r="M123" i="2"/>
  <c r="P123" i="2" s="1"/>
  <c r="N123" i="2"/>
  <c r="O123" i="2"/>
  <c r="M124" i="2"/>
  <c r="N124" i="2"/>
  <c r="O124" i="2"/>
  <c r="M125" i="2"/>
  <c r="P125" i="2" s="1"/>
  <c r="N125" i="2"/>
  <c r="O125" i="2"/>
  <c r="M126" i="2"/>
  <c r="P126" i="2" s="1"/>
  <c r="N126" i="2"/>
  <c r="O126" i="2"/>
  <c r="M127" i="2"/>
  <c r="P127" i="2" s="1"/>
  <c r="N127" i="2"/>
  <c r="O127" i="2"/>
  <c r="M128" i="2"/>
  <c r="N128" i="2"/>
  <c r="O128" i="2"/>
  <c r="M129" i="2"/>
  <c r="P129" i="2" s="1"/>
  <c r="N129" i="2"/>
  <c r="O129" i="2"/>
  <c r="M130" i="2"/>
  <c r="P130" i="2" s="1"/>
  <c r="N130" i="2"/>
  <c r="O130" i="2"/>
  <c r="M131" i="2"/>
  <c r="P131" i="2" s="1"/>
  <c r="N131" i="2"/>
  <c r="O131" i="2"/>
  <c r="M132" i="2"/>
  <c r="N132" i="2"/>
  <c r="O132" i="2"/>
  <c r="M133" i="2"/>
  <c r="P133" i="2" s="1"/>
  <c r="N133" i="2"/>
  <c r="O133" i="2"/>
  <c r="M134" i="2"/>
  <c r="P134" i="2" s="1"/>
  <c r="N134" i="2"/>
  <c r="O134" i="2"/>
  <c r="M135" i="2"/>
  <c r="P135" i="2" s="1"/>
  <c r="N135" i="2"/>
  <c r="O135" i="2"/>
  <c r="M136" i="2"/>
  <c r="N136" i="2"/>
  <c r="O136" i="2"/>
  <c r="M137" i="2"/>
  <c r="P137" i="2" s="1"/>
  <c r="N137" i="2"/>
  <c r="O137" i="2"/>
  <c r="M138" i="2"/>
  <c r="P138" i="2" s="1"/>
  <c r="N138" i="2"/>
  <c r="O138" i="2"/>
  <c r="M139" i="2"/>
  <c r="P139" i="2" s="1"/>
  <c r="N139" i="2"/>
  <c r="O139" i="2"/>
  <c r="M140" i="2"/>
  <c r="N140" i="2"/>
  <c r="O140" i="2"/>
  <c r="M141" i="2"/>
  <c r="P141" i="2" s="1"/>
  <c r="N141" i="2"/>
  <c r="O141" i="2"/>
  <c r="M142" i="2"/>
  <c r="P142" i="2" s="1"/>
  <c r="N142" i="2"/>
  <c r="O142" i="2"/>
  <c r="M143" i="2"/>
  <c r="P143" i="2" s="1"/>
  <c r="N143" i="2"/>
  <c r="O143" i="2"/>
  <c r="M144" i="2"/>
  <c r="N144" i="2"/>
  <c r="O144" i="2"/>
  <c r="M145" i="2"/>
  <c r="P145" i="2" s="1"/>
  <c r="N145" i="2"/>
  <c r="O145" i="2"/>
  <c r="M146" i="2"/>
  <c r="P146" i="2" s="1"/>
  <c r="N146" i="2"/>
  <c r="O146" i="2"/>
  <c r="M147" i="2"/>
  <c r="P147" i="2" s="1"/>
  <c r="N147" i="2"/>
  <c r="O147" i="2"/>
  <c r="M148" i="2"/>
  <c r="N148" i="2"/>
  <c r="O148" i="2"/>
  <c r="M149" i="2"/>
  <c r="P149" i="2" s="1"/>
  <c r="N149" i="2"/>
  <c r="O149" i="2"/>
  <c r="M150" i="2"/>
  <c r="P150" i="2" s="1"/>
  <c r="N150" i="2"/>
  <c r="O150" i="2"/>
  <c r="M151" i="2"/>
  <c r="P151" i="2" s="1"/>
  <c r="N151" i="2"/>
  <c r="O151" i="2"/>
  <c r="M152" i="2"/>
  <c r="N152" i="2"/>
  <c r="O152" i="2"/>
  <c r="M153" i="2"/>
  <c r="P153" i="2" s="1"/>
  <c r="N153" i="2"/>
  <c r="O153" i="2"/>
  <c r="M154" i="2"/>
  <c r="P154" i="2" s="1"/>
  <c r="N154" i="2"/>
  <c r="O154" i="2"/>
  <c r="M155" i="2"/>
  <c r="P155" i="2" s="1"/>
  <c r="N155" i="2"/>
  <c r="O155" i="2"/>
  <c r="M156" i="2"/>
  <c r="N156" i="2"/>
  <c r="O156" i="2"/>
  <c r="M157" i="2"/>
  <c r="P157" i="2" s="1"/>
  <c r="N157" i="2"/>
  <c r="O157" i="2"/>
  <c r="M158" i="2"/>
  <c r="P158" i="2" s="1"/>
  <c r="N158" i="2"/>
  <c r="O158" i="2"/>
  <c r="M159" i="2"/>
  <c r="P159" i="2" s="1"/>
  <c r="N159" i="2"/>
  <c r="O159" i="2"/>
  <c r="M160" i="2"/>
  <c r="N160" i="2"/>
  <c r="O160" i="2"/>
  <c r="M161" i="2"/>
  <c r="P161" i="2" s="1"/>
  <c r="N161" i="2"/>
  <c r="O161" i="2"/>
  <c r="M162" i="2"/>
  <c r="P162" i="2" s="1"/>
  <c r="N162" i="2"/>
  <c r="O162" i="2"/>
  <c r="M163" i="2"/>
  <c r="P163" i="2" s="1"/>
  <c r="N163" i="2"/>
  <c r="O163" i="2"/>
  <c r="M164" i="2"/>
  <c r="N164" i="2"/>
  <c r="O164" i="2"/>
  <c r="M165" i="2"/>
  <c r="P165" i="2" s="1"/>
  <c r="N165" i="2"/>
  <c r="O165" i="2"/>
  <c r="M166" i="2"/>
  <c r="P166" i="2" s="1"/>
  <c r="N166" i="2"/>
  <c r="O166" i="2"/>
  <c r="M167" i="2"/>
  <c r="P167" i="2" s="1"/>
  <c r="N167" i="2"/>
  <c r="O167" i="2"/>
  <c r="M168" i="2"/>
  <c r="N168" i="2"/>
  <c r="O168" i="2"/>
  <c r="M169" i="2"/>
  <c r="P169" i="2" s="1"/>
  <c r="N169" i="2"/>
  <c r="O169" i="2"/>
  <c r="M170" i="2"/>
  <c r="P170" i="2" s="1"/>
  <c r="N170" i="2"/>
  <c r="O170" i="2"/>
  <c r="M171" i="2"/>
  <c r="P171" i="2" s="1"/>
  <c r="N171" i="2"/>
  <c r="O171" i="2"/>
  <c r="M172" i="2"/>
  <c r="N172" i="2"/>
  <c r="O172" i="2"/>
  <c r="M173" i="2"/>
  <c r="P173" i="2" s="1"/>
  <c r="N173" i="2"/>
  <c r="O173" i="2"/>
  <c r="M174" i="2"/>
  <c r="P174" i="2" s="1"/>
  <c r="N174" i="2"/>
  <c r="O174" i="2"/>
  <c r="M175" i="2"/>
  <c r="P175" i="2" s="1"/>
  <c r="N175" i="2"/>
  <c r="O175" i="2"/>
  <c r="M176" i="2"/>
  <c r="N176" i="2"/>
  <c r="O176" i="2"/>
  <c r="M177" i="2"/>
  <c r="P177" i="2" s="1"/>
  <c r="N177" i="2"/>
  <c r="O177" i="2"/>
  <c r="M178" i="2"/>
  <c r="P178" i="2" s="1"/>
  <c r="N178" i="2"/>
  <c r="O178" i="2"/>
  <c r="M179" i="2"/>
  <c r="P179" i="2" s="1"/>
  <c r="N179" i="2"/>
  <c r="O179" i="2"/>
  <c r="M180" i="2"/>
  <c r="N180" i="2"/>
  <c r="O180" i="2"/>
  <c r="M181" i="2"/>
  <c r="P181" i="2" s="1"/>
  <c r="N181" i="2"/>
  <c r="O181" i="2"/>
  <c r="M182" i="2"/>
  <c r="P182" i="2" s="1"/>
  <c r="N182" i="2"/>
  <c r="O182" i="2"/>
  <c r="M183" i="2"/>
  <c r="P183" i="2" s="1"/>
  <c r="N183" i="2"/>
  <c r="O183" i="2"/>
  <c r="M184" i="2"/>
  <c r="N184" i="2"/>
  <c r="O184" i="2"/>
  <c r="M185" i="2"/>
  <c r="P185" i="2" s="1"/>
  <c r="N185" i="2"/>
  <c r="O185" i="2"/>
  <c r="M186" i="2"/>
  <c r="P186" i="2" s="1"/>
  <c r="N186" i="2"/>
  <c r="O186" i="2"/>
  <c r="M187" i="2"/>
  <c r="P187" i="2" s="1"/>
  <c r="N187" i="2"/>
  <c r="O187" i="2"/>
  <c r="M188" i="2"/>
  <c r="N188" i="2"/>
  <c r="O188" i="2"/>
  <c r="M189" i="2"/>
  <c r="P189" i="2" s="1"/>
  <c r="N189" i="2"/>
  <c r="O189" i="2"/>
  <c r="M190" i="2"/>
  <c r="P190" i="2" s="1"/>
  <c r="N190" i="2"/>
  <c r="O190" i="2"/>
  <c r="M191" i="2"/>
  <c r="P191" i="2" s="1"/>
  <c r="N191" i="2"/>
  <c r="O191" i="2"/>
  <c r="M192" i="2"/>
  <c r="N192" i="2"/>
  <c r="O192" i="2"/>
  <c r="M193" i="2"/>
  <c r="P193" i="2" s="1"/>
  <c r="N193" i="2"/>
  <c r="O193" i="2"/>
  <c r="M194" i="2"/>
  <c r="P194" i="2" s="1"/>
  <c r="N194" i="2"/>
  <c r="O194" i="2"/>
  <c r="M195" i="2"/>
  <c r="P195" i="2" s="1"/>
  <c r="N195" i="2"/>
  <c r="O195" i="2"/>
  <c r="M196" i="2"/>
  <c r="N196" i="2"/>
  <c r="O196" i="2"/>
  <c r="M197" i="2"/>
  <c r="P197" i="2" s="1"/>
  <c r="N197" i="2"/>
  <c r="O197" i="2"/>
  <c r="M198" i="2"/>
  <c r="P198" i="2" s="1"/>
  <c r="N198" i="2"/>
  <c r="O198" i="2"/>
  <c r="M199" i="2"/>
  <c r="P199" i="2" s="1"/>
  <c r="N199" i="2"/>
  <c r="O199" i="2"/>
  <c r="M200" i="2"/>
  <c r="N200" i="2"/>
  <c r="O200" i="2"/>
  <c r="M201" i="2"/>
  <c r="P201" i="2" s="1"/>
  <c r="N201" i="2"/>
  <c r="O201" i="2"/>
  <c r="M202" i="2"/>
  <c r="P202" i="2" s="1"/>
  <c r="N202" i="2"/>
  <c r="O202" i="2"/>
  <c r="M203" i="2"/>
  <c r="P203" i="2" s="1"/>
  <c r="N203" i="2"/>
  <c r="O203" i="2"/>
  <c r="M204" i="2"/>
  <c r="N204" i="2"/>
  <c r="O204" i="2"/>
  <c r="M205" i="2"/>
  <c r="P205" i="2" s="1"/>
  <c r="N205" i="2"/>
  <c r="O205" i="2"/>
  <c r="M206" i="2"/>
  <c r="P206" i="2" s="1"/>
  <c r="N206" i="2"/>
  <c r="O206" i="2"/>
  <c r="M207" i="2"/>
  <c r="P207" i="2" s="1"/>
  <c r="N207" i="2"/>
  <c r="O207" i="2"/>
  <c r="M208" i="2"/>
  <c r="N208" i="2"/>
  <c r="O208" i="2"/>
  <c r="M209" i="2"/>
  <c r="P209" i="2" s="1"/>
  <c r="N209" i="2"/>
  <c r="O209" i="2"/>
  <c r="M210" i="2"/>
  <c r="P210" i="2" s="1"/>
  <c r="N210" i="2"/>
  <c r="O210" i="2"/>
  <c r="M211" i="2"/>
  <c r="P211" i="2" s="1"/>
  <c r="N211" i="2"/>
  <c r="O211" i="2"/>
  <c r="M212" i="2"/>
  <c r="N212" i="2"/>
  <c r="O212" i="2"/>
  <c r="M213" i="2"/>
  <c r="P213" i="2" s="1"/>
  <c r="N213" i="2"/>
  <c r="O213" i="2"/>
  <c r="M214" i="2"/>
  <c r="P214" i="2" s="1"/>
  <c r="N214" i="2"/>
  <c r="O214" i="2"/>
  <c r="M215" i="2"/>
  <c r="P215" i="2" s="1"/>
  <c r="N215" i="2"/>
  <c r="O215" i="2"/>
  <c r="M216" i="2"/>
  <c r="N216" i="2"/>
  <c r="O216" i="2"/>
  <c r="M217" i="2"/>
  <c r="P217" i="2" s="1"/>
  <c r="N217" i="2"/>
  <c r="O217" i="2"/>
  <c r="M218" i="2"/>
  <c r="P218" i="2" s="1"/>
  <c r="N218" i="2"/>
  <c r="O218" i="2"/>
  <c r="M219" i="2"/>
  <c r="P219" i="2" s="1"/>
  <c r="N219" i="2"/>
  <c r="O219" i="2"/>
  <c r="M220" i="2"/>
  <c r="N220" i="2"/>
  <c r="O220" i="2"/>
  <c r="M221" i="2"/>
  <c r="P221" i="2" s="1"/>
  <c r="N221" i="2"/>
  <c r="O221" i="2"/>
  <c r="M222" i="2"/>
  <c r="P222" i="2" s="1"/>
  <c r="N222" i="2"/>
  <c r="O222" i="2"/>
  <c r="M223" i="2"/>
  <c r="P223" i="2" s="1"/>
  <c r="N223" i="2"/>
  <c r="O223" i="2"/>
  <c r="M224" i="2"/>
  <c r="N224" i="2"/>
  <c r="O224" i="2"/>
  <c r="M225" i="2"/>
  <c r="P225" i="2" s="1"/>
  <c r="N225" i="2"/>
  <c r="O225" i="2"/>
  <c r="M226" i="2"/>
  <c r="P226" i="2" s="1"/>
  <c r="N226" i="2"/>
  <c r="O226" i="2"/>
  <c r="M227" i="2"/>
  <c r="P227" i="2" s="1"/>
  <c r="N227" i="2"/>
  <c r="O227" i="2"/>
  <c r="M228" i="2"/>
  <c r="N228" i="2"/>
  <c r="O228" i="2"/>
  <c r="M229" i="2"/>
  <c r="P229" i="2" s="1"/>
  <c r="N229" i="2"/>
  <c r="O229" i="2"/>
  <c r="M230" i="2"/>
  <c r="P230" i="2" s="1"/>
  <c r="N230" i="2"/>
  <c r="O230" i="2"/>
  <c r="M231" i="2"/>
  <c r="P231" i="2" s="1"/>
  <c r="N231" i="2"/>
  <c r="O231" i="2"/>
  <c r="M232" i="2"/>
  <c r="N232" i="2"/>
  <c r="O232" i="2"/>
  <c r="M233" i="2"/>
  <c r="P233" i="2" s="1"/>
  <c r="N233" i="2"/>
  <c r="O233" i="2"/>
  <c r="M234" i="2"/>
  <c r="P234" i="2" s="1"/>
  <c r="N234" i="2"/>
  <c r="O234" i="2"/>
  <c r="M235" i="2"/>
  <c r="P235" i="2" s="1"/>
  <c r="N235" i="2"/>
  <c r="O235" i="2"/>
  <c r="M236" i="2"/>
  <c r="N236" i="2"/>
  <c r="O236" i="2"/>
  <c r="M237" i="2"/>
  <c r="P237" i="2" s="1"/>
  <c r="N237" i="2"/>
  <c r="O237" i="2"/>
  <c r="M238" i="2"/>
  <c r="P238" i="2" s="1"/>
  <c r="N238" i="2"/>
  <c r="O238" i="2"/>
  <c r="M239" i="2"/>
  <c r="P239" i="2" s="1"/>
  <c r="N239" i="2"/>
  <c r="O239" i="2"/>
  <c r="M240" i="2"/>
  <c r="N240" i="2"/>
  <c r="O240" i="2"/>
  <c r="M241" i="2"/>
  <c r="P241" i="2" s="1"/>
  <c r="N241" i="2"/>
  <c r="O241" i="2"/>
  <c r="M242" i="2"/>
  <c r="P242" i="2" s="1"/>
  <c r="N242" i="2"/>
  <c r="O242" i="2"/>
  <c r="M243" i="2"/>
  <c r="P243" i="2" s="1"/>
  <c r="N243" i="2"/>
  <c r="O243" i="2"/>
  <c r="M244" i="2"/>
  <c r="N244" i="2"/>
  <c r="O244" i="2"/>
  <c r="M245" i="2"/>
  <c r="P245" i="2" s="1"/>
  <c r="N245" i="2"/>
  <c r="O245" i="2"/>
  <c r="M246" i="2"/>
  <c r="P246" i="2" s="1"/>
  <c r="N246" i="2"/>
  <c r="O246" i="2"/>
  <c r="M247" i="2"/>
  <c r="P247" i="2" s="1"/>
  <c r="N247" i="2"/>
  <c r="O247" i="2"/>
  <c r="M248" i="2"/>
  <c r="N248" i="2"/>
  <c r="O248" i="2"/>
  <c r="M249" i="2"/>
  <c r="P249" i="2" s="1"/>
  <c r="N249" i="2"/>
  <c r="O249" i="2"/>
  <c r="M250" i="2"/>
  <c r="P250" i="2" s="1"/>
  <c r="N250" i="2"/>
  <c r="O250" i="2"/>
  <c r="M251" i="2"/>
  <c r="P251" i="2" s="1"/>
  <c r="N251" i="2"/>
  <c r="O251" i="2"/>
  <c r="M252" i="2"/>
  <c r="N252" i="2"/>
  <c r="O252" i="2"/>
  <c r="M253" i="2"/>
  <c r="P253" i="2" s="1"/>
  <c r="N253" i="2"/>
  <c r="O253" i="2"/>
  <c r="M254" i="2"/>
  <c r="P254" i="2" s="1"/>
  <c r="N254" i="2"/>
  <c r="O254" i="2"/>
  <c r="M255" i="2"/>
  <c r="P255" i="2" s="1"/>
  <c r="N255" i="2"/>
  <c r="O255" i="2"/>
  <c r="M256" i="2"/>
  <c r="N256" i="2"/>
  <c r="O256" i="2"/>
  <c r="M257" i="2"/>
  <c r="P257" i="2" s="1"/>
  <c r="N257" i="2"/>
  <c r="O257" i="2"/>
  <c r="M258" i="2"/>
  <c r="P258" i="2" s="1"/>
  <c r="N258" i="2"/>
  <c r="O258" i="2"/>
  <c r="M259" i="2"/>
  <c r="P259" i="2" s="1"/>
  <c r="N259" i="2"/>
  <c r="O259" i="2"/>
  <c r="M260" i="2"/>
  <c r="N260" i="2"/>
  <c r="O260" i="2"/>
  <c r="M261" i="2"/>
  <c r="P261" i="2" s="1"/>
  <c r="N261" i="2"/>
  <c r="O261" i="2"/>
  <c r="M262" i="2"/>
  <c r="P262" i="2" s="1"/>
  <c r="N262" i="2"/>
  <c r="O262" i="2"/>
  <c r="M263" i="2"/>
  <c r="P263" i="2" s="1"/>
  <c r="N263" i="2"/>
  <c r="O263" i="2"/>
  <c r="M264" i="2"/>
  <c r="N264" i="2"/>
  <c r="O264" i="2"/>
  <c r="M265" i="2"/>
  <c r="P265" i="2" s="1"/>
  <c r="N265" i="2"/>
  <c r="O265" i="2"/>
  <c r="M266" i="2"/>
  <c r="P266" i="2" s="1"/>
  <c r="N266" i="2"/>
  <c r="O266" i="2"/>
  <c r="M267" i="2"/>
  <c r="P267" i="2" s="1"/>
  <c r="N267" i="2"/>
  <c r="O267" i="2"/>
  <c r="M268" i="2"/>
  <c r="N268" i="2"/>
  <c r="O268" i="2"/>
  <c r="M269" i="2"/>
  <c r="P269" i="2" s="1"/>
  <c r="N269" i="2"/>
  <c r="O269" i="2"/>
  <c r="M270" i="2"/>
  <c r="P270" i="2" s="1"/>
  <c r="N270" i="2"/>
  <c r="O270" i="2"/>
  <c r="M271" i="2"/>
  <c r="P271" i="2" s="1"/>
  <c r="N271" i="2"/>
  <c r="O271" i="2"/>
  <c r="M272" i="2"/>
  <c r="N272" i="2"/>
  <c r="O272" i="2"/>
  <c r="M273" i="2"/>
  <c r="P273" i="2" s="1"/>
  <c r="N273" i="2"/>
  <c r="O273" i="2"/>
  <c r="M274" i="2"/>
  <c r="P274" i="2" s="1"/>
  <c r="N274" i="2"/>
  <c r="O274" i="2"/>
  <c r="M275" i="2"/>
  <c r="P275" i="2" s="1"/>
  <c r="N275" i="2"/>
  <c r="O275" i="2"/>
  <c r="M276" i="2"/>
  <c r="N276" i="2"/>
  <c r="O276" i="2"/>
  <c r="M277" i="2"/>
  <c r="P277" i="2" s="1"/>
  <c r="N277" i="2"/>
  <c r="O277" i="2"/>
  <c r="M278" i="2"/>
  <c r="P278" i="2" s="1"/>
  <c r="N278" i="2"/>
  <c r="O278" i="2"/>
  <c r="M279" i="2"/>
  <c r="P279" i="2" s="1"/>
  <c r="N279" i="2"/>
  <c r="O279" i="2"/>
  <c r="M280" i="2"/>
  <c r="N280" i="2"/>
  <c r="O280" i="2"/>
  <c r="M281" i="2"/>
  <c r="P281" i="2" s="1"/>
  <c r="N281" i="2"/>
  <c r="O281" i="2"/>
  <c r="M282" i="2"/>
  <c r="P282" i="2" s="1"/>
  <c r="N282" i="2"/>
  <c r="O282" i="2"/>
  <c r="M283" i="2"/>
  <c r="P283" i="2" s="1"/>
  <c r="N283" i="2"/>
  <c r="O283" i="2"/>
  <c r="M284" i="2"/>
  <c r="N284" i="2"/>
  <c r="O284" i="2"/>
  <c r="M285" i="2"/>
  <c r="P285" i="2" s="1"/>
  <c r="N285" i="2"/>
  <c r="O285" i="2"/>
  <c r="M286" i="2"/>
  <c r="P286" i="2" s="1"/>
  <c r="N286" i="2"/>
  <c r="O286" i="2"/>
  <c r="M287" i="2"/>
  <c r="P287" i="2" s="1"/>
  <c r="N287" i="2"/>
  <c r="O287" i="2"/>
  <c r="M288" i="2"/>
  <c r="N288" i="2"/>
  <c r="O288" i="2"/>
  <c r="M289" i="2"/>
  <c r="P289" i="2" s="1"/>
  <c r="N289" i="2"/>
  <c r="O289" i="2"/>
  <c r="M290" i="2"/>
  <c r="P290" i="2" s="1"/>
  <c r="N290" i="2"/>
  <c r="O290" i="2"/>
  <c r="M291" i="2"/>
  <c r="P291" i="2" s="1"/>
  <c r="N291" i="2"/>
  <c r="O291" i="2"/>
  <c r="M292" i="2"/>
  <c r="N292" i="2"/>
  <c r="O292" i="2"/>
  <c r="M293" i="2"/>
  <c r="P293" i="2" s="1"/>
  <c r="N293" i="2"/>
  <c r="O293" i="2"/>
  <c r="M294" i="2"/>
  <c r="P294" i="2" s="1"/>
  <c r="N294" i="2"/>
  <c r="O294" i="2"/>
  <c r="M295" i="2"/>
  <c r="P295" i="2" s="1"/>
  <c r="N295" i="2"/>
  <c r="O295" i="2"/>
  <c r="M296" i="2"/>
  <c r="N296" i="2"/>
  <c r="O296" i="2"/>
  <c r="M297" i="2"/>
  <c r="P297" i="2" s="1"/>
  <c r="N297" i="2"/>
  <c r="O297" i="2"/>
  <c r="M298" i="2"/>
  <c r="P298" i="2" s="1"/>
  <c r="N298" i="2"/>
  <c r="O298" i="2"/>
  <c r="M299" i="2"/>
  <c r="P299" i="2" s="1"/>
  <c r="N299" i="2"/>
  <c r="O299" i="2"/>
  <c r="M300" i="2"/>
  <c r="N300" i="2"/>
  <c r="O300" i="2"/>
  <c r="M301" i="2"/>
  <c r="P301" i="2" s="1"/>
  <c r="N301" i="2"/>
  <c r="O301" i="2"/>
  <c r="M302" i="2"/>
  <c r="P302" i="2" s="1"/>
  <c r="N302" i="2"/>
  <c r="O302" i="2"/>
  <c r="M303" i="2"/>
  <c r="P303" i="2" s="1"/>
  <c r="N303" i="2"/>
  <c r="O303" i="2"/>
  <c r="M304" i="2"/>
  <c r="N304" i="2"/>
  <c r="O304" i="2"/>
  <c r="M305" i="2"/>
  <c r="P305" i="2" s="1"/>
  <c r="N305" i="2"/>
  <c r="O305" i="2"/>
  <c r="M306" i="2"/>
  <c r="P306" i="2" s="1"/>
  <c r="N306" i="2"/>
  <c r="O306" i="2"/>
  <c r="M307" i="2"/>
  <c r="P307" i="2" s="1"/>
  <c r="N307" i="2"/>
  <c r="O307" i="2"/>
  <c r="M308" i="2"/>
  <c r="N308" i="2"/>
  <c r="O308" i="2"/>
  <c r="M309" i="2"/>
  <c r="P309" i="2" s="1"/>
  <c r="N309" i="2"/>
  <c r="O309" i="2"/>
  <c r="M310" i="2"/>
  <c r="P310" i="2" s="1"/>
  <c r="N310" i="2"/>
  <c r="O310" i="2"/>
  <c r="M311" i="2"/>
  <c r="P311" i="2" s="1"/>
  <c r="N311" i="2"/>
  <c r="O311" i="2"/>
  <c r="M312" i="2"/>
  <c r="N312" i="2"/>
  <c r="O312" i="2"/>
  <c r="M313" i="2"/>
  <c r="P313" i="2" s="1"/>
  <c r="N313" i="2"/>
  <c r="O313" i="2"/>
  <c r="M314" i="2"/>
  <c r="P314" i="2" s="1"/>
  <c r="N314" i="2"/>
  <c r="O314" i="2"/>
  <c r="M315" i="2"/>
  <c r="P315" i="2" s="1"/>
  <c r="N315" i="2"/>
  <c r="O315" i="2"/>
  <c r="M316" i="2"/>
  <c r="N316" i="2"/>
  <c r="O316" i="2"/>
  <c r="M317" i="2"/>
  <c r="P317" i="2" s="1"/>
  <c r="N317" i="2"/>
  <c r="O317" i="2"/>
  <c r="M318" i="2"/>
  <c r="P318" i="2" s="1"/>
  <c r="N318" i="2"/>
  <c r="O318" i="2"/>
  <c r="M319" i="2"/>
  <c r="P319" i="2" s="1"/>
  <c r="N319" i="2"/>
  <c r="O319" i="2"/>
  <c r="M320" i="2"/>
  <c r="N320" i="2"/>
  <c r="O320" i="2"/>
  <c r="M321" i="2"/>
  <c r="P321" i="2" s="1"/>
  <c r="N321" i="2"/>
  <c r="O321" i="2"/>
  <c r="M322" i="2"/>
  <c r="P322" i="2" s="1"/>
  <c r="N322" i="2"/>
  <c r="O322" i="2"/>
  <c r="M323" i="2"/>
  <c r="P323" i="2" s="1"/>
  <c r="N323" i="2"/>
  <c r="O323" i="2"/>
  <c r="M324" i="2"/>
  <c r="N324" i="2"/>
  <c r="O324" i="2"/>
  <c r="M325" i="2"/>
  <c r="P325" i="2" s="1"/>
  <c r="N325" i="2"/>
  <c r="O325" i="2"/>
  <c r="M326" i="2"/>
  <c r="P326" i="2" s="1"/>
  <c r="N326" i="2"/>
  <c r="O326" i="2"/>
  <c r="M327" i="2"/>
  <c r="P327" i="2" s="1"/>
  <c r="N327" i="2"/>
  <c r="O327" i="2"/>
  <c r="M328" i="2"/>
  <c r="N328" i="2"/>
  <c r="O328" i="2"/>
  <c r="M329" i="2"/>
  <c r="P329" i="2" s="1"/>
  <c r="N329" i="2"/>
  <c r="O329" i="2"/>
  <c r="M330" i="2"/>
  <c r="P330" i="2" s="1"/>
  <c r="N330" i="2"/>
  <c r="O330" i="2"/>
  <c r="M331" i="2"/>
  <c r="P331" i="2" s="1"/>
  <c r="N331" i="2"/>
  <c r="O331" i="2"/>
  <c r="M332" i="2"/>
  <c r="N332" i="2"/>
  <c r="O332" i="2"/>
  <c r="M333" i="2"/>
  <c r="P333" i="2" s="1"/>
  <c r="N333" i="2"/>
  <c r="O333" i="2"/>
  <c r="M334" i="2"/>
  <c r="P334" i="2" s="1"/>
  <c r="N334" i="2"/>
  <c r="O334" i="2"/>
  <c r="M335" i="2"/>
  <c r="P335" i="2" s="1"/>
  <c r="N335" i="2"/>
  <c r="O335" i="2"/>
  <c r="M336" i="2"/>
  <c r="N336" i="2"/>
  <c r="O336" i="2"/>
  <c r="M337" i="2"/>
  <c r="P337" i="2" s="1"/>
  <c r="N337" i="2"/>
  <c r="O337" i="2"/>
  <c r="M338" i="2"/>
  <c r="P338" i="2" s="1"/>
  <c r="N338" i="2"/>
  <c r="O338" i="2"/>
  <c r="M339" i="2"/>
  <c r="P339" i="2" s="1"/>
  <c r="N339" i="2"/>
  <c r="O339" i="2"/>
  <c r="M340" i="2"/>
  <c r="N340" i="2"/>
  <c r="O340" i="2"/>
  <c r="M341" i="2"/>
  <c r="P341" i="2" s="1"/>
  <c r="N341" i="2"/>
  <c r="O341" i="2"/>
  <c r="M342" i="2"/>
  <c r="P342" i="2" s="1"/>
  <c r="N342" i="2"/>
  <c r="O342" i="2"/>
  <c r="M343" i="2"/>
  <c r="P343" i="2" s="1"/>
  <c r="N343" i="2"/>
  <c r="O343" i="2"/>
  <c r="M344" i="2"/>
  <c r="N344" i="2"/>
  <c r="O344" i="2"/>
  <c r="M345" i="2"/>
  <c r="P345" i="2" s="1"/>
  <c r="N345" i="2"/>
  <c r="O345" i="2"/>
  <c r="M346" i="2"/>
  <c r="P346" i="2" s="1"/>
  <c r="N346" i="2"/>
  <c r="O346" i="2"/>
  <c r="M347" i="2"/>
  <c r="P347" i="2" s="1"/>
  <c r="N347" i="2"/>
  <c r="O347" i="2"/>
  <c r="M348" i="2"/>
  <c r="N348" i="2"/>
  <c r="O348" i="2"/>
  <c r="M349" i="2"/>
  <c r="P349" i="2" s="1"/>
  <c r="N349" i="2"/>
  <c r="O349" i="2"/>
  <c r="M350" i="2"/>
  <c r="P350" i="2" s="1"/>
  <c r="N350" i="2"/>
  <c r="O350" i="2"/>
  <c r="M351" i="2"/>
  <c r="P351" i="2" s="1"/>
  <c r="N351" i="2"/>
  <c r="O351" i="2"/>
  <c r="M352" i="2"/>
  <c r="N352" i="2"/>
  <c r="O352" i="2"/>
  <c r="M353" i="2"/>
  <c r="P353" i="2" s="1"/>
  <c r="N353" i="2"/>
  <c r="O353" i="2"/>
  <c r="M354" i="2"/>
  <c r="P354" i="2" s="1"/>
  <c r="N354" i="2"/>
  <c r="O354" i="2"/>
  <c r="M355" i="2"/>
  <c r="P355" i="2" s="1"/>
  <c r="N355" i="2"/>
  <c r="O355" i="2"/>
  <c r="M356" i="2"/>
  <c r="N356" i="2"/>
  <c r="O356" i="2"/>
  <c r="M357" i="2"/>
  <c r="P357" i="2" s="1"/>
  <c r="N357" i="2"/>
  <c r="O357" i="2"/>
  <c r="M358" i="2"/>
  <c r="P358" i="2" s="1"/>
  <c r="N358" i="2"/>
  <c r="O358" i="2"/>
  <c r="M359" i="2"/>
  <c r="P359" i="2" s="1"/>
  <c r="N359" i="2"/>
  <c r="O359" i="2"/>
  <c r="M360" i="2"/>
  <c r="N360" i="2"/>
  <c r="O360" i="2"/>
  <c r="M361" i="2"/>
  <c r="P361" i="2" s="1"/>
  <c r="N361" i="2"/>
  <c r="O361" i="2"/>
  <c r="M362" i="2"/>
  <c r="P362" i="2" s="1"/>
  <c r="N362" i="2"/>
  <c r="O362" i="2"/>
  <c r="M363" i="2"/>
  <c r="P363" i="2" s="1"/>
  <c r="N363" i="2"/>
  <c r="O363" i="2"/>
  <c r="M364" i="2"/>
  <c r="P364" i="2" s="1"/>
  <c r="N364" i="2"/>
  <c r="O364" i="2"/>
  <c r="M365" i="2"/>
  <c r="P365" i="2" s="1"/>
  <c r="N365" i="2"/>
  <c r="O365" i="2"/>
  <c r="M366" i="2"/>
  <c r="P366" i="2" s="1"/>
  <c r="N366" i="2"/>
  <c r="O366" i="2"/>
  <c r="M367" i="2"/>
  <c r="P367" i="2" s="1"/>
  <c r="N367" i="2"/>
  <c r="O367" i="2"/>
  <c r="M368" i="2"/>
  <c r="P368" i="2" s="1"/>
  <c r="N368" i="2"/>
  <c r="O368" i="2"/>
  <c r="M369" i="2"/>
  <c r="P369" i="2" s="1"/>
  <c r="N369" i="2"/>
  <c r="O369" i="2"/>
  <c r="M370" i="2"/>
  <c r="P370" i="2" s="1"/>
  <c r="N370" i="2"/>
  <c r="O370" i="2"/>
  <c r="M371" i="2"/>
  <c r="P371" i="2" s="1"/>
  <c r="N371" i="2"/>
  <c r="O371" i="2"/>
  <c r="M372" i="2"/>
  <c r="P372" i="2" s="1"/>
  <c r="N372" i="2"/>
  <c r="O372" i="2"/>
  <c r="M373" i="2"/>
  <c r="P373" i="2" s="1"/>
  <c r="N373" i="2"/>
  <c r="O373" i="2"/>
  <c r="M374" i="2"/>
  <c r="P374" i="2" s="1"/>
  <c r="N374" i="2"/>
  <c r="O374" i="2"/>
  <c r="M375" i="2"/>
  <c r="P375" i="2" s="1"/>
  <c r="N375" i="2"/>
  <c r="O375" i="2"/>
  <c r="M376" i="2"/>
  <c r="P376" i="2" s="1"/>
  <c r="N376" i="2"/>
  <c r="O376" i="2"/>
  <c r="M377" i="2"/>
  <c r="P377" i="2" s="1"/>
  <c r="N377" i="2"/>
  <c r="O377" i="2"/>
  <c r="M378" i="2"/>
  <c r="P378" i="2" s="1"/>
  <c r="N378" i="2"/>
  <c r="O378" i="2"/>
  <c r="M379" i="2"/>
  <c r="P379" i="2" s="1"/>
  <c r="N379" i="2"/>
  <c r="O379" i="2"/>
  <c r="M380" i="2"/>
  <c r="P380" i="2" s="1"/>
  <c r="N380" i="2"/>
  <c r="O380" i="2"/>
  <c r="M381" i="2"/>
  <c r="P381" i="2" s="1"/>
  <c r="N381" i="2"/>
  <c r="O381" i="2"/>
  <c r="M382" i="2"/>
  <c r="P382" i="2" s="1"/>
  <c r="N382" i="2"/>
  <c r="O382" i="2"/>
  <c r="M383" i="2"/>
  <c r="P383" i="2" s="1"/>
  <c r="N383" i="2"/>
  <c r="O383" i="2"/>
  <c r="M384" i="2"/>
  <c r="P384" i="2" s="1"/>
  <c r="N384" i="2"/>
  <c r="O384" i="2"/>
  <c r="M385" i="2"/>
  <c r="P385" i="2" s="1"/>
  <c r="N385" i="2"/>
  <c r="O385" i="2"/>
  <c r="M386" i="2"/>
  <c r="P386" i="2" s="1"/>
  <c r="N386" i="2"/>
  <c r="O386" i="2"/>
  <c r="M387" i="2"/>
  <c r="P387" i="2" s="1"/>
  <c r="N387" i="2"/>
  <c r="O387" i="2"/>
  <c r="M388" i="2"/>
  <c r="P388" i="2" s="1"/>
  <c r="N388" i="2"/>
  <c r="O388" i="2"/>
  <c r="M389" i="2"/>
  <c r="P389" i="2" s="1"/>
  <c r="N389" i="2"/>
  <c r="O389" i="2"/>
  <c r="M390" i="2"/>
  <c r="P390" i="2" s="1"/>
  <c r="N390" i="2"/>
  <c r="O390" i="2"/>
  <c r="M391" i="2"/>
  <c r="P391" i="2" s="1"/>
  <c r="N391" i="2"/>
  <c r="O391" i="2"/>
  <c r="M392" i="2"/>
  <c r="P392" i="2" s="1"/>
  <c r="N392" i="2"/>
  <c r="O392" i="2"/>
  <c r="M393" i="2"/>
  <c r="P393" i="2" s="1"/>
  <c r="N393" i="2"/>
  <c r="O393" i="2"/>
  <c r="M394" i="2"/>
  <c r="P394" i="2" s="1"/>
  <c r="N394" i="2"/>
  <c r="O394" i="2"/>
  <c r="M395" i="2"/>
  <c r="P395" i="2" s="1"/>
  <c r="N395" i="2"/>
  <c r="O395" i="2"/>
  <c r="M396" i="2"/>
  <c r="P396" i="2" s="1"/>
  <c r="N396" i="2"/>
  <c r="O396" i="2"/>
  <c r="M397" i="2"/>
  <c r="P397" i="2" s="1"/>
  <c r="N397" i="2"/>
  <c r="O397" i="2"/>
  <c r="M398" i="2"/>
  <c r="P398" i="2" s="1"/>
  <c r="N398" i="2"/>
  <c r="O398" i="2"/>
  <c r="M399" i="2"/>
  <c r="P399" i="2" s="1"/>
  <c r="N399" i="2"/>
  <c r="O399" i="2"/>
  <c r="M400" i="2"/>
  <c r="P400" i="2" s="1"/>
  <c r="N400" i="2"/>
  <c r="O400" i="2"/>
  <c r="M401" i="2"/>
  <c r="P401" i="2" s="1"/>
  <c r="N401" i="2"/>
  <c r="O401" i="2"/>
  <c r="M402" i="2"/>
  <c r="P402" i="2" s="1"/>
  <c r="N402" i="2"/>
  <c r="O402" i="2"/>
  <c r="M403" i="2"/>
  <c r="P403" i="2" s="1"/>
  <c r="N403" i="2"/>
  <c r="O403" i="2"/>
  <c r="M404" i="2"/>
  <c r="P404" i="2" s="1"/>
  <c r="N404" i="2"/>
  <c r="O404" i="2"/>
  <c r="M405" i="2"/>
  <c r="P405" i="2" s="1"/>
  <c r="N405" i="2"/>
  <c r="O405" i="2"/>
  <c r="M406" i="2"/>
  <c r="P406" i="2" s="1"/>
  <c r="N406" i="2"/>
  <c r="O406" i="2"/>
  <c r="M407" i="2"/>
  <c r="P407" i="2" s="1"/>
  <c r="N407" i="2"/>
  <c r="O407" i="2"/>
  <c r="M408" i="2"/>
  <c r="P408" i="2" s="1"/>
  <c r="N408" i="2"/>
  <c r="O408" i="2"/>
  <c r="M409" i="2"/>
  <c r="P409" i="2" s="1"/>
  <c r="N409" i="2"/>
  <c r="O409" i="2"/>
  <c r="M410" i="2"/>
  <c r="P410" i="2" s="1"/>
  <c r="N410" i="2"/>
  <c r="O410" i="2"/>
  <c r="M411" i="2"/>
  <c r="P411" i="2" s="1"/>
  <c r="N411" i="2"/>
  <c r="O411" i="2"/>
  <c r="M412" i="2"/>
  <c r="P412" i="2" s="1"/>
  <c r="N412" i="2"/>
  <c r="O412" i="2"/>
  <c r="M413" i="2"/>
  <c r="P413" i="2" s="1"/>
  <c r="N413" i="2"/>
  <c r="O413" i="2"/>
  <c r="M414" i="2"/>
  <c r="P414" i="2" s="1"/>
  <c r="N414" i="2"/>
  <c r="O414" i="2"/>
  <c r="M415" i="2"/>
  <c r="P415" i="2" s="1"/>
  <c r="N415" i="2"/>
  <c r="O415" i="2"/>
  <c r="M416" i="2"/>
  <c r="P416" i="2" s="1"/>
  <c r="N416" i="2"/>
  <c r="O416" i="2"/>
  <c r="M417" i="2"/>
  <c r="P417" i="2" s="1"/>
  <c r="N417" i="2"/>
  <c r="O417" i="2"/>
  <c r="M418" i="2"/>
  <c r="P418" i="2" s="1"/>
  <c r="N418" i="2"/>
  <c r="O418" i="2"/>
  <c r="M419" i="2"/>
  <c r="P419" i="2" s="1"/>
  <c r="N419" i="2"/>
  <c r="O419" i="2"/>
  <c r="M420" i="2"/>
  <c r="P420" i="2" s="1"/>
  <c r="N420" i="2"/>
  <c r="O420" i="2"/>
  <c r="M421" i="2"/>
  <c r="P421" i="2" s="1"/>
  <c r="N421" i="2"/>
  <c r="O421" i="2"/>
  <c r="M422" i="2"/>
  <c r="P422" i="2" s="1"/>
  <c r="N422" i="2"/>
  <c r="O422" i="2"/>
  <c r="M423" i="2"/>
  <c r="P423" i="2" s="1"/>
  <c r="N423" i="2"/>
  <c r="O423" i="2"/>
  <c r="M424" i="2"/>
  <c r="P424" i="2" s="1"/>
  <c r="N424" i="2"/>
  <c r="O424" i="2"/>
  <c r="M425" i="2"/>
  <c r="P425" i="2" s="1"/>
  <c r="N425" i="2"/>
  <c r="O425" i="2"/>
  <c r="M426" i="2"/>
  <c r="P426" i="2" s="1"/>
  <c r="N426" i="2"/>
  <c r="O426" i="2"/>
  <c r="M427" i="2"/>
  <c r="P427" i="2" s="1"/>
  <c r="N427" i="2"/>
  <c r="O427" i="2"/>
  <c r="M428" i="2"/>
  <c r="P428" i="2" s="1"/>
  <c r="N428" i="2"/>
  <c r="O428" i="2"/>
  <c r="M429" i="2"/>
  <c r="P429" i="2" s="1"/>
  <c r="N429" i="2"/>
  <c r="O429" i="2"/>
  <c r="M430" i="2"/>
  <c r="P430" i="2" s="1"/>
  <c r="N430" i="2"/>
  <c r="O430" i="2"/>
  <c r="M431" i="2"/>
  <c r="P431" i="2" s="1"/>
  <c r="N431" i="2"/>
  <c r="O431" i="2"/>
  <c r="M432" i="2"/>
  <c r="P432" i="2" s="1"/>
  <c r="N432" i="2"/>
  <c r="O432" i="2"/>
  <c r="M433" i="2"/>
  <c r="P433" i="2" s="1"/>
  <c r="N433" i="2"/>
  <c r="O433" i="2"/>
  <c r="M434" i="2"/>
  <c r="P434" i="2" s="1"/>
  <c r="N434" i="2"/>
  <c r="O434" i="2"/>
  <c r="M435" i="2"/>
  <c r="P435" i="2" s="1"/>
  <c r="N435" i="2"/>
  <c r="O435" i="2"/>
  <c r="M436" i="2"/>
  <c r="P436" i="2" s="1"/>
  <c r="N436" i="2"/>
  <c r="O436" i="2"/>
  <c r="M437" i="2"/>
  <c r="P437" i="2" s="1"/>
  <c r="N437" i="2"/>
  <c r="O437" i="2"/>
  <c r="M438" i="2"/>
  <c r="P438" i="2" s="1"/>
  <c r="N438" i="2"/>
  <c r="O438" i="2"/>
  <c r="M439" i="2"/>
  <c r="P439" i="2" s="1"/>
  <c r="N439" i="2"/>
  <c r="O439" i="2"/>
  <c r="M440" i="2"/>
  <c r="P440" i="2" s="1"/>
  <c r="N440" i="2"/>
  <c r="O440" i="2"/>
  <c r="M441" i="2"/>
  <c r="P441" i="2" s="1"/>
  <c r="N441" i="2"/>
  <c r="O441" i="2"/>
  <c r="M442" i="2"/>
  <c r="P442" i="2" s="1"/>
  <c r="N442" i="2"/>
  <c r="O442" i="2"/>
  <c r="M443" i="2"/>
  <c r="P443" i="2" s="1"/>
  <c r="N443" i="2"/>
  <c r="O443" i="2"/>
  <c r="M444" i="2"/>
  <c r="P444" i="2" s="1"/>
  <c r="N444" i="2"/>
  <c r="O444" i="2"/>
  <c r="M445" i="2"/>
  <c r="P445" i="2" s="1"/>
  <c r="N445" i="2"/>
  <c r="O445" i="2"/>
  <c r="M446" i="2"/>
  <c r="P446" i="2" s="1"/>
  <c r="N446" i="2"/>
  <c r="O446" i="2"/>
  <c r="M447" i="2"/>
  <c r="P447" i="2" s="1"/>
  <c r="N447" i="2"/>
  <c r="O447" i="2"/>
  <c r="M448" i="2"/>
  <c r="P448" i="2" s="1"/>
  <c r="N448" i="2"/>
  <c r="O448" i="2"/>
  <c r="M449" i="2"/>
  <c r="P449" i="2" s="1"/>
  <c r="N449" i="2"/>
  <c r="O449" i="2"/>
  <c r="M450" i="2"/>
  <c r="P450" i="2" s="1"/>
  <c r="N450" i="2"/>
  <c r="O450" i="2"/>
  <c r="M451" i="2"/>
  <c r="P451" i="2" s="1"/>
  <c r="N451" i="2"/>
  <c r="O451" i="2"/>
  <c r="M452" i="2"/>
  <c r="P452" i="2" s="1"/>
  <c r="N452" i="2"/>
  <c r="O452" i="2"/>
  <c r="M453" i="2"/>
  <c r="P453" i="2" s="1"/>
  <c r="N453" i="2"/>
  <c r="O453" i="2"/>
  <c r="M454" i="2"/>
  <c r="P454" i="2" s="1"/>
  <c r="N454" i="2"/>
  <c r="O454" i="2"/>
  <c r="M455" i="2"/>
  <c r="P455" i="2" s="1"/>
  <c r="N455" i="2"/>
  <c r="O455" i="2"/>
  <c r="M456" i="2"/>
  <c r="P456" i="2" s="1"/>
  <c r="N456" i="2"/>
  <c r="O456" i="2"/>
  <c r="M457" i="2"/>
  <c r="P457" i="2" s="1"/>
  <c r="N457" i="2"/>
  <c r="O457" i="2"/>
  <c r="M458" i="2"/>
  <c r="P458" i="2" s="1"/>
  <c r="N458" i="2"/>
  <c r="O458" i="2"/>
  <c r="M459" i="2"/>
  <c r="P459" i="2" s="1"/>
  <c r="N459" i="2"/>
  <c r="O459" i="2"/>
  <c r="M460" i="2"/>
  <c r="P460" i="2" s="1"/>
  <c r="N460" i="2"/>
  <c r="O460" i="2"/>
  <c r="M461" i="2"/>
  <c r="P461" i="2" s="1"/>
  <c r="N461" i="2"/>
  <c r="O461" i="2"/>
  <c r="M462" i="2"/>
  <c r="P462" i="2" s="1"/>
  <c r="N462" i="2"/>
  <c r="O462" i="2"/>
  <c r="M463" i="2"/>
  <c r="P463" i="2" s="1"/>
  <c r="N463" i="2"/>
  <c r="O463" i="2"/>
  <c r="M464" i="2"/>
  <c r="P464" i="2" s="1"/>
  <c r="N464" i="2"/>
  <c r="O464" i="2"/>
  <c r="M465" i="2"/>
  <c r="P465" i="2" s="1"/>
  <c r="N465" i="2"/>
  <c r="O465" i="2"/>
  <c r="M466" i="2"/>
  <c r="P466" i="2" s="1"/>
  <c r="N466" i="2"/>
  <c r="O466" i="2"/>
  <c r="M467" i="2"/>
  <c r="P467" i="2" s="1"/>
  <c r="N467" i="2"/>
  <c r="O467" i="2"/>
  <c r="M468" i="2"/>
  <c r="P468" i="2" s="1"/>
  <c r="N468" i="2"/>
  <c r="O468" i="2"/>
  <c r="M469" i="2"/>
  <c r="P469" i="2" s="1"/>
  <c r="N469" i="2"/>
  <c r="O469" i="2"/>
  <c r="M470" i="2"/>
  <c r="P470" i="2" s="1"/>
  <c r="N470" i="2"/>
  <c r="O470" i="2"/>
  <c r="M471" i="2"/>
  <c r="P471" i="2" s="1"/>
  <c r="N471" i="2"/>
  <c r="O471" i="2"/>
  <c r="M472" i="2"/>
  <c r="P472" i="2" s="1"/>
  <c r="N472" i="2"/>
  <c r="O472" i="2"/>
  <c r="M473" i="2"/>
  <c r="P473" i="2" s="1"/>
  <c r="N473" i="2"/>
  <c r="O473" i="2"/>
  <c r="M474" i="2"/>
  <c r="P474" i="2" s="1"/>
  <c r="N474" i="2"/>
  <c r="O474" i="2"/>
  <c r="M475" i="2"/>
  <c r="P475" i="2" s="1"/>
  <c r="N475" i="2"/>
  <c r="O475" i="2"/>
  <c r="M476" i="2"/>
  <c r="P476" i="2" s="1"/>
  <c r="N476" i="2"/>
  <c r="O476" i="2"/>
  <c r="M477" i="2"/>
  <c r="P477" i="2" s="1"/>
  <c r="N477" i="2"/>
  <c r="O477" i="2"/>
  <c r="M478" i="2"/>
  <c r="P478" i="2" s="1"/>
  <c r="N478" i="2"/>
  <c r="O478" i="2"/>
  <c r="M479" i="2"/>
  <c r="P479" i="2" s="1"/>
  <c r="N479" i="2"/>
  <c r="O479" i="2"/>
  <c r="M480" i="2"/>
  <c r="P480" i="2" s="1"/>
  <c r="N480" i="2"/>
  <c r="O480" i="2"/>
  <c r="M481" i="2"/>
  <c r="P481" i="2" s="1"/>
  <c r="N481" i="2"/>
  <c r="O481" i="2"/>
  <c r="M482" i="2"/>
  <c r="P482" i="2" s="1"/>
  <c r="N482" i="2"/>
  <c r="O482" i="2"/>
  <c r="M483" i="2"/>
  <c r="P483" i="2" s="1"/>
  <c r="N483" i="2"/>
  <c r="O483" i="2"/>
  <c r="M484" i="2"/>
  <c r="P484" i="2" s="1"/>
  <c r="N484" i="2"/>
  <c r="O484" i="2"/>
  <c r="M485" i="2"/>
  <c r="P485" i="2" s="1"/>
  <c r="N485" i="2"/>
  <c r="O485" i="2"/>
  <c r="M486" i="2"/>
  <c r="P486" i="2" s="1"/>
  <c r="N486" i="2"/>
  <c r="O486" i="2"/>
  <c r="M487" i="2"/>
  <c r="P487" i="2" s="1"/>
  <c r="N487" i="2"/>
  <c r="O487" i="2"/>
  <c r="M488" i="2"/>
  <c r="P488" i="2" s="1"/>
  <c r="N488" i="2"/>
  <c r="O488" i="2"/>
  <c r="M489" i="2"/>
  <c r="P489" i="2" s="1"/>
  <c r="N489" i="2"/>
  <c r="O489" i="2"/>
  <c r="M490" i="2"/>
  <c r="P490" i="2" s="1"/>
  <c r="N490" i="2"/>
  <c r="O490" i="2"/>
  <c r="M491" i="2"/>
  <c r="P491" i="2" s="1"/>
  <c r="N491" i="2"/>
  <c r="O491" i="2"/>
  <c r="M492" i="2"/>
  <c r="P492" i="2" s="1"/>
  <c r="N492" i="2"/>
  <c r="O492" i="2"/>
  <c r="M493" i="2"/>
  <c r="P493" i="2" s="1"/>
  <c r="N493" i="2"/>
  <c r="O493" i="2"/>
  <c r="M494" i="2"/>
  <c r="P494" i="2" s="1"/>
  <c r="N494" i="2"/>
  <c r="O494" i="2"/>
  <c r="M495" i="2"/>
  <c r="P495" i="2" s="1"/>
  <c r="N495" i="2"/>
  <c r="O495" i="2"/>
  <c r="M496" i="2"/>
  <c r="P496" i="2" s="1"/>
  <c r="N496" i="2"/>
  <c r="O496" i="2"/>
  <c r="M497" i="2"/>
  <c r="P497" i="2" s="1"/>
  <c r="N497" i="2"/>
  <c r="O497" i="2"/>
  <c r="M498" i="2"/>
  <c r="P498" i="2" s="1"/>
  <c r="N498" i="2"/>
  <c r="O498" i="2"/>
  <c r="M499" i="2"/>
  <c r="P499" i="2" s="1"/>
  <c r="N499" i="2"/>
  <c r="O499" i="2"/>
  <c r="M500" i="2"/>
  <c r="P500" i="2" s="1"/>
  <c r="N500" i="2"/>
  <c r="O500" i="2"/>
  <c r="M501" i="2"/>
  <c r="P501" i="2" s="1"/>
  <c r="N501" i="2"/>
  <c r="O501" i="2"/>
  <c r="M502" i="2"/>
  <c r="P502" i="2" s="1"/>
  <c r="N502" i="2"/>
  <c r="O502" i="2"/>
  <c r="M503" i="2"/>
  <c r="P503" i="2" s="1"/>
  <c r="N503" i="2"/>
  <c r="O503" i="2"/>
  <c r="M504" i="2"/>
  <c r="P504" i="2" s="1"/>
  <c r="N504" i="2"/>
  <c r="O504" i="2"/>
  <c r="M505" i="2"/>
  <c r="P505" i="2" s="1"/>
  <c r="N505" i="2"/>
  <c r="O505" i="2"/>
  <c r="M506" i="2"/>
  <c r="P506" i="2" s="1"/>
  <c r="N506" i="2"/>
  <c r="O506" i="2"/>
  <c r="M507" i="2"/>
  <c r="P507" i="2" s="1"/>
  <c r="N507" i="2"/>
  <c r="O507" i="2"/>
  <c r="M508" i="2"/>
  <c r="P508" i="2" s="1"/>
  <c r="N508" i="2"/>
  <c r="O508" i="2"/>
  <c r="M509" i="2"/>
  <c r="P509" i="2" s="1"/>
  <c r="N509" i="2"/>
  <c r="O509" i="2"/>
  <c r="M510" i="2"/>
  <c r="P510" i="2" s="1"/>
  <c r="N510" i="2"/>
  <c r="O510" i="2"/>
  <c r="M511" i="2"/>
  <c r="P511" i="2" s="1"/>
  <c r="N511" i="2"/>
  <c r="O511" i="2"/>
  <c r="M512" i="2"/>
  <c r="P512" i="2" s="1"/>
  <c r="N512" i="2"/>
  <c r="O512" i="2"/>
  <c r="M513" i="2"/>
  <c r="P513" i="2" s="1"/>
  <c r="N513" i="2"/>
  <c r="O513" i="2"/>
  <c r="M514" i="2"/>
  <c r="P514" i="2" s="1"/>
  <c r="N514" i="2"/>
  <c r="O514" i="2"/>
  <c r="M515" i="2"/>
  <c r="P515" i="2" s="1"/>
  <c r="N515" i="2"/>
  <c r="O515" i="2"/>
  <c r="M516" i="2"/>
  <c r="P516" i="2" s="1"/>
  <c r="N516" i="2"/>
  <c r="O516" i="2"/>
  <c r="M517" i="2"/>
  <c r="P517" i="2" s="1"/>
  <c r="N517" i="2"/>
  <c r="O517" i="2"/>
  <c r="M518" i="2"/>
  <c r="P518" i="2" s="1"/>
  <c r="N518" i="2"/>
  <c r="O518" i="2"/>
  <c r="M519" i="2"/>
  <c r="P519" i="2" s="1"/>
  <c r="N519" i="2"/>
  <c r="O519" i="2"/>
  <c r="M520" i="2"/>
  <c r="P520" i="2" s="1"/>
  <c r="N520" i="2"/>
  <c r="O520" i="2"/>
  <c r="M521" i="2"/>
  <c r="P521" i="2" s="1"/>
  <c r="N521" i="2"/>
  <c r="O521" i="2"/>
  <c r="M522" i="2"/>
  <c r="P522" i="2" s="1"/>
  <c r="N522" i="2"/>
  <c r="O522" i="2"/>
  <c r="M523" i="2"/>
  <c r="P523" i="2" s="1"/>
  <c r="N523" i="2"/>
  <c r="O523" i="2"/>
  <c r="M524" i="2"/>
  <c r="P524" i="2" s="1"/>
  <c r="N524" i="2"/>
  <c r="O524" i="2"/>
  <c r="M525" i="2"/>
  <c r="P525" i="2" s="1"/>
  <c r="N525" i="2"/>
  <c r="O525" i="2"/>
  <c r="M526" i="2"/>
  <c r="P526" i="2" s="1"/>
  <c r="N526" i="2"/>
  <c r="O526" i="2"/>
  <c r="M527" i="2"/>
  <c r="P527" i="2" s="1"/>
  <c r="N527" i="2"/>
  <c r="O527" i="2"/>
  <c r="M528" i="2"/>
  <c r="P528" i="2" s="1"/>
  <c r="N528" i="2"/>
  <c r="O528" i="2"/>
  <c r="M529" i="2"/>
  <c r="P529" i="2" s="1"/>
  <c r="N529" i="2"/>
  <c r="O529" i="2"/>
  <c r="M530" i="2"/>
  <c r="P530" i="2" s="1"/>
  <c r="N530" i="2"/>
  <c r="O530" i="2"/>
  <c r="M531" i="2"/>
  <c r="P531" i="2" s="1"/>
  <c r="N531" i="2"/>
  <c r="O531" i="2"/>
  <c r="M532" i="2"/>
  <c r="P532" i="2" s="1"/>
  <c r="N532" i="2"/>
  <c r="O532" i="2"/>
  <c r="M533" i="2"/>
  <c r="P533" i="2" s="1"/>
  <c r="N533" i="2"/>
  <c r="O533" i="2"/>
  <c r="M534" i="2"/>
  <c r="P534" i="2" s="1"/>
  <c r="N534" i="2"/>
  <c r="O534" i="2"/>
  <c r="M535" i="2"/>
  <c r="P535" i="2" s="1"/>
  <c r="N535" i="2"/>
  <c r="O535" i="2"/>
  <c r="M536" i="2"/>
  <c r="P536" i="2" s="1"/>
  <c r="N536" i="2"/>
  <c r="O536" i="2"/>
  <c r="M537" i="2"/>
  <c r="P537" i="2" s="1"/>
  <c r="N537" i="2"/>
  <c r="O537" i="2"/>
  <c r="M538" i="2"/>
  <c r="P538" i="2" s="1"/>
  <c r="N538" i="2"/>
  <c r="O538" i="2"/>
  <c r="M539" i="2"/>
  <c r="P539" i="2" s="1"/>
  <c r="N539" i="2"/>
  <c r="O539" i="2"/>
  <c r="M540" i="2"/>
  <c r="P540" i="2" s="1"/>
  <c r="N540" i="2"/>
  <c r="O540" i="2"/>
  <c r="M541" i="2"/>
  <c r="P541" i="2" s="1"/>
  <c r="N541" i="2"/>
  <c r="O541" i="2"/>
  <c r="M542" i="2"/>
  <c r="P542" i="2" s="1"/>
  <c r="N542" i="2"/>
  <c r="O542" i="2"/>
  <c r="M543" i="2"/>
  <c r="P543" i="2" s="1"/>
  <c r="N543" i="2"/>
  <c r="O543" i="2"/>
  <c r="M544" i="2"/>
  <c r="P544" i="2" s="1"/>
  <c r="N544" i="2"/>
  <c r="O544" i="2"/>
  <c r="M545" i="2"/>
  <c r="P545" i="2" s="1"/>
  <c r="N545" i="2"/>
  <c r="O545" i="2"/>
  <c r="M546" i="2"/>
  <c r="P546" i="2" s="1"/>
  <c r="N546" i="2"/>
  <c r="O546" i="2"/>
  <c r="M547" i="2"/>
  <c r="P547" i="2" s="1"/>
  <c r="N547" i="2"/>
  <c r="O547" i="2"/>
  <c r="M548" i="2"/>
  <c r="P548" i="2" s="1"/>
  <c r="N548" i="2"/>
  <c r="O548" i="2"/>
  <c r="M549" i="2"/>
  <c r="P549" i="2" s="1"/>
  <c r="N549" i="2"/>
  <c r="O549" i="2"/>
  <c r="M550" i="2"/>
  <c r="P550" i="2" s="1"/>
  <c r="N550" i="2"/>
  <c r="O550" i="2"/>
  <c r="M551" i="2"/>
  <c r="P551" i="2" s="1"/>
  <c r="N551" i="2"/>
  <c r="O551" i="2"/>
  <c r="M552" i="2"/>
  <c r="P552" i="2" s="1"/>
  <c r="N552" i="2"/>
  <c r="O552" i="2"/>
  <c r="M553" i="2"/>
  <c r="P553" i="2" s="1"/>
  <c r="N553" i="2"/>
  <c r="O553" i="2"/>
  <c r="M554" i="2"/>
  <c r="P554" i="2" s="1"/>
  <c r="N554" i="2"/>
  <c r="O554" i="2"/>
  <c r="M555" i="2"/>
  <c r="P555" i="2" s="1"/>
  <c r="N555" i="2"/>
  <c r="O555" i="2"/>
  <c r="M556" i="2"/>
  <c r="P556" i="2" s="1"/>
  <c r="N556" i="2"/>
  <c r="O556" i="2"/>
  <c r="M557" i="2"/>
  <c r="P557" i="2" s="1"/>
  <c r="N557" i="2"/>
  <c r="O557" i="2"/>
  <c r="M558" i="2"/>
  <c r="P558" i="2" s="1"/>
  <c r="N558" i="2"/>
  <c r="O558" i="2"/>
  <c r="M559" i="2"/>
  <c r="P559" i="2" s="1"/>
  <c r="N559" i="2"/>
  <c r="O559" i="2"/>
  <c r="M560" i="2"/>
  <c r="P560" i="2" s="1"/>
  <c r="N560" i="2"/>
  <c r="O560" i="2"/>
  <c r="M561" i="2"/>
  <c r="P561" i="2" s="1"/>
  <c r="N561" i="2"/>
  <c r="O561" i="2"/>
  <c r="M562" i="2"/>
  <c r="P562" i="2" s="1"/>
  <c r="N562" i="2"/>
  <c r="O562" i="2"/>
  <c r="M563" i="2"/>
  <c r="P563" i="2" s="1"/>
  <c r="N563" i="2"/>
  <c r="O563" i="2"/>
  <c r="M564" i="2"/>
  <c r="P564" i="2" s="1"/>
  <c r="N564" i="2"/>
  <c r="O564" i="2"/>
  <c r="M565" i="2"/>
  <c r="P565" i="2" s="1"/>
  <c r="N565" i="2"/>
  <c r="O565" i="2"/>
  <c r="M566" i="2"/>
  <c r="P566" i="2" s="1"/>
  <c r="N566" i="2"/>
  <c r="O566" i="2"/>
  <c r="M567" i="2"/>
  <c r="P567" i="2" s="1"/>
  <c r="N567" i="2"/>
  <c r="O567" i="2"/>
  <c r="M568" i="2"/>
  <c r="P568" i="2" s="1"/>
  <c r="N568" i="2"/>
  <c r="O568" i="2"/>
  <c r="M569" i="2"/>
  <c r="P569" i="2" s="1"/>
  <c r="N569" i="2"/>
  <c r="O569" i="2"/>
  <c r="M570" i="2"/>
  <c r="P570" i="2" s="1"/>
  <c r="N570" i="2"/>
  <c r="O570" i="2"/>
  <c r="M571" i="2"/>
  <c r="P571" i="2" s="1"/>
  <c r="N571" i="2"/>
  <c r="O571" i="2"/>
  <c r="M572" i="2"/>
  <c r="P572" i="2" s="1"/>
  <c r="N572" i="2"/>
  <c r="O572" i="2"/>
  <c r="M573" i="2"/>
  <c r="P573" i="2" s="1"/>
  <c r="N573" i="2"/>
  <c r="O573" i="2"/>
  <c r="M574" i="2"/>
  <c r="P574" i="2" s="1"/>
  <c r="N574" i="2"/>
  <c r="O574" i="2"/>
  <c r="M575" i="2"/>
  <c r="P575" i="2" s="1"/>
  <c r="N575" i="2"/>
  <c r="O575" i="2"/>
  <c r="M576" i="2"/>
  <c r="P576" i="2" s="1"/>
  <c r="N576" i="2"/>
  <c r="O576" i="2"/>
  <c r="M577" i="2"/>
  <c r="P577" i="2" s="1"/>
  <c r="N577" i="2"/>
  <c r="O577" i="2"/>
  <c r="M578" i="2"/>
  <c r="P578" i="2" s="1"/>
  <c r="N578" i="2"/>
  <c r="O578" i="2"/>
  <c r="M579" i="2"/>
  <c r="P579" i="2" s="1"/>
  <c r="N579" i="2"/>
  <c r="O579" i="2"/>
  <c r="M580" i="2"/>
  <c r="P580" i="2" s="1"/>
  <c r="N580" i="2"/>
  <c r="O580" i="2"/>
  <c r="M581" i="2"/>
  <c r="P581" i="2" s="1"/>
  <c r="N581" i="2"/>
  <c r="O581" i="2"/>
  <c r="M582" i="2"/>
  <c r="P582" i="2" s="1"/>
  <c r="N582" i="2"/>
  <c r="O582" i="2"/>
  <c r="M583" i="2"/>
  <c r="P583" i="2" s="1"/>
  <c r="N583" i="2"/>
  <c r="O583" i="2"/>
  <c r="M584" i="2"/>
  <c r="P584" i="2" s="1"/>
  <c r="N584" i="2"/>
  <c r="O584" i="2"/>
  <c r="M585" i="2"/>
  <c r="P585" i="2" s="1"/>
  <c r="N585" i="2"/>
  <c r="O585" i="2"/>
  <c r="M586" i="2"/>
  <c r="P586" i="2" s="1"/>
  <c r="N586" i="2"/>
  <c r="O586" i="2"/>
  <c r="M587" i="2"/>
  <c r="P587" i="2" s="1"/>
  <c r="N587" i="2"/>
  <c r="O587" i="2"/>
  <c r="M588" i="2"/>
  <c r="P588" i="2" s="1"/>
  <c r="N588" i="2"/>
  <c r="O588" i="2"/>
  <c r="M589" i="2"/>
  <c r="P589" i="2" s="1"/>
  <c r="N589" i="2"/>
  <c r="O589" i="2"/>
  <c r="M590" i="2"/>
  <c r="P590" i="2" s="1"/>
  <c r="N590" i="2"/>
  <c r="O590" i="2"/>
  <c r="M591" i="2"/>
  <c r="P591" i="2" s="1"/>
  <c r="N591" i="2"/>
  <c r="O591" i="2"/>
  <c r="M592" i="2"/>
  <c r="P592" i="2" s="1"/>
  <c r="N592" i="2"/>
  <c r="O592" i="2"/>
  <c r="M593" i="2"/>
  <c r="P593" i="2" s="1"/>
  <c r="N593" i="2"/>
  <c r="O593" i="2"/>
  <c r="M594" i="2"/>
  <c r="P594" i="2" s="1"/>
  <c r="N594" i="2"/>
  <c r="O594" i="2"/>
  <c r="M595" i="2"/>
  <c r="P595" i="2" s="1"/>
  <c r="N595" i="2"/>
  <c r="O595" i="2"/>
  <c r="M596" i="2"/>
  <c r="P596" i="2" s="1"/>
  <c r="N596" i="2"/>
  <c r="O596" i="2"/>
  <c r="M597" i="2"/>
  <c r="P597" i="2" s="1"/>
  <c r="N597" i="2"/>
  <c r="O597" i="2"/>
  <c r="M598" i="2"/>
  <c r="P598" i="2" s="1"/>
  <c r="N598" i="2"/>
  <c r="O598" i="2"/>
  <c r="M599" i="2"/>
  <c r="P599" i="2" s="1"/>
  <c r="N599" i="2"/>
  <c r="O599" i="2"/>
  <c r="M600" i="2"/>
  <c r="P600" i="2" s="1"/>
  <c r="N600" i="2"/>
  <c r="O600" i="2"/>
  <c r="M601" i="2"/>
  <c r="P601" i="2" s="1"/>
  <c r="N601" i="2"/>
  <c r="O601" i="2"/>
  <c r="M602" i="2"/>
  <c r="P602" i="2" s="1"/>
  <c r="N602" i="2"/>
  <c r="O602" i="2"/>
  <c r="M603" i="2"/>
  <c r="P603" i="2" s="1"/>
  <c r="N603" i="2"/>
  <c r="O603" i="2"/>
  <c r="M604" i="2"/>
  <c r="P604" i="2" s="1"/>
  <c r="N604" i="2"/>
  <c r="O604" i="2"/>
  <c r="M605" i="2"/>
  <c r="P605" i="2" s="1"/>
  <c r="N605" i="2"/>
  <c r="O605" i="2"/>
  <c r="M606" i="2"/>
  <c r="P606" i="2" s="1"/>
  <c r="N606" i="2"/>
  <c r="O606" i="2"/>
  <c r="M607" i="2"/>
  <c r="P607" i="2" s="1"/>
  <c r="N607" i="2"/>
  <c r="O607" i="2"/>
  <c r="M608" i="2"/>
  <c r="P608" i="2" s="1"/>
  <c r="N608" i="2"/>
  <c r="O608" i="2"/>
  <c r="M609" i="2"/>
  <c r="P609" i="2" s="1"/>
  <c r="N609" i="2"/>
  <c r="O609" i="2"/>
  <c r="M610" i="2"/>
  <c r="P610" i="2" s="1"/>
  <c r="N610" i="2"/>
  <c r="O610" i="2"/>
  <c r="M611" i="2"/>
  <c r="P611" i="2" s="1"/>
  <c r="N611" i="2"/>
  <c r="O611" i="2"/>
  <c r="M612" i="2"/>
  <c r="P612" i="2" s="1"/>
  <c r="N612" i="2"/>
  <c r="O612" i="2"/>
  <c r="M613" i="2"/>
  <c r="P613" i="2" s="1"/>
  <c r="N613" i="2"/>
  <c r="O613" i="2"/>
  <c r="M614" i="2"/>
  <c r="P614" i="2" s="1"/>
  <c r="N614" i="2"/>
  <c r="O614" i="2"/>
  <c r="M615" i="2"/>
  <c r="P615" i="2" s="1"/>
  <c r="N615" i="2"/>
  <c r="O615" i="2"/>
  <c r="M616" i="2"/>
  <c r="P616" i="2" s="1"/>
  <c r="N616" i="2"/>
  <c r="O616" i="2"/>
  <c r="M617" i="2"/>
  <c r="P617" i="2" s="1"/>
  <c r="N617" i="2"/>
  <c r="O617" i="2"/>
  <c r="M618" i="2"/>
  <c r="P618" i="2" s="1"/>
  <c r="N618" i="2"/>
  <c r="O618" i="2"/>
  <c r="M619" i="2"/>
  <c r="P619" i="2" s="1"/>
  <c r="N619" i="2"/>
  <c r="O619" i="2"/>
  <c r="M620" i="2"/>
  <c r="P620" i="2" s="1"/>
  <c r="N620" i="2"/>
  <c r="O620" i="2"/>
  <c r="M621" i="2"/>
  <c r="P621" i="2" s="1"/>
  <c r="N621" i="2"/>
  <c r="O621" i="2"/>
  <c r="M622" i="2"/>
  <c r="P622" i="2" s="1"/>
  <c r="N622" i="2"/>
  <c r="O622" i="2"/>
  <c r="M623" i="2"/>
  <c r="P623" i="2" s="1"/>
  <c r="N623" i="2"/>
  <c r="O623" i="2"/>
  <c r="M624" i="2"/>
  <c r="P624" i="2" s="1"/>
  <c r="N624" i="2"/>
  <c r="O624" i="2"/>
  <c r="M625" i="2"/>
  <c r="P625" i="2" s="1"/>
  <c r="N625" i="2"/>
  <c r="O625" i="2"/>
  <c r="M626" i="2"/>
  <c r="P626" i="2" s="1"/>
  <c r="N626" i="2"/>
  <c r="O626" i="2"/>
  <c r="M627" i="2"/>
  <c r="P627" i="2" s="1"/>
  <c r="N627" i="2"/>
  <c r="O627" i="2"/>
  <c r="M628" i="2"/>
  <c r="P628" i="2" s="1"/>
  <c r="N628" i="2"/>
  <c r="O628" i="2"/>
  <c r="M629" i="2"/>
  <c r="P629" i="2" s="1"/>
  <c r="N629" i="2"/>
  <c r="O629" i="2"/>
  <c r="M630" i="2"/>
  <c r="P630" i="2" s="1"/>
  <c r="N630" i="2"/>
  <c r="O630" i="2"/>
  <c r="M631" i="2"/>
  <c r="P631" i="2" s="1"/>
  <c r="N631" i="2"/>
  <c r="O631" i="2"/>
  <c r="M632" i="2"/>
  <c r="P632" i="2" s="1"/>
  <c r="N632" i="2"/>
  <c r="O632" i="2"/>
  <c r="M633" i="2"/>
  <c r="P633" i="2" s="1"/>
  <c r="N633" i="2"/>
  <c r="O633" i="2"/>
  <c r="M634" i="2"/>
  <c r="P634" i="2" s="1"/>
  <c r="N634" i="2"/>
  <c r="O634" i="2"/>
  <c r="M635" i="2"/>
  <c r="P635" i="2" s="1"/>
  <c r="N635" i="2"/>
  <c r="O635" i="2"/>
  <c r="M636" i="2"/>
  <c r="P636" i="2" s="1"/>
  <c r="N636" i="2"/>
  <c r="O636" i="2"/>
  <c r="M637" i="2"/>
  <c r="P637" i="2" s="1"/>
  <c r="N637" i="2"/>
  <c r="O637" i="2"/>
  <c r="M638" i="2"/>
  <c r="P638" i="2" s="1"/>
  <c r="N638" i="2"/>
  <c r="O638" i="2"/>
  <c r="M639" i="2"/>
  <c r="P639" i="2" s="1"/>
  <c r="N639" i="2"/>
  <c r="O639" i="2"/>
  <c r="M640" i="2"/>
  <c r="P640" i="2" s="1"/>
  <c r="N640" i="2"/>
  <c r="O640" i="2"/>
  <c r="M641" i="2"/>
  <c r="P641" i="2" s="1"/>
  <c r="N641" i="2"/>
  <c r="O641" i="2"/>
  <c r="M642" i="2"/>
  <c r="P642" i="2" s="1"/>
  <c r="N642" i="2"/>
  <c r="O642" i="2"/>
  <c r="M643" i="2"/>
  <c r="P643" i="2" s="1"/>
  <c r="N643" i="2"/>
  <c r="O643" i="2"/>
  <c r="M644" i="2"/>
  <c r="P644" i="2" s="1"/>
  <c r="N644" i="2"/>
  <c r="O644" i="2"/>
  <c r="M645" i="2"/>
  <c r="P645" i="2" s="1"/>
  <c r="N645" i="2"/>
  <c r="O645" i="2"/>
  <c r="M646" i="2"/>
  <c r="P646" i="2" s="1"/>
  <c r="N646" i="2"/>
  <c r="O646" i="2"/>
  <c r="M647" i="2"/>
  <c r="P647" i="2" s="1"/>
  <c r="N647" i="2"/>
  <c r="O647" i="2"/>
  <c r="M648" i="2"/>
  <c r="P648" i="2" s="1"/>
  <c r="N648" i="2"/>
  <c r="O648" i="2"/>
  <c r="M649" i="2"/>
  <c r="P649" i="2" s="1"/>
  <c r="N649" i="2"/>
  <c r="O649" i="2"/>
  <c r="M650" i="2"/>
  <c r="P650" i="2" s="1"/>
  <c r="N650" i="2"/>
  <c r="O650" i="2"/>
  <c r="M651" i="2"/>
  <c r="P651" i="2" s="1"/>
  <c r="N651" i="2"/>
  <c r="O651" i="2"/>
  <c r="M652" i="2"/>
  <c r="P652" i="2" s="1"/>
  <c r="N652" i="2"/>
  <c r="O652" i="2"/>
  <c r="M653" i="2"/>
  <c r="P653" i="2" s="1"/>
  <c r="N653" i="2"/>
  <c r="O653" i="2"/>
  <c r="M654" i="2"/>
  <c r="P654" i="2" s="1"/>
  <c r="N654" i="2"/>
  <c r="O654" i="2"/>
  <c r="M655" i="2"/>
  <c r="P655" i="2" s="1"/>
  <c r="N655" i="2"/>
  <c r="O655" i="2"/>
  <c r="M656" i="2"/>
  <c r="P656" i="2" s="1"/>
  <c r="N656" i="2"/>
  <c r="O656" i="2"/>
  <c r="M657" i="2"/>
  <c r="P657" i="2" s="1"/>
  <c r="N657" i="2"/>
  <c r="O657" i="2"/>
  <c r="M658" i="2"/>
  <c r="P658" i="2" s="1"/>
  <c r="N658" i="2"/>
  <c r="O658" i="2"/>
  <c r="M659" i="2"/>
  <c r="P659" i="2" s="1"/>
  <c r="N659" i="2"/>
  <c r="O659" i="2"/>
  <c r="M660" i="2"/>
  <c r="P660" i="2" s="1"/>
  <c r="N660" i="2"/>
  <c r="O660" i="2"/>
  <c r="M661" i="2"/>
  <c r="P661" i="2" s="1"/>
  <c r="N661" i="2"/>
  <c r="O661" i="2"/>
  <c r="M662" i="2"/>
  <c r="P662" i="2" s="1"/>
  <c r="N662" i="2"/>
  <c r="O662" i="2"/>
  <c r="M663" i="2"/>
  <c r="P663" i="2" s="1"/>
  <c r="N663" i="2"/>
  <c r="O663" i="2"/>
  <c r="M664" i="2"/>
  <c r="P664" i="2" s="1"/>
  <c r="N664" i="2"/>
  <c r="O664" i="2"/>
  <c r="M665" i="2"/>
  <c r="P665" i="2" s="1"/>
  <c r="N665" i="2"/>
  <c r="O665" i="2"/>
  <c r="M666" i="2"/>
  <c r="P666" i="2" s="1"/>
  <c r="N666" i="2"/>
  <c r="O666" i="2"/>
  <c r="M667" i="2"/>
  <c r="P667" i="2" s="1"/>
  <c r="N667" i="2"/>
  <c r="O667" i="2"/>
  <c r="M668" i="2"/>
  <c r="P668" i="2" s="1"/>
  <c r="N668" i="2"/>
  <c r="O668" i="2"/>
  <c r="M669" i="2"/>
  <c r="P669" i="2" s="1"/>
  <c r="N669" i="2"/>
  <c r="O669" i="2"/>
  <c r="M670" i="2"/>
  <c r="P670" i="2" s="1"/>
  <c r="N670" i="2"/>
  <c r="O670" i="2"/>
  <c r="M671" i="2"/>
  <c r="P671" i="2" s="1"/>
  <c r="N671" i="2"/>
  <c r="O671" i="2"/>
  <c r="M672" i="2"/>
  <c r="P672" i="2" s="1"/>
  <c r="N672" i="2"/>
  <c r="O672" i="2"/>
  <c r="M673" i="2"/>
  <c r="P673" i="2" s="1"/>
  <c r="N673" i="2"/>
  <c r="O673" i="2"/>
  <c r="M674" i="2"/>
  <c r="P674" i="2" s="1"/>
  <c r="N674" i="2"/>
  <c r="O674" i="2"/>
  <c r="M675" i="2"/>
  <c r="P675" i="2" s="1"/>
  <c r="N675" i="2"/>
  <c r="O675" i="2"/>
  <c r="M676" i="2"/>
  <c r="P676" i="2" s="1"/>
  <c r="N676" i="2"/>
  <c r="O676" i="2"/>
  <c r="M677" i="2"/>
  <c r="P677" i="2" s="1"/>
  <c r="N677" i="2"/>
  <c r="O677" i="2"/>
  <c r="M678" i="2"/>
  <c r="P678" i="2" s="1"/>
  <c r="N678" i="2"/>
  <c r="O678" i="2"/>
  <c r="M679" i="2"/>
  <c r="P679" i="2" s="1"/>
  <c r="N679" i="2"/>
  <c r="O679" i="2"/>
  <c r="M680" i="2"/>
  <c r="P680" i="2" s="1"/>
  <c r="N680" i="2"/>
  <c r="O680" i="2"/>
  <c r="M681" i="2"/>
  <c r="P681" i="2" s="1"/>
  <c r="N681" i="2"/>
  <c r="O681" i="2"/>
  <c r="M682" i="2"/>
  <c r="P682" i="2" s="1"/>
  <c r="N682" i="2"/>
  <c r="O682" i="2"/>
  <c r="M683" i="2"/>
  <c r="P683" i="2" s="1"/>
  <c r="N683" i="2"/>
  <c r="O683" i="2"/>
  <c r="M684" i="2"/>
  <c r="P684" i="2" s="1"/>
  <c r="N684" i="2"/>
  <c r="O684" i="2"/>
  <c r="M685" i="2"/>
  <c r="P685" i="2" s="1"/>
  <c r="N685" i="2"/>
  <c r="O685" i="2"/>
  <c r="M686" i="2"/>
  <c r="P686" i="2" s="1"/>
  <c r="N686" i="2"/>
  <c r="O686" i="2"/>
  <c r="M687" i="2"/>
  <c r="P687" i="2" s="1"/>
  <c r="N687" i="2"/>
  <c r="O687" i="2"/>
  <c r="M688" i="2"/>
  <c r="P688" i="2" s="1"/>
  <c r="N688" i="2"/>
  <c r="O688" i="2"/>
  <c r="M689" i="2"/>
  <c r="P689" i="2" s="1"/>
  <c r="N689" i="2"/>
  <c r="O689" i="2"/>
  <c r="M690" i="2"/>
  <c r="P690" i="2" s="1"/>
  <c r="N690" i="2"/>
  <c r="O690" i="2"/>
  <c r="M691" i="2"/>
  <c r="P691" i="2" s="1"/>
  <c r="N691" i="2"/>
  <c r="O691" i="2"/>
  <c r="M692" i="2"/>
  <c r="P692" i="2" s="1"/>
  <c r="N692" i="2"/>
  <c r="O692" i="2"/>
  <c r="M693" i="2"/>
  <c r="P693" i="2" s="1"/>
  <c r="N693" i="2"/>
  <c r="O693" i="2"/>
  <c r="M694" i="2"/>
  <c r="P694" i="2" s="1"/>
  <c r="N694" i="2"/>
  <c r="O694" i="2"/>
  <c r="M695" i="2"/>
  <c r="P695" i="2" s="1"/>
  <c r="N695" i="2"/>
  <c r="O695" i="2"/>
  <c r="M696" i="2"/>
  <c r="P696" i="2" s="1"/>
  <c r="N696" i="2"/>
  <c r="O696" i="2"/>
  <c r="M697" i="2"/>
  <c r="P697" i="2" s="1"/>
  <c r="N697" i="2"/>
  <c r="O697" i="2"/>
  <c r="M698" i="2"/>
  <c r="P698" i="2" s="1"/>
  <c r="N698" i="2"/>
  <c r="O698" i="2"/>
  <c r="M699" i="2"/>
  <c r="P699" i="2" s="1"/>
  <c r="N699" i="2"/>
  <c r="O699" i="2"/>
  <c r="M700" i="2"/>
  <c r="P700" i="2" s="1"/>
  <c r="N700" i="2"/>
  <c r="O700" i="2"/>
  <c r="M701" i="2"/>
  <c r="P701" i="2" s="1"/>
  <c r="N701" i="2"/>
  <c r="O701" i="2"/>
  <c r="M702" i="2"/>
  <c r="P702" i="2" s="1"/>
  <c r="N702" i="2"/>
  <c r="O702" i="2"/>
  <c r="M703" i="2"/>
  <c r="P703" i="2" s="1"/>
  <c r="N703" i="2"/>
  <c r="O703" i="2"/>
  <c r="M704" i="2"/>
  <c r="P704" i="2" s="1"/>
  <c r="N704" i="2"/>
  <c r="O704" i="2"/>
  <c r="M705" i="2"/>
  <c r="P705" i="2" s="1"/>
  <c r="N705" i="2"/>
  <c r="O705" i="2"/>
  <c r="M706" i="2"/>
  <c r="P706" i="2" s="1"/>
  <c r="N706" i="2"/>
  <c r="O706" i="2"/>
  <c r="M707" i="2"/>
  <c r="P707" i="2" s="1"/>
  <c r="N707" i="2"/>
  <c r="O707" i="2"/>
  <c r="M708" i="2"/>
  <c r="P708" i="2" s="1"/>
  <c r="N708" i="2"/>
  <c r="O708" i="2"/>
  <c r="M709" i="2"/>
  <c r="P709" i="2" s="1"/>
  <c r="N709" i="2"/>
  <c r="O709" i="2"/>
  <c r="M710" i="2"/>
  <c r="P710" i="2" s="1"/>
  <c r="N710" i="2"/>
  <c r="O710" i="2"/>
  <c r="M711" i="2"/>
  <c r="P711" i="2" s="1"/>
  <c r="N711" i="2"/>
  <c r="O711" i="2"/>
  <c r="M712" i="2"/>
  <c r="P712" i="2" s="1"/>
  <c r="N712" i="2"/>
  <c r="O712" i="2"/>
  <c r="M713" i="2"/>
  <c r="P713" i="2" s="1"/>
  <c r="N713" i="2"/>
  <c r="O713" i="2"/>
  <c r="M714" i="2"/>
  <c r="P714" i="2" s="1"/>
  <c r="N714" i="2"/>
  <c r="O714" i="2"/>
  <c r="M715" i="2"/>
  <c r="P715" i="2" s="1"/>
  <c r="N715" i="2"/>
  <c r="O715" i="2"/>
  <c r="M716" i="2"/>
  <c r="P716" i="2" s="1"/>
  <c r="N716" i="2"/>
  <c r="O716" i="2"/>
  <c r="M717" i="2"/>
  <c r="P717" i="2" s="1"/>
  <c r="N717" i="2"/>
  <c r="O717" i="2"/>
  <c r="M718" i="2"/>
  <c r="P718" i="2" s="1"/>
  <c r="N718" i="2"/>
  <c r="O718" i="2"/>
  <c r="M719" i="2"/>
  <c r="P719" i="2" s="1"/>
  <c r="N719" i="2"/>
  <c r="O719" i="2"/>
  <c r="M720" i="2"/>
  <c r="P720" i="2" s="1"/>
  <c r="N720" i="2"/>
  <c r="O720" i="2"/>
  <c r="M721" i="2"/>
  <c r="P721" i="2" s="1"/>
  <c r="N721" i="2"/>
  <c r="O721" i="2"/>
  <c r="M722" i="2"/>
  <c r="P722" i="2" s="1"/>
  <c r="N722" i="2"/>
  <c r="O722" i="2"/>
  <c r="M723" i="2"/>
  <c r="P723" i="2" s="1"/>
  <c r="N723" i="2"/>
  <c r="O723" i="2"/>
  <c r="M724" i="2"/>
  <c r="P724" i="2" s="1"/>
  <c r="N724" i="2"/>
  <c r="O724" i="2"/>
  <c r="M725" i="2"/>
  <c r="P725" i="2" s="1"/>
  <c r="N725" i="2"/>
  <c r="O725" i="2"/>
  <c r="M726" i="2"/>
  <c r="P726" i="2" s="1"/>
  <c r="N726" i="2"/>
  <c r="O726" i="2"/>
  <c r="M727" i="2"/>
  <c r="P727" i="2" s="1"/>
  <c r="N727" i="2"/>
  <c r="O727" i="2"/>
  <c r="M728" i="2"/>
  <c r="P728" i="2" s="1"/>
  <c r="N728" i="2"/>
  <c r="O728" i="2"/>
  <c r="M729" i="2"/>
  <c r="P729" i="2" s="1"/>
  <c r="N729" i="2"/>
  <c r="O729" i="2"/>
  <c r="M730" i="2"/>
  <c r="P730" i="2" s="1"/>
  <c r="N730" i="2"/>
  <c r="O730" i="2"/>
  <c r="M731" i="2"/>
  <c r="P731" i="2" s="1"/>
  <c r="N731" i="2"/>
  <c r="O731" i="2"/>
  <c r="M732" i="2"/>
  <c r="P732" i="2" s="1"/>
  <c r="N732" i="2"/>
  <c r="O732" i="2"/>
  <c r="M733" i="2"/>
  <c r="P733" i="2" s="1"/>
  <c r="N733" i="2"/>
  <c r="O733" i="2"/>
  <c r="M734" i="2"/>
  <c r="P734" i="2" s="1"/>
  <c r="N734" i="2"/>
  <c r="O734" i="2"/>
  <c r="M735" i="2"/>
  <c r="P735" i="2" s="1"/>
  <c r="N735" i="2"/>
  <c r="O735" i="2"/>
  <c r="M736" i="2"/>
  <c r="P736" i="2" s="1"/>
  <c r="N736" i="2"/>
  <c r="O736" i="2"/>
  <c r="M737" i="2"/>
  <c r="P737" i="2" s="1"/>
  <c r="N737" i="2"/>
  <c r="O737" i="2"/>
  <c r="M738" i="2"/>
  <c r="P738" i="2" s="1"/>
  <c r="N738" i="2"/>
  <c r="O738" i="2"/>
  <c r="M739" i="2"/>
  <c r="P739" i="2" s="1"/>
  <c r="N739" i="2"/>
  <c r="O739" i="2"/>
  <c r="M740" i="2"/>
  <c r="P740" i="2" s="1"/>
  <c r="N740" i="2"/>
  <c r="O740" i="2"/>
  <c r="M741" i="2"/>
  <c r="P741" i="2" s="1"/>
  <c r="N741" i="2"/>
  <c r="O741" i="2"/>
  <c r="M742" i="2"/>
  <c r="P742" i="2" s="1"/>
  <c r="N742" i="2"/>
  <c r="O742" i="2"/>
  <c r="M743" i="2"/>
  <c r="P743" i="2" s="1"/>
  <c r="N743" i="2"/>
  <c r="O743" i="2"/>
  <c r="M744" i="2"/>
  <c r="P744" i="2" s="1"/>
  <c r="N744" i="2"/>
  <c r="O744" i="2"/>
  <c r="M745" i="2"/>
  <c r="P745" i="2" s="1"/>
  <c r="N745" i="2"/>
  <c r="O745" i="2"/>
  <c r="M746" i="2"/>
  <c r="P746" i="2" s="1"/>
  <c r="N746" i="2"/>
  <c r="O746" i="2"/>
  <c r="M747" i="2"/>
  <c r="P747" i="2" s="1"/>
  <c r="N747" i="2"/>
  <c r="O747" i="2"/>
  <c r="M748" i="2"/>
  <c r="P748" i="2" s="1"/>
  <c r="N748" i="2"/>
  <c r="O748" i="2"/>
  <c r="M749" i="2"/>
  <c r="P749" i="2" s="1"/>
  <c r="N749" i="2"/>
  <c r="O749" i="2"/>
  <c r="M750" i="2"/>
  <c r="P750" i="2" s="1"/>
  <c r="N750" i="2"/>
  <c r="O750" i="2"/>
  <c r="M751" i="2"/>
  <c r="P751" i="2" s="1"/>
  <c r="N751" i="2"/>
  <c r="O751" i="2"/>
  <c r="M752" i="2"/>
  <c r="P752" i="2" s="1"/>
  <c r="N752" i="2"/>
  <c r="O752" i="2"/>
  <c r="M753" i="2"/>
  <c r="P753" i="2" s="1"/>
  <c r="N753" i="2"/>
  <c r="O753" i="2"/>
  <c r="M754" i="2"/>
  <c r="P754" i="2" s="1"/>
  <c r="N754" i="2"/>
  <c r="O754" i="2"/>
  <c r="M755" i="2"/>
  <c r="P755" i="2" s="1"/>
  <c r="N755" i="2"/>
  <c r="O755" i="2"/>
  <c r="M756" i="2"/>
  <c r="P756" i="2" s="1"/>
  <c r="N756" i="2"/>
  <c r="O756" i="2"/>
  <c r="M757" i="2"/>
  <c r="P757" i="2" s="1"/>
  <c r="N757" i="2"/>
  <c r="O757" i="2"/>
  <c r="M758" i="2"/>
  <c r="P758" i="2" s="1"/>
  <c r="N758" i="2"/>
  <c r="O758" i="2"/>
  <c r="M759" i="2"/>
  <c r="P759" i="2" s="1"/>
  <c r="N759" i="2"/>
  <c r="O759" i="2"/>
  <c r="M760" i="2"/>
  <c r="P760" i="2" s="1"/>
  <c r="N760" i="2"/>
  <c r="O760" i="2"/>
  <c r="M761" i="2"/>
  <c r="P761" i="2" s="1"/>
  <c r="N761" i="2"/>
  <c r="O761" i="2"/>
  <c r="M762" i="2"/>
  <c r="P762" i="2" s="1"/>
  <c r="N762" i="2"/>
  <c r="O762" i="2"/>
  <c r="M763" i="2"/>
  <c r="P763" i="2" s="1"/>
  <c r="N763" i="2"/>
  <c r="O763" i="2"/>
  <c r="M764" i="2"/>
  <c r="P764" i="2" s="1"/>
  <c r="N764" i="2"/>
  <c r="O764" i="2"/>
  <c r="M765" i="2"/>
  <c r="P765" i="2" s="1"/>
  <c r="N765" i="2"/>
  <c r="O765" i="2"/>
  <c r="M766" i="2"/>
  <c r="P766" i="2" s="1"/>
  <c r="N766" i="2"/>
  <c r="O766" i="2"/>
  <c r="M767" i="2"/>
  <c r="P767" i="2" s="1"/>
  <c r="N767" i="2"/>
  <c r="O767" i="2"/>
  <c r="M768" i="2"/>
  <c r="P768" i="2" s="1"/>
  <c r="N768" i="2"/>
  <c r="O768" i="2"/>
  <c r="M769" i="2"/>
  <c r="P769" i="2" s="1"/>
  <c r="N769" i="2"/>
  <c r="O769" i="2"/>
  <c r="M770" i="2"/>
  <c r="P770" i="2" s="1"/>
  <c r="N770" i="2"/>
  <c r="O770" i="2"/>
  <c r="M771" i="2"/>
  <c r="P771" i="2" s="1"/>
  <c r="N771" i="2"/>
  <c r="O771" i="2"/>
  <c r="M772" i="2"/>
  <c r="P772" i="2" s="1"/>
  <c r="N772" i="2"/>
  <c r="O772" i="2"/>
  <c r="M773" i="2"/>
  <c r="P773" i="2" s="1"/>
  <c r="N773" i="2"/>
  <c r="O773" i="2"/>
  <c r="M774" i="2"/>
  <c r="P774" i="2" s="1"/>
  <c r="N774" i="2"/>
  <c r="O774" i="2"/>
  <c r="M775" i="2"/>
  <c r="P775" i="2" s="1"/>
  <c r="N775" i="2"/>
  <c r="O775" i="2"/>
  <c r="M776" i="2"/>
  <c r="P776" i="2" s="1"/>
  <c r="N776" i="2"/>
  <c r="O776" i="2"/>
  <c r="M777" i="2"/>
  <c r="P777" i="2" s="1"/>
  <c r="N777" i="2"/>
  <c r="O777" i="2"/>
  <c r="M778" i="2"/>
  <c r="P778" i="2" s="1"/>
  <c r="N778" i="2"/>
  <c r="O778" i="2"/>
  <c r="M779" i="2"/>
  <c r="P779" i="2" s="1"/>
  <c r="N779" i="2"/>
  <c r="O779" i="2"/>
  <c r="M780" i="2"/>
  <c r="P780" i="2" s="1"/>
  <c r="N780" i="2"/>
  <c r="O780" i="2"/>
  <c r="M781" i="2"/>
  <c r="P781" i="2" s="1"/>
  <c r="N781" i="2"/>
  <c r="O781" i="2"/>
  <c r="M782" i="2"/>
  <c r="P782" i="2" s="1"/>
  <c r="N782" i="2"/>
  <c r="O782" i="2"/>
  <c r="M783" i="2"/>
  <c r="P783" i="2" s="1"/>
  <c r="N783" i="2"/>
  <c r="O783" i="2"/>
  <c r="M784" i="2"/>
  <c r="P784" i="2" s="1"/>
  <c r="N784" i="2"/>
  <c r="O784" i="2"/>
  <c r="M785" i="2"/>
  <c r="P785" i="2" s="1"/>
  <c r="N785" i="2"/>
  <c r="O785" i="2"/>
  <c r="M786" i="2"/>
  <c r="P786" i="2" s="1"/>
  <c r="N786" i="2"/>
  <c r="O786" i="2"/>
  <c r="M787" i="2"/>
  <c r="P787" i="2" s="1"/>
  <c r="N787" i="2"/>
  <c r="O787" i="2"/>
  <c r="M788" i="2"/>
  <c r="P788" i="2" s="1"/>
  <c r="N788" i="2"/>
  <c r="O788" i="2"/>
  <c r="M789" i="2"/>
  <c r="P789" i="2" s="1"/>
  <c r="N789" i="2"/>
  <c r="O789" i="2"/>
  <c r="M790" i="2"/>
  <c r="P790" i="2" s="1"/>
  <c r="N790" i="2"/>
  <c r="O790" i="2"/>
  <c r="M791" i="2"/>
  <c r="P791" i="2" s="1"/>
  <c r="N791" i="2"/>
  <c r="O791" i="2"/>
  <c r="M792" i="2"/>
  <c r="P792" i="2" s="1"/>
  <c r="N792" i="2"/>
  <c r="O792" i="2"/>
  <c r="M793" i="2"/>
  <c r="P793" i="2" s="1"/>
  <c r="N793" i="2"/>
  <c r="O793" i="2"/>
  <c r="M794" i="2"/>
  <c r="P794" i="2" s="1"/>
  <c r="N794" i="2"/>
  <c r="O794" i="2"/>
  <c r="M795" i="2"/>
  <c r="P795" i="2" s="1"/>
  <c r="N795" i="2"/>
  <c r="O795" i="2"/>
  <c r="M796" i="2"/>
  <c r="P796" i="2" s="1"/>
  <c r="N796" i="2"/>
  <c r="O796" i="2"/>
  <c r="M797" i="2"/>
  <c r="P797" i="2" s="1"/>
  <c r="N797" i="2"/>
  <c r="O797" i="2"/>
  <c r="M798" i="2"/>
  <c r="P798" i="2" s="1"/>
  <c r="N798" i="2"/>
  <c r="O798" i="2"/>
  <c r="M799" i="2"/>
  <c r="P799" i="2" s="1"/>
  <c r="N799" i="2"/>
  <c r="O799" i="2"/>
  <c r="M800" i="2"/>
  <c r="P800" i="2" s="1"/>
  <c r="N800" i="2"/>
  <c r="O800" i="2"/>
  <c r="M801" i="2"/>
  <c r="P801" i="2" s="1"/>
  <c r="N801" i="2"/>
  <c r="O801" i="2"/>
  <c r="M802" i="2"/>
  <c r="P802" i="2" s="1"/>
  <c r="N802" i="2"/>
  <c r="O802" i="2"/>
  <c r="M803" i="2"/>
  <c r="P803" i="2" s="1"/>
  <c r="N803" i="2"/>
  <c r="O803" i="2"/>
  <c r="M804" i="2"/>
  <c r="P804" i="2" s="1"/>
  <c r="N804" i="2"/>
  <c r="O804" i="2"/>
  <c r="M805" i="2"/>
  <c r="P805" i="2" s="1"/>
  <c r="N805" i="2"/>
  <c r="O805" i="2"/>
  <c r="M806" i="2"/>
  <c r="P806" i="2" s="1"/>
  <c r="N806" i="2"/>
  <c r="O806" i="2"/>
  <c r="M807" i="2"/>
  <c r="P807" i="2" s="1"/>
  <c r="N807" i="2"/>
  <c r="O807" i="2"/>
  <c r="M808" i="2"/>
  <c r="P808" i="2" s="1"/>
  <c r="N808" i="2"/>
  <c r="O808" i="2"/>
  <c r="M809" i="2"/>
  <c r="P809" i="2" s="1"/>
  <c r="N809" i="2"/>
  <c r="O809" i="2"/>
  <c r="M810" i="2"/>
  <c r="P810" i="2" s="1"/>
  <c r="N810" i="2"/>
  <c r="O810" i="2"/>
  <c r="M811" i="2"/>
  <c r="P811" i="2" s="1"/>
  <c r="N811" i="2"/>
  <c r="O811" i="2"/>
  <c r="M812" i="2"/>
  <c r="P812" i="2" s="1"/>
  <c r="N812" i="2"/>
  <c r="O812" i="2"/>
  <c r="M813" i="2"/>
  <c r="P813" i="2" s="1"/>
  <c r="N813" i="2"/>
  <c r="O813" i="2"/>
  <c r="M814" i="2"/>
  <c r="P814" i="2" s="1"/>
  <c r="N814" i="2"/>
  <c r="O814" i="2"/>
  <c r="M815" i="2"/>
  <c r="P815" i="2" s="1"/>
  <c r="N815" i="2"/>
  <c r="O815" i="2"/>
  <c r="M816" i="2"/>
  <c r="P816" i="2" s="1"/>
  <c r="N816" i="2"/>
  <c r="O816" i="2"/>
  <c r="M817" i="2"/>
  <c r="P817" i="2" s="1"/>
  <c r="N817" i="2"/>
  <c r="O817" i="2"/>
  <c r="M818" i="2"/>
  <c r="P818" i="2" s="1"/>
  <c r="N818" i="2"/>
  <c r="O818" i="2"/>
  <c r="M819" i="2"/>
  <c r="P819" i="2" s="1"/>
  <c r="N819" i="2"/>
  <c r="O819" i="2"/>
  <c r="M820" i="2"/>
  <c r="P820" i="2" s="1"/>
  <c r="N820" i="2"/>
  <c r="O820" i="2"/>
  <c r="M821" i="2"/>
  <c r="P821" i="2" s="1"/>
  <c r="N821" i="2"/>
  <c r="O821" i="2"/>
  <c r="M822" i="2"/>
  <c r="P822" i="2" s="1"/>
  <c r="N822" i="2"/>
  <c r="O822" i="2"/>
  <c r="M823" i="2"/>
  <c r="P823" i="2" s="1"/>
  <c r="N823" i="2"/>
  <c r="O823" i="2"/>
  <c r="M824" i="2"/>
  <c r="P824" i="2" s="1"/>
  <c r="N824" i="2"/>
  <c r="O824" i="2"/>
  <c r="M825" i="2"/>
  <c r="P825" i="2" s="1"/>
  <c r="N825" i="2"/>
  <c r="O825" i="2"/>
  <c r="M826" i="2"/>
  <c r="P826" i="2" s="1"/>
  <c r="N826" i="2"/>
  <c r="O826" i="2"/>
  <c r="M827" i="2"/>
  <c r="P827" i="2" s="1"/>
  <c r="N827" i="2"/>
  <c r="O827" i="2"/>
  <c r="M828" i="2"/>
  <c r="P828" i="2" s="1"/>
  <c r="N828" i="2"/>
  <c r="O828" i="2"/>
  <c r="M829" i="2"/>
  <c r="P829" i="2" s="1"/>
  <c r="N829" i="2"/>
  <c r="O829" i="2"/>
  <c r="M830" i="2"/>
  <c r="P830" i="2" s="1"/>
  <c r="N830" i="2"/>
  <c r="O830" i="2"/>
  <c r="M831" i="2"/>
  <c r="P831" i="2" s="1"/>
  <c r="N831" i="2"/>
  <c r="O831" i="2"/>
  <c r="M832" i="2"/>
  <c r="P832" i="2" s="1"/>
  <c r="N832" i="2"/>
  <c r="O832" i="2"/>
  <c r="M833" i="2"/>
  <c r="P833" i="2" s="1"/>
  <c r="N833" i="2"/>
  <c r="O833" i="2"/>
  <c r="M834" i="2"/>
  <c r="P834" i="2" s="1"/>
  <c r="N834" i="2"/>
  <c r="O834" i="2"/>
  <c r="M835" i="2"/>
  <c r="P835" i="2" s="1"/>
  <c r="N835" i="2"/>
  <c r="O835" i="2"/>
  <c r="M836" i="2"/>
  <c r="P836" i="2" s="1"/>
  <c r="N836" i="2"/>
  <c r="O836" i="2"/>
  <c r="M837" i="2"/>
  <c r="P837" i="2" s="1"/>
  <c r="N837" i="2"/>
  <c r="O837" i="2"/>
  <c r="M838" i="2"/>
  <c r="P838" i="2" s="1"/>
  <c r="N838" i="2"/>
  <c r="O838" i="2"/>
  <c r="M839" i="2"/>
  <c r="P839" i="2" s="1"/>
  <c r="N839" i="2"/>
  <c r="O839" i="2"/>
  <c r="M840" i="2"/>
  <c r="P840" i="2" s="1"/>
  <c r="N840" i="2"/>
  <c r="O840" i="2"/>
  <c r="M841" i="2"/>
  <c r="P841" i="2" s="1"/>
  <c r="N841" i="2"/>
  <c r="O841" i="2"/>
  <c r="M842" i="2"/>
  <c r="P842" i="2" s="1"/>
  <c r="N842" i="2"/>
  <c r="O842" i="2"/>
  <c r="M843" i="2"/>
  <c r="P843" i="2" s="1"/>
  <c r="N843" i="2"/>
  <c r="O843" i="2"/>
  <c r="M844" i="2"/>
  <c r="P844" i="2" s="1"/>
  <c r="N844" i="2"/>
  <c r="O844" i="2"/>
  <c r="M845" i="2"/>
  <c r="P845" i="2" s="1"/>
  <c r="N845" i="2"/>
  <c r="O845" i="2"/>
  <c r="M846" i="2"/>
  <c r="P846" i="2" s="1"/>
  <c r="N846" i="2"/>
  <c r="O846" i="2"/>
  <c r="M847" i="2"/>
  <c r="P847" i="2" s="1"/>
  <c r="N847" i="2"/>
  <c r="O847" i="2"/>
  <c r="M848" i="2"/>
  <c r="P848" i="2" s="1"/>
  <c r="N848" i="2"/>
  <c r="O848" i="2"/>
  <c r="M849" i="2"/>
  <c r="P849" i="2" s="1"/>
  <c r="N849" i="2"/>
  <c r="O849" i="2"/>
  <c r="M850" i="2"/>
  <c r="P850" i="2" s="1"/>
  <c r="N850" i="2"/>
  <c r="O850" i="2"/>
  <c r="M851" i="2"/>
  <c r="P851" i="2" s="1"/>
  <c r="N851" i="2"/>
  <c r="O851" i="2"/>
  <c r="M852" i="2"/>
  <c r="P852" i="2" s="1"/>
  <c r="N852" i="2"/>
  <c r="O852" i="2"/>
  <c r="M853" i="2"/>
  <c r="P853" i="2" s="1"/>
  <c r="N853" i="2"/>
  <c r="O853" i="2"/>
  <c r="M854" i="2"/>
  <c r="P854" i="2" s="1"/>
  <c r="N854" i="2"/>
  <c r="O854" i="2"/>
  <c r="M855" i="2"/>
  <c r="P855" i="2" s="1"/>
  <c r="N855" i="2"/>
  <c r="O855" i="2"/>
  <c r="M856" i="2"/>
  <c r="P856" i="2" s="1"/>
  <c r="N856" i="2"/>
  <c r="O856" i="2"/>
  <c r="M857" i="2"/>
  <c r="P857" i="2" s="1"/>
  <c r="N857" i="2"/>
  <c r="O857" i="2"/>
  <c r="M858" i="2"/>
  <c r="P858" i="2" s="1"/>
  <c r="N858" i="2"/>
  <c r="O858" i="2"/>
  <c r="M859" i="2"/>
  <c r="P859" i="2" s="1"/>
  <c r="N859" i="2"/>
  <c r="O859" i="2"/>
  <c r="M860" i="2"/>
  <c r="P860" i="2" s="1"/>
  <c r="N860" i="2"/>
  <c r="O860" i="2"/>
  <c r="M861" i="2"/>
  <c r="P861" i="2" s="1"/>
  <c r="N861" i="2"/>
  <c r="O861" i="2"/>
  <c r="M862" i="2"/>
  <c r="P862" i="2" s="1"/>
  <c r="N862" i="2"/>
  <c r="O862" i="2"/>
  <c r="M863" i="2"/>
  <c r="P863" i="2" s="1"/>
  <c r="N863" i="2"/>
  <c r="O863" i="2"/>
  <c r="M864" i="2"/>
  <c r="P864" i="2" s="1"/>
  <c r="N864" i="2"/>
  <c r="O864" i="2"/>
  <c r="M865" i="2"/>
  <c r="P865" i="2" s="1"/>
  <c r="N865" i="2"/>
  <c r="O865" i="2"/>
  <c r="M866" i="2"/>
  <c r="P866" i="2" s="1"/>
  <c r="N866" i="2"/>
  <c r="O866" i="2"/>
  <c r="M867" i="2"/>
  <c r="P867" i="2" s="1"/>
  <c r="N867" i="2"/>
  <c r="O867" i="2"/>
  <c r="M868" i="2"/>
  <c r="P868" i="2" s="1"/>
  <c r="N868" i="2"/>
  <c r="O868" i="2"/>
  <c r="M869" i="2"/>
  <c r="P869" i="2" s="1"/>
  <c r="N869" i="2"/>
  <c r="O869" i="2"/>
  <c r="M870" i="2"/>
  <c r="P870" i="2" s="1"/>
  <c r="N870" i="2"/>
  <c r="O870" i="2"/>
  <c r="M871" i="2"/>
  <c r="P871" i="2" s="1"/>
  <c r="N871" i="2"/>
  <c r="O871" i="2"/>
  <c r="M872" i="2"/>
  <c r="P872" i="2" s="1"/>
  <c r="N872" i="2"/>
  <c r="O872" i="2"/>
  <c r="M873" i="2"/>
  <c r="P873" i="2" s="1"/>
  <c r="N873" i="2"/>
  <c r="O873" i="2"/>
  <c r="M874" i="2"/>
  <c r="P874" i="2" s="1"/>
  <c r="N874" i="2"/>
  <c r="O874" i="2"/>
  <c r="M875" i="2"/>
  <c r="P875" i="2" s="1"/>
  <c r="N875" i="2"/>
  <c r="O875" i="2"/>
  <c r="M876" i="2"/>
  <c r="P876" i="2" s="1"/>
  <c r="N876" i="2"/>
  <c r="O876" i="2"/>
  <c r="M877" i="2"/>
  <c r="P877" i="2" s="1"/>
  <c r="N877" i="2"/>
  <c r="O877" i="2"/>
  <c r="M878" i="2"/>
  <c r="P878" i="2" s="1"/>
  <c r="N878" i="2"/>
  <c r="O878" i="2"/>
  <c r="M879" i="2"/>
  <c r="P879" i="2" s="1"/>
  <c r="N879" i="2"/>
  <c r="O879" i="2"/>
  <c r="M880" i="2"/>
  <c r="P880" i="2" s="1"/>
  <c r="N880" i="2"/>
  <c r="O880" i="2"/>
  <c r="M881" i="2"/>
  <c r="P881" i="2" s="1"/>
  <c r="N881" i="2"/>
  <c r="O881" i="2"/>
  <c r="M882" i="2"/>
  <c r="P882" i="2" s="1"/>
  <c r="N882" i="2"/>
  <c r="O882" i="2"/>
  <c r="M883" i="2"/>
  <c r="P883" i="2" s="1"/>
  <c r="N883" i="2"/>
  <c r="O883" i="2"/>
  <c r="M884" i="2"/>
  <c r="P884" i="2" s="1"/>
  <c r="N884" i="2"/>
  <c r="O884" i="2"/>
  <c r="M885" i="2"/>
  <c r="P885" i="2" s="1"/>
  <c r="N885" i="2"/>
  <c r="O885" i="2"/>
  <c r="M886" i="2"/>
  <c r="P886" i="2" s="1"/>
  <c r="N886" i="2"/>
  <c r="O886" i="2"/>
  <c r="M887" i="2"/>
  <c r="P887" i="2" s="1"/>
  <c r="N887" i="2"/>
  <c r="O887" i="2"/>
  <c r="M888" i="2"/>
  <c r="P888" i="2" s="1"/>
  <c r="N888" i="2"/>
  <c r="O888" i="2"/>
  <c r="M889" i="2"/>
  <c r="P889" i="2" s="1"/>
  <c r="N889" i="2"/>
  <c r="O889" i="2"/>
  <c r="M890" i="2"/>
  <c r="P890" i="2" s="1"/>
  <c r="N890" i="2"/>
  <c r="O890" i="2"/>
  <c r="M891" i="2"/>
  <c r="P891" i="2" s="1"/>
  <c r="N891" i="2"/>
  <c r="O891" i="2"/>
  <c r="M892" i="2"/>
  <c r="P892" i="2" s="1"/>
  <c r="N892" i="2"/>
  <c r="O892" i="2"/>
  <c r="M893" i="2"/>
  <c r="P893" i="2" s="1"/>
  <c r="N893" i="2"/>
  <c r="O893" i="2"/>
  <c r="M894" i="2"/>
  <c r="P894" i="2" s="1"/>
  <c r="N894" i="2"/>
  <c r="O894" i="2"/>
  <c r="M895" i="2"/>
  <c r="P895" i="2" s="1"/>
  <c r="N895" i="2"/>
  <c r="O895" i="2"/>
  <c r="M896" i="2"/>
  <c r="P896" i="2" s="1"/>
  <c r="N896" i="2"/>
  <c r="O896" i="2"/>
  <c r="M897" i="2"/>
  <c r="P897" i="2" s="1"/>
  <c r="N897" i="2"/>
  <c r="O897" i="2"/>
  <c r="M898" i="2"/>
  <c r="P898" i="2" s="1"/>
  <c r="N898" i="2"/>
  <c r="O898" i="2"/>
  <c r="M899" i="2"/>
  <c r="P899" i="2" s="1"/>
  <c r="N899" i="2"/>
  <c r="O899" i="2"/>
  <c r="M900" i="2"/>
  <c r="P900" i="2" s="1"/>
  <c r="N900" i="2"/>
  <c r="O900" i="2"/>
  <c r="M901" i="2"/>
  <c r="P901" i="2" s="1"/>
  <c r="N901" i="2"/>
  <c r="O901" i="2"/>
  <c r="M902" i="2"/>
  <c r="P902" i="2" s="1"/>
  <c r="N902" i="2"/>
  <c r="O902" i="2"/>
  <c r="M903" i="2"/>
  <c r="P903" i="2" s="1"/>
  <c r="N903" i="2"/>
  <c r="O903" i="2"/>
  <c r="M904" i="2"/>
  <c r="P904" i="2" s="1"/>
  <c r="N904" i="2"/>
  <c r="O904" i="2"/>
  <c r="M905" i="2"/>
  <c r="P905" i="2" s="1"/>
  <c r="N905" i="2"/>
  <c r="O905" i="2"/>
  <c r="M906" i="2"/>
  <c r="P906" i="2" s="1"/>
  <c r="N906" i="2"/>
  <c r="O906" i="2"/>
  <c r="M907" i="2"/>
  <c r="P907" i="2" s="1"/>
  <c r="N907" i="2"/>
  <c r="O907" i="2"/>
  <c r="M908" i="2"/>
  <c r="P908" i="2" s="1"/>
  <c r="N908" i="2"/>
  <c r="O908" i="2"/>
  <c r="M909" i="2"/>
  <c r="P909" i="2" s="1"/>
  <c r="N909" i="2"/>
  <c r="O909" i="2"/>
  <c r="M910" i="2"/>
  <c r="P910" i="2" s="1"/>
  <c r="N910" i="2"/>
  <c r="O910" i="2"/>
  <c r="M911" i="2"/>
  <c r="P911" i="2" s="1"/>
  <c r="N911" i="2"/>
  <c r="O911" i="2"/>
  <c r="M912" i="2"/>
  <c r="P912" i="2" s="1"/>
  <c r="N912" i="2"/>
  <c r="O912" i="2"/>
  <c r="M913" i="2"/>
  <c r="P913" i="2" s="1"/>
  <c r="N913" i="2"/>
  <c r="O913" i="2"/>
  <c r="M914" i="2"/>
  <c r="P914" i="2" s="1"/>
  <c r="N914" i="2"/>
  <c r="O914" i="2"/>
  <c r="M915" i="2"/>
  <c r="P915" i="2" s="1"/>
  <c r="N915" i="2"/>
  <c r="O915" i="2"/>
  <c r="M916" i="2"/>
  <c r="P916" i="2" s="1"/>
  <c r="N916" i="2"/>
  <c r="O916" i="2"/>
  <c r="M917" i="2"/>
  <c r="P917" i="2" s="1"/>
  <c r="N917" i="2"/>
  <c r="O917" i="2"/>
  <c r="M918" i="2"/>
  <c r="P918" i="2" s="1"/>
  <c r="N918" i="2"/>
  <c r="O918" i="2"/>
  <c r="M919" i="2"/>
  <c r="P919" i="2" s="1"/>
  <c r="N919" i="2"/>
  <c r="O919" i="2"/>
  <c r="M920" i="2"/>
  <c r="P920" i="2" s="1"/>
  <c r="N920" i="2"/>
  <c r="O920" i="2"/>
  <c r="M921" i="2"/>
  <c r="P921" i="2" s="1"/>
  <c r="N921" i="2"/>
  <c r="O921" i="2"/>
  <c r="M922" i="2"/>
  <c r="P922" i="2" s="1"/>
  <c r="N922" i="2"/>
  <c r="O922" i="2"/>
  <c r="M923" i="2"/>
  <c r="P923" i="2" s="1"/>
  <c r="N923" i="2"/>
  <c r="O923" i="2"/>
  <c r="M924" i="2"/>
  <c r="P924" i="2" s="1"/>
  <c r="N924" i="2"/>
  <c r="O924" i="2"/>
  <c r="M925" i="2"/>
  <c r="P925" i="2" s="1"/>
  <c r="N925" i="2"/>
  <c r="O925" i="2"/>
  <c r="M926" i="2"/>
  <c r="P926" i="2" s="1"/>
  <c r="N926" i="2"/>
  <c r="O926" i="2"/>
  <c r="M927" i="2"/>
  <c r="P927" i="2" s="1"/>
  <c r="N927" i="2"/>
  <c r="O927" i="2"/>
  <c r="M928" i="2"/>
  <c r="P928" i="2" s="1"/>
  <c r="N928" i="2"/>
  <c r="O928" i="2"/>
  <c r="M929" i="2"/>
  <c r="P929" i="2" s="1"/>
  <c r="N929" i="2"/>
  <c r="O929" i="2"/>
  <c r="M930" i="2"/>
  <c r="P930" i="2" s="1"/>
  <c r="N930" i="2"/>
  <c r="O930" i="2"/>
  <c r="M931" i="2"/>
  <c r="P931" i="2" s="1"/>
  <c r="N931" i="2"/>
  <c r="O931" i="2"/>
  <c r="M932" i="2"/>
  <c r="P932" i="2" s="1"/>
  <c r="N932" i="2"/>
  <c r="O932" i="2"/>
  <c r="M933" i="2"/>
  <c r="P933" i="2" s="1"/>
  <c r="N933" i="2"/>
  <c r="O933" i="2"/>
  <c r="M934" i="2"/>
  <c r="P934" i="2" s="1"/>
  <c r="N934" i="2"/>
  <c r="O934" i="2"/>
  <c r="M935" i="2"/>
  <c r="P935" i="2" s="1"/>
  <c r="N935" i="2"/>
  <c r="O935" i="2"/>
  <c r="M936" i="2"/>
  <c r="P936" i="2" s="1"/>
  <c r="N936" i="2"/>
  <c r="O936" i="2"/>
  <c r="M937" i="2"/>
  <c r="P937" i="2" s="1"/>
  <c r="N937" i="2"/>
  <c r="O937" i="2"/>
  <c r="M938" i="2"/>
  <c r="P938" i="2" s="1"/>
  <c r="N938" i="2"/>
  <c r="O938" i="2"/>
  <c r="M939" i="2"/>
  <c r="P939" i="2" s="1"/>
  <c r="N939" i="2"/>
  <c r="O939" i="2"/>
  <c r="M940" i="2"/>
  <c r="P940" i="2" s="1"/>
  <c r="N940" i="2"/>
  <c r="O940" i="2"/>
  <c r="M941" i="2"/>
  <c r="P941" i="2" s="1"/>
  <c r="N941" i="2"/>
  <c r="O941" i="2"/>
  <c r="M942" i="2"/>
  <c r="P942" i="2" s="1"/>
  <c r="N942" i="2"/>
  <c r="O942" i="2"/>
  <c r="M943" i="2"/>
  <c r="P943" i="2" s="1"/>
  <c r="N943" i="2"/>
  <c r="O943" i="2"/>
  <c r="M944" i="2"/>
  <c r="P944" i="2" s="1"/>
  <c r="N944" i="2"/>
  <c r="O944" i="2"/>
  <c r="M945" i="2"/>
  <c r="P945" i="2" s="1"/>
  <c r="N945" i="2"/>
  <c r="O945" i="2"/>
  <c r="M946" i="2"/>
  <c r="P946" i="2" s="1"/>
  <c r="N946" i="2"/>
  <c r="O946" i="2"/>
  <c r="M947" i="2"/>
  <c r="P947" i="2" s="1"/>
  <c r="N947" i="2"/>
  <c r="O947" i="2"/>
  <c r="M948" i="2"/>
  <c r="P948" i="2" s="1"/>
  <c r="N948" i="2"/>
  <c r="O948" i="2"/>
  <c r="M949" i="2"/>
  <c r="P949" i="2" s="1"/>
  <c r="N949" i="2"/>
  <c r="O949" i="2"/>
  <c r="M950" i="2"/>
  <c r="P950" i="2" s="1"/>
  <c r="N950" i="2"/>
  <c r="O950" i="2"/>
  <c r="M951" i="2"/>
  <c r="P951" i="2" s="1"/>
  <c r="N951" i="2"/>
  <c r="O951" i="2"/>
  <c r="M952" i="2"/>
  <c r="P952" i="2" s="1"/>
  <c r="N952" i="2"/>
  <c r="O952" i="2"/>
  <c r="M953" i="2"/>
  <c r="P953" i="2" s="1"/>
  <c r="N953" i="2"/>
  <c r="O953" i="2"/>
  <c r="M954" i="2"/>
  <c r="P954" i="2" s="1"/>
  <c r="N954" i="2"/>
  <c r="O954" i="2"/>
  <c r="M955" i="2"/>
  <c r="P955" i="2" s="1"/>
  <c r="N955" i="2"/>
  <c r="O955" i="2"/>
  <c r="M956" i="2"/>
  <c r="P956" i="2" s="1"/>
  <c r="N956" i="2"/>
  <c r="O956" i="2"/>
  <c r="M957" i="2"/>
  <c r="P957" i="2" s="1"/>
  <c r="N957" i="2"/>
  <c r="O957" i="2"/>
  <c r="M958" i="2"/>
  <c r="P958" i="2" s="1"/>
  <c r="N958" i="2"/>
  <c r="O958" i="2"/>
  <c r="M959" i="2"/>
  <c r="P959" i="2" s="1"/>
  <c r="N959" i="2"/>
  <c r="O959" i="2"/>
  <c r="M960" i="2"/>
  <c r="P960" i="2" s="1"/>
  <c r="N960" i="2"/>
  <c r="O960" i="2"/>
  <c r="M961" i="2"/>
  <c r="P961" i="2" s="1"/>
  <c r="N961" i="2"/>
  <c r="O961" i="2"/>
  <c r="M962" i="2"/>
  <c r="P962" i="2" s="1"/>
  <c r="N962" i="2"/>
  <c r="O962" i="2"/>
  <c r="M963" i="2"/>
  <c r="P963" i="2" s="1"/>
  <c r="N963" i="2"/>
  <c r="O963" i="2"/>
  <c r="M964" i="2"/>
  <c r="P964" i="2" s="1"/>
  <c r="N964" i="2"/>
  <c r="O964" i="2"/>
  <c r="M965" i="2"/>
  <c r="P965" i="2" s="1"/>
  <c r="N965" i="2"/>
  <c r="O965" i="2"/>
  <c r="M966" i="2"/>
  <c r="P966" i="2" s="1"/>
  <c r="N966" i="2"/>
  <c r="O966" i="2"/>
  <c r="M967" i="2"/>
  <c r="P967" i="2" s="1"/>
  <c r="N967" i="2"/>
  <c r="O967" i="2"/>
  <c r="M968" i="2"/>
  <c r="P968" i="2" s="1"/>
  <c r="N968" i="2"/>
  <c r="O968" i="2"/>
  <c r="M969" i="2"/>
  <c r="P969" i="2" s="1"/>
  <c r="N969" i="2"/>
  <c r="O969" i="2"/>
  <c r="M970" i="2"/>
  <c r="P970" i="2" s="1"/>
  <c r="N970" i="2"/>
  <c r="O970" i="2"/>
  <c r="M971" i="2"/>
  <c r="P971" i="2" s="1"/>
  <c r="N971" i="2"/>
  <c r="O971" i="2"/>
  <c r="M972" i="2"/>
  <c r="P972" i="2" s="1"/>
  <c r="N972" i="2"/>
  <c r="O972" i="2"/>
  <c r="M973" i="2"/>
  <c r="P973" i="2" s="1"/>
  <c r="N973" i="2"/>
  <c r="O973" i="2"/>
  <c r="M974" i="2"/>
  <c r="P974" i="2" s="1"/>
  <c r="N974" i="2"/>
  <c r="O974" i="2"/>
  <c r="M975" i="2"/>
  <c r="P975" i="2" s="1"/>
  <c r="N975" i="2"/>
  <c r="O975" i="2"/>
  <c r="M976" i="2"/>
  <c r="P976" i="2" s="1"/>
  <c r="N976" i="2"/>
  <c r="O976" i="2"/>
  <c r="M977" i="2"/>
  <c r="P977" i="2" s="1"/>
  <c r="N977" i="2"/>
  <c r="O977" i="2"/>
  <c r="M978" i="2"/>
  <c r="P978" i="2" s="1"/>
  <c r="N978" i="2"/>
  <c r="O978" i="2"/>
  <c r="M979" i="2"/>
  <c r="P979" i="2" s="1"/>
  <c r="N979" i="2"/>
  <c r="O979" i="2"/>
  <c r="M980" i="2"/>
  <c r="P980" i="2" s="1"/>
  <c r="N980" i="2"/>
  <c r="O980" i="2"/>
  <c r="M981" i="2"/>
  <c r="P981" i="2" s="1"/>
  <c r="N981" i="2"/>
  <c r="O981" i="2"/>
  <c r="M982" i="2"/>
  <c r="P982" i="2" s="1"/>
  <c r="N982" i="2"/>
  <c r="O982" i="2"/>
  <c r="M983" i="2"/>
  <c r="P983" i="2" s="1"/>
  <c r="N983" i="2"/>
  <c r="O983" i="2"/>
  <c r="M984" i="2"/>
  <c r="P984" i="2" s="1"/>
  <c r="N984" i="2"/>
  <c r="O984" i="2"/>
  <c r="M985" i="2"/>
  <c r="P985" i="2" s="1"/>
  <c r="N985" i="2"/>
  <c r="O985" i="2"/>
  <c r="M986" i="2"/>
  <c r="P986" i="2" s="1"/>
  <c r="N986" i="2"/>
  <c r="O986" i="2"/>
  <c r="M987" i="2"/>
  <c r="P987" i="2" s="1"/>
  <c r="N987" i="2"/>
  <c r="O987" i="2"/>
  <c r="M988" i="2"/>
  <c r="P988" i="2" s="1"/>
  <c r="N988" i="2"/>
  <c r="O988" i="2"/>
  <c r="M989" i="2"/>
  <c r="P989" i="2" s="1"/>
  <c r="N989" i="2"/>
  <c r="O989" i="2"/>
  <c r="M990" i="2"/>
  <c r="P990" i="2" s="1"/>
  <c r="N990" i="2"/>
  <c r="O990" i="2"/>
  <c r="M991" i="2"/>
  <c r="P991" i="2" s="1"/>
  <c r="N991" i="2"/>
  <c r="O991" i="2"/>
  <c r="M992" i="2"/>
  <c r="P992" i="2" s="1"/>
  <c r="N992" i="2"/>
  <c r="O992" i="2"/>
  <c r="M993" i="2"/>
  <c r="P993" i="2" s="1"/>
  <c r="N993" i="2"/>
  <c r="O993" i="2"/>
  <c r="M994" i="2"/>
  <c r="P994" i="2" s="1"/>
  <c r="N994" i="2"/>
  <c r="O994" i="2"/>
  <c r="M995" i="2"/>
  <c r="P995" i="2" s="1"/>
  <c r="N995" i="2"/>
  <c r="O995" i="2"/>
  <c r="M996" i="2"/>
  <c r="P996" i="2" s="1"/>
  <c r="N996" i="2"/>
  <c r="O996" i="2"/>
  <c r="M997" i="2"/>
  <c r="P997" i="2" s="1"/>
  <c r="N997" i="2"/>
  <c r="O997" i="2"/>
  <c r="M998" i="2"/>
  <c r="P998" i="2" s="1"/>
  <c r="N998" i="2"/>
  <c r="O998" i="2"/>
  <c r="M999" i="2"/>
  <c r="P999" i="2" s="1"/>
  <c r="N999" i="2"/>
  <c r="O999" i="2"/>
  <c r="F4" i="3"/>
  <c r="J4" i="3"/>
  <c r="H4" i="3"/>
  <c r="P360" i="2" l="1"/>
  <c r="P356" i="2"/>
  <c r="P352" i="2"/>
  <c r="P348" i="2"/>
  <c r="P344" i="2"/>
  <c r="P340" i="2"/>
  <c r="P336" i="2"/>
  <c r="P332" i="2"/>
  <c r="P328" i="2"/>
  <c r="P324" i="2"/>
  <c r="P320" i="2"/>
  <c r="P316" i="2"/>
  <c r="P312" i="2"/>
  <c r="P308" i="2"/>
  <c r="P304" i="2"/>
  <c r="P300" i="2"/>
  <c r="P296" i="2"/>
  <c r="P292" i="2"/>
  <c r="P288" i="2"/>
  <c r="P284" i="2"/>
  <c r="P280" i="2"/>
  <c r="P276" i="2"/>
  <c r="P272" i="2"/>
  <c r="P268" i="2"/>
  <c r="P264" i="2"/>
  <c r="P260" i="2"/>
  <c r="P256" i="2"/>
  <c r="P252" i="2"/>
  <c r="P248" i="2"/>
  <c r="P244" i="2"/>
  <c r="P240" i="2"/>
  <c r="P236" i="2"/>
  <c r="P232" i="2"/>
  <c r="P228" i="2"/>
  <c r="P224" i="2"/>
  <c r="P220" i="2"/>
  <c r="P216" i="2"/>
  <c r="P212" i="2"/>
  <c r="P208" i="2"/>
  <c r="P204" i="2"/>
  <c r="P200" i="2"/>
  <c r="P196" i="2"/>
  <c r="P192" i="2"/>
  <c r="P188" i="2"/>
  <c r="P184" i="2"/>
  <c r="P180" i="2"/>
  <c r="P176" i="2"/>
  <c r="P172" i="2"/>
  <c r="P168" i="2"/>
  <c r="P164" i="2"/>
  <c r="P160" i="2"/>
  <c r="P156" i="2"/>
  <c r="P152" i="2"/>
  <c r="P148" i="2"/>
  <c r="P144" i="2"/>
  <c r="P140" i="2"/>
  <c r="P136" i="2"/>
  <c r="P132" i="2"/>
  <c r="P128" i="2"/>
  <c r="P124" i="2"/>
  <c r="P120" i="2"/>
  <c r="P116" i="2"/>
  <c r="P112" i="2"/>
  <c r="P108" i="2"/>
  <c r="P104" i="2"/>
  <c r="P100" i="2"/>
  <c r="P96" i="2"/>
  <c r="P92" i="2"/>
  <c r="P88" i="2"/>
  <c r="P84" i="2"/>
  <c r="P80" i="2"/>
  <c r="P76" i="2"/>
  <c r="P72" i="2"/>
  <c r="P68" i="2"/>
  <c r="P64" i="2"/>
  <c r="P60" i="2"/>
  <c r="P56" i="2"/>
  <c r="P52" i="2"/>
  <c r="P48" i="2"/>
  <c r="P44" i="2"/>
  <c r="P40" i="2"/>
  <c r="P36" i="2"/>
  <c r="P32" i="2"/>
  <c r="P28" i="2"/>
  <c r="P24" i="2"/>
  <c r="P20" i="2"/>
  <c r="P16" i="2"/>
  <c r="P12" i="2"/>
  <c r="P8" i="2"/>
  <c r="P4" i="2"/>
  <c r="P2" i="2"/>
  <c r="L4" i="3"/>
</calcChain>
</file>

<file path=xl/sharedStrings.xml><?xml version="1.0" encoding="utf-8"?>
<sst xmlns="http://schemas.openxmlformats.org/spreadsheetml/2006/main" count="13575" uniqueCount="284">
  <si>
    <t>OrderID</t>
  </si>
  <si>
    <t>OrderDate</t>
  </si>
  <si>
    <t>Region</t>
  </si>
  <si>
    <t>SalesRep</t>
  </si>
  <si>
    <t>Product</t>
  </si>
  <si>
    <t>Category</t>
  </si>
  <si>
    <t>UnitsSold</t>
  </si>
  <si>
    <t>UnitPrice</t>
  </si>
  <si>
    <t>Discount</t>
  </si>
  <si>
    <t>PaymentMethod</t>
  </si>
  <si>
    <t>OrderStatus</t>
  </si>
  <si>
    <t>ORD1063</t>
  </si>
  <si>
    <t>North</t>
  </si>
  <si>
    <t>Chen Wei</t>
  </si>
  <si>
    <t>Smartphone</t>
  </si>
  <si>
    <t xml:space="preserve">electronics </t>
  </si>
  <si>
    <t>Cash</t>
  </si>
  <si>
    <t>Returned</t>
  </si>
  <si>
    <t>ORD1008</t>
  </si>
  <si>
    <t>John Doe</t>
  </si>
  <si>
    <t xml:space="preserve">laptop </t>
  </si>
  <si>
    <t>POS</t>
  </si>
  <si>
    <t>Cancelled</t>
  </si>
  <si>
    <t>ORD956</t>
  </si>
  <si>
    <t>East</t>
  </si>
  <si>
    <t>Headphones</t>
  </si>
  <si>
    <t>Electronics</t>
  </si>
  <si>
    <t>Completed</t>
  </si>
  <si>
    <t>ORD997</t>
  </si>
  <si>
    <t>Abuja Central</t>
  </si>
  <si>
    <t>ORD975</t>
  </si>
  <si>
    <t>Aisha Bello</t>
  </si>
  <si>
    <t>ORD971</t>
  </si>
  <si>
    <t>john doe</t>
  </si>
  <si>
    <t>Groceries</t>
  </si>
  <si>
    <t xml:space="preserve">completed </t>
  </si>
  <si>
    <t>ORD1036</t>
  </si>
  <si>
    <t>West</t>
  </si>
  <si>
    <t>Rice Bag</t>
  </si>
  <si>
    <t>Home Appliances</t>
  </si>
  <si>
    <t>cash</t>
  </si>
  <si>
    <t>ORD980</t>
  </si>
  <si>
    <t>Transfer</t>
  </si>
  <si>
    <t>ORD967</t>
  </si>
  <si>
    <t>Television</t>
  </si>
  <si>
    <t>ORD1026</t>
  </si>
  <si>
    <t>Laptop</t>
  </si>
  <si>
    <t>ORD964</t>
  </si>
  <si>
    <t>Microwave</t>
  </si>
  <si>
    <t>ORD900</t>
  </si>
  <si>
    <t>ORD939</t>
  </si>
  <si>
    <t>SOUTH</t>
  </si>
  <si>
    <t>Card</t>
  </si>
  <si>
    <t>ORD914</t>
  </si>
  <si>
    <t xml:space="preserve">north </t>
  </si>
  <si>
    <t>Pending</t>
  </si>
  <si>
    <t>ORD1035</t>
  </si>
  <si>
    <t>Lagos</t>
  </si>
  <si>
    <t>ORD963</t>
  </si>
  <si>
    <t>Mary Johnson</t>
  </si>
  <si>
    <t>ORD917</t>
  </si>
  <si>
    <t>ORD962</t>
  </si>
  <si>
    <t>ORD915</t>
  </si>
  <si>
    <t>lagos</t>
  </si>
  <si>
    <t>ORD1004</t>
  </si>
  <si>
    <t>ORD1078</t>
  </si>
  <si>
    <t>ORD1049</t>
  </si>
  <si>
    <t>ORD918</t>
  </si>
  <si>
    <t>ORD1056</t>
  </si>
  <si>
    <t>ORD1062</t>
  </si>
  <si>
    <t>ORD1043</t>
  </si>
  <si>
    <t>ORD978</t>
  </si>
  <si>
    <t>ORD941</t>
  </si>
  <si>
    <t>ORD909</t>
  </si>
  <si>
    <t>ORD984</t>
  </si>
  <si>
    <t>ORD945</t>
  </si>
  <si>
    <t>ORD1047</t>
  </si>
  <si>
    <t>ORD993</t>
  </si>
  <si>
    <t>ORD983</t>
  </si>
  <si>
    <t>ORD977</t>
  </si>
  <si>
    <t>ORD1030</t>
  </si>
  <si>
    <t>ORD957</t>
  </si>
  <si>
    <t>ORD1083</t>
  </si>
  <si>
    <t>David Smith</t>
  </si>
  <si>
    <t>ORD1018</t>
  </si>
  <si>
    <t>ORD1009</t>
  </si>
  <si>
    <t>ORD970</t>
  </si>
  <si>
    <t>ORD1077</t>
  </si>
  <si>
    <t>ORD932</t>
  </si>
  <si>
    <t>ORD1091</t>
  </si>
  <si>
    <t>ORD979</t>
  </si>
  <si>
    <t>ORD1029</t>
  </si>
  <si>
    <t>ORD1011</t>
  </si>
  <si>
    <t>ORD954</t>
  </si>
  <si>
    <t>ORD1042</t>
  </si>
  <si>
    <t>ORD994</t>
  </si>
  <si>
    <t>ORD958</t>
  </si>
  <si>
    <t>ORD926</t>
  </si>
  <si>
    <t>ORD1002</t>
  </si>
  <si>
    <t>ORD1095</t>
  </si>
  <si>
    <t>ORD1069</t>
  </si>
  <si>
    <t>ORD973</t>
  </si>
  <si>
    <t>ORD1088</t>
  </si>
  <si>
    <t>ORD1020</t>
  </si>
  <si>
    <t>ORD1071</t>
  </si>
  <si>
    <t>ORD982</t>
  </si>
  <si>
    <t>ORD1094</t>
  </si>
  <si>
    <t>ORD1081</t>
  </si>
  <si>
    <t>ORD1027</t>
  </si>
  <si>
    <t>ORD1053</t>
  </si>
  <si>
    <t>ORD1050</t>
  </si>
  <si>
    <t>ORD948</t>
  </si>
  <si>
    <t>ORD919</t>
  </si>
  <si>
    <t>ORD1038</t>
  </si>
  <si>
    <t>ORD942</t>
  </si>
  <si>
    <t>ORD1074</t>
  </si>
  <si>
    <t>ORD1060</t>
  </si>
  <si>
    <t>ORD944</t>
  </si>
  <si>
    <t>ORD929</t>
  </si>
  <si>
    <t>ORD1090</t>
  </si>
  <si>
    <t>ORD1013</t>
  </si>
  <si>
    <t>ORD955</t>
  </si>
  <si>
    <t>ORD928</t>
  </si>
  <si>
    <t>ORD1034</t>
  </si>
  <si>
    <t>ORD1055</t>
  </si>
  <si>
    <t>ORD1016</t>
  </si>
  <si>
    <t>ORD923</t>
  </si>
  <si>
    <t>ORD990</t>
  </si>
  <si>
    <t>ORD906</t>
  </si>
  <si>
    <t>ORD1098</t>
  </si>
  <si>
    <t>ORD1070</t>
  </si>
  <si>
    <t>ORD930</t>
  </si>
  <si>
    <t>ORD1001</t>
  </si>
  <si>
    <t>ORD938</t>
  </si>
  <si>
    <t>ORD1046</t>
  </si>
  <si>
    <t>ORD1084</t>
  </si>
  <si>
    <t>ORD1054</t>
  </si>
  <si>
    <t>ORD913</t>
  </si>
  <si>
    <t>ORD935</t>
  </si>
  <si>
    <t>ORD1086</t>
  </si>
  <si>
    <t>ORD1006</t>
  </si>
  <si>
    <t>ORD934</t>
  </si>
  <si>
    <t>ORD998</t>
  </si>
  <si>
    <t>ORD946</t>
  </si>
  <si>
    <t>ORD989</t>
  </si>
  <si>
    <t>ORD1031</t>
  </si>
  <si>
    <t>ORD1045</t>
  </si>
  <si>
    <t>ORD1066</t>
  </si>
  <si>
    <t>ORD992</t>
  </si>
  <si>
    <t>ORD1015</t>
  </si>
  <si>
    <t>ORD986</t>
  </si>
  <si>
    <t>ORD1058</t>
  </si>
  <si>
    <t>ORD974</t>
  </si>
  <si>
    <t>ORD911</t>
  </si>
  <si>
    <t>ORD1000</t>
  </si>
  <si>
    <t>ORD1072</t>
  </si>
  <si>
    <t>ORD904</t>
  </si>
  <si>
    <t>ORD1080</t>
  </si>
  <si>
    <t>ORD1076</t>
  </si>
  <si>
    <t>ORD988</t>
  </si>
  <si>
    <t>ORD1037</t>
  </si>
  <si>
    <t>ORD1022</t>
  </si>
  <si>
    <t>ORD1093</t>
  </si>
  <si>
    <t>ORD1040</t>
  </si>
  <si>
    <t>ORD1025</t>
  </si>
  <si>
    <t>ORD1085</t>
  </si>
  <si>
    <t>ORD996</t>
  </si>
  <si>
    <t>ORD1017</t>
  </si>
  <si>
    <t>ORD908</t>
  </si>
  <si>
    <t>ORD981</t>
  </si>
  <si>
    <t>ORD965</t>
  </si>
  <si>
    <t>ORD947</t>
  </si>
  <si>
    <t>ORD961</t>
  </si>
  <si>
    <t>ORD976</t>
  </si>
  <si>
    <t>ORD921</t>
  </si>
  <si>
    <t>ORD969</t>
  </si>
  <si>
    <t>ORD1092</t>
  </si>
  <si>
    <t>ORD1089</t>
  </si>
  <si>
    <t>ORD1014</t>
  </si>
  <si>
    <t>ORD1005</t>
  </si>
  <si>
    <t>ORD1052</t>
  </si>
  <si>
    <t>ORD985</t>
  </si>
  <si>
    <t>ORD1039</t>
  </si>
  <si>
    <t>ORD1012</t>
  </si>
  <si>
    <t>ORD1032</t>
  </si>
  <si>
    <t>ORD999</t>
  </si>
  <si>
    <t>ORD968</t>
  </si>
  <si>
    <t>ORD943</t>
  </si>
  <si>
    <t>ORD1067</t>
  </si>
  <si>
    <t>ORD940</t>
  </si>
  <si>
    <t>ORD902</t>
  </si>
  <si>
    <t>ORD1099</t>
  </si>
  <si>
    <t>ORD1100</t>
  </si>
  <si>
    <t>ORD933</t>
  </si>
  <si>
    <t>ORD995</t>
  </si>
  <si>
    <t>ORD1082</t>
  </si>
  <si>
    <t>ORD1044</t>
  </si>
  <si>
    <t>ORD952</t>
  </si>
  <si>
    <t>ORD960</t>
  </si>
  <si>
    <t>ORD927</t>
  </si>
  <si>
    <t>ORD910</t>
  </si>
  <si>
    <t>ORD922</t>
  </si>
  <si>
    <t>ORD905</t>
  </si>
  <si>
    <t>ORD937</t>
  </si>
  <si>
    <t>ORD1019</t>
  </si>
  <si>
    <t>ORD1021</t>
  </si>
  <si>
    <t>ORD966</t>
  </si>
  <si>
    <t>ORD916</t>
  </si>
  <si>
    <t>ORD912</t>
  </si>
  <si>
    <t>ORD907</t>
  </si>
  <si>
    <t>ORD1087</t>
  </si>
  <si>
    <t>ORD1097</t>
  </si>
  <si>
    <t>ORD1007</t>
  </si>
  <si>
    <t>ORD1051</t>
  </si>
  <si>
    <t>ORD1024</t>
  </si>
  <si>
    <t>ORD1023</t>
  </si>
  <si>
    <t>ORD987</t>
  </si>
  <si>
    <t>ORD951</t>
  </si>
  <si>
    <t>ORD1073</t>
  </si>
  <si>
    <t>ORD1041</t>
  </si>
  <si>
    <t>ORD1048</t>
  </si>
  <si>
    <t>ORD1003</t>
  </si>
  <si>
    <t>ORD1064</t>
  </si>
  <si>
    <t>ORD1033</t>
  </si>
  <si>
    <t>ORD1068</t>
  </si>
  <si>
    <t>ORD953</t>
  </si>
  <si>
    <t>ORD1065</t>
  </si>
  <si>
    <t>ORD1096</t>
  </si>
  <si>
    <t>ORD959</t>
  </si>
  <si>
    <t>ORD972</t>
  </si>
  <si>
    <t>ORD991</t>
  </si>
  <si>
    <t>ORD949</t>
  </si>
  <si>
    <t>ORD1075</t>
  </si>
  <si>
    <t>ORD1057</t>
  </si>
  <si>
    <t>ORD1010</t>
  </si>
  <si>
    <t>ORD1061</t>
  </si>
  <si>
    <t>ORD920</t>
  </si>
  <si>
    <t>ORD901</t>
  </si>
  <si>
    <t>ORD1028</t>
  </si>
  <si>
    <t>ORD931</t>
  </si>
  <si>
    <t>ORD950</t>
  </si>
  <si>
    <t>ORD924</t>
  </si>
  <si>
    <t>ORD925</t>
  </si>
  <si>
    <t>ORD903</t>
  </si>
  <si>
    <t>ORD1079</t>
  </si>
  <si>
    <t>ORD936</t>
  </si>
  <si>
    <t>South</t>
  </si>
  <si>
    <t xml:space="preserve">Laptop </t>
  </si>
  <si>
    <t>Pos</t>
  </si>
  <si>
    <t xml:space="preserve">Completed </t>
  </si>
  <si>
    <t>Revenue</t>
  </si>
  <si>
    <t>Month</t>
  </si>
  <si>
    <t>Year</t>
  </si>
  <si>
    <t>Row Labels</t>
  </si>
  <si>
    <t>Grand Total</t>
  </si>
  <si>
    <t>May</t>
  </si>
  <si>
    <t>March</t>
  </si>
  <si>
    <t>August</t>
  </si>
  <si>
    <t>June</t>
  </si>
  <si>
    <t>January</t>
  </si>
  <si>
    <t>April</t>
  </si>
  <si>
    <t>July</t>
  </si>
  <si>
    <t>February</t>
  </si>
  <si>
    <t>October</t>
  </si>
  <si>
    <t>December</t>
  </si>
  <si>
    <t>September</t>
  </si>
  <si>
    <t>November</t>
  </si>
  <si>
    <t>Unassigned</t>
  </si>
  <si>
    <t>Rice Bags</t>
  </si>
  <si>
    <t>correct category</t>
  </si>
  <si>
    <t>Smartphones</t>
  </si>
  <si>
    <t>Profit</t>
  </si>
  <si>
    <t>Profit Margin</t>
  </si>
  <si>
    <t>Cost</t>
  </si>
  <si>
    <t xml:space="preserve"> Revenue</t>
  </si>
  <si>
    <t xml:space="preserve"> Profit Margin</t>
  </si>
  <si>
    <t xml:space="preserve"> OrderStatus</t>
  </si>
  <si>
    <t xml:space="preserve"> Profit</t>
  </si>
  <si>
    <t>SALES PERFORMANCE DASHBOARD</t>
  </si>
  <si>
    <t>Total Revenue</t>
  </si>
  <si>
    <t>Total Profit</t>
  </si>
  <si>
    <t>Total orders</t>
  </si>
  <si>
    <t>Overrall Profit Margin</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</si>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</sst>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5" x14ac:knownFonts="1">
    <font>
      <sz val="12"/>
      <color theme="1"/>
      <name val="Corbel"/>
      <family val="2"/>
      <scheme val="minor"/>
    </font>
    <font>
      <sz val="12"/>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2"/>
      <color rgb="FF006100"/>
      <name val="Corbel"/>
      <family val="2"/>
      <scheme val="minor"/>
    </font>
    <font>
      <sz val="12"/>
      <color rgb="FF9C0006"/>
      <name val="Corbel"/>
      <family val="2"/>
      <scheme val="minor"/>
    </font>
    <font>
      <sz val="12"/>
      <color rgb="FF9C5700"/>
      <name val="Corbel"/>
      <family val="2"/>
      <scheme val="minor"/>
    </font>
    <font>
      <sz val="12"/>
      <color rgb="FF3F3F76"/>
      <name val="Corbel"/>
      <family val="2"/>
      <scheme val="minor"/>
    </font>
    <font>
      <b/>
      <sz val="12"/>
      <color rgb="FF3F3F3F"/>
      <name val="Corbel"/>
      <family val="2"/>
      <scheme val="minor"/>
    </font>
    <font>
      <b/>
      <sz val="12"/>
      <color rgb="FFFA7D00"/>
      <name val="Corbel"/>
      <family val="2"/>
      <scheme val="minor"/>
    </font>
    <font>
      <sz val="12"/>
      <color rgb="FFFA7D00"/>
      <name val="Corbel"/>
      <family val="2"/>
      <scheme val="minor"/>
    </font>
    <font>
      <b/>
      <sz val="12"/>
      <color theme="0"/>
      <name val="Corbel"/>
      <family val="2"/>
      <scheme val="minor"/>
    </font>
    <font>
      <sz val="12"/>
      <color rgb="FFFF0000"/>
      <name val="Corbel"/>
      <family val="2"/>
      <scheme val="minor"/>
    </font>
    <font>
      <i/>
      <sz val="12"/>
      <color rgb="FF7F7F7F"/>
      <name val="Corbel"/>
      <family val="2"/>
      <scheme val="minor"/>
    </font>
    <font>
      <b/>
      <sz val="12"/>
      <color theme="1"/>
      <name val="Corbel"/>
      <family val="2"/>
      <scheme val="minor"/>
    </font>
    <font>
      <sz val="12"/>
      <color theme="0"/>
      <name val="Corbel"/>
      <family val="2"/>
      <scheme val="minor"/>
    </font>
    <font>
      <b/>
      <sz val="12"/>
      <color theme="1"/>
      <name val="Corbel"/>
      <scheme val="minor"/>
    </font>
    <font>
      <sz val="8"/>
      <name val="Corbel"/>
      <family val="2"/>
      <scheme val="minor"/>
    </font>
    <font>
      <b/>
      <sz val="23"/>
      <color theme="1"/>
      <name val="Aptos Narrow (Body)"/>
    </font>
    <font>
      <sz val="23"/>
      <color theme="1"/>
      <name val="Corbel"/>
      <family val="2"/>
      <scheme val="minor"/>
    </font>
    <font>
      <b/>
      <sz val="21"/>
      <color theme="1"/>
      <name val="Aptos Narrow (Body)"/>
    </font>
    <font>
      <sz val="21"/>
      <color theme="1"/>
      <name val="Corbel"/>
      <family val="2"/>
      <scheme val="minor"/>
    </font>
    <font>
      <b/>
      <sz val="21"/>
      <color theme="1"/>
      <name val="Corbel"/>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9" fontId="0" fillId="0" borderId="0" xfId="0" applyNumberFormat="1"/>
    <xf numFmtId="164" fontId="0" fillId="0" borderId="0" xfId="0" applyNumberFormat="1"/>
    <xf numFmtId="0" fontId="0" fillId="33" borderId="0" xfId="0" applyFill="1"/>
    <xf numFmtId="0" fontId="22" fillId="33" borderId="0" xfId="0" applyFont="1" applyFill="1" applyAlignment="1">
      <alignment horizontal="center"/>
    </xf>
    <xf numFmtId="0" fontId="23" fillId="33" borderId="0" xfId="0" applyFont="1" applyFill="1" applyAlignment="1">
      <alignment horizontal="center"/>
    </xf>
    <xf numFmtId="10" fontId="24" fillId="33" borderId="0" xfId="0" applyNumberFormat="1" applyFont="1" applyFill="1" applyAlignment="1">
      <alignment horizontal="center"/>
    </xf>
    <xf numFmtId="0" fontId="20" fillId="33" borderId="0" xfId="0" applyFont="1" applyFill="1" applyAlignment="1">
      <alignment horizontal="center"/>
    </xf>
    <xf numFmtId="0" fontId="21" fillId="33" borderId="0" xfId="0" applyFont="1" applyFill="1" applyAlignment="1">
      <alignment horizontal="center"/>
    </xf>
    <xf numFmtId="164" fontId="24" fillId="33" borderId="0" xfId="0" applyNumberFormat="1" applyFont="1" applyFill="1" applyAlignment="1">
      <alignment horizontal="center"/>
    </xf>
    <xf numFmtId="0" fontId="24"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3" formatCode="0%"/>
    </dxf>
    <dxf>
      <numFmt numFmtId="1" formatCode="0"/>
    </dxf>
    <dxf>
      <numFmt numFmtId="1" formatCode="0"/>
    </dxf>
    <dxf>
      <numFmt numFmtId="19" formatCode="dd/mm/yyyy"/>
    </dxf>
    <dxf>
      <font>
        <b/>
        <i val="0"/>
        <strike val="0"/>
        <condense val="0"/>
        <extend val="0"/>
        <outline val="0"/>
        <shadow val="0"/>
        <u val="none"/>
        <vertAlign val="baseline"/>
        <sz val="12"/>
        <color theme="1"/>
        <name val="Corbe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 and Dashboard!PivotTable10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Revenue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304884885195786E-2"/>
          <c:y val="0.11850706405652574"/>
          <c:w val="0.92258400643394434"/>
          <c:h val="0.63512761144201091"/>
        </c:manualLayout>
      </c:layout>
      <c:lineChart>
        <c:grouping val="standard"/>
        <c:varyColors val="0"/>
        <c:ser>
          <c:idx val="0"/>
          <c:order val="0"/>
          <c:tx>
            <c:strRef>
              <c:f>'Pivot Tables and Dashboard'!$T$1</c:f>
              <c:strCache>
                <c:ptCount val="1"/>
                <c:pt idx="0">
                  <c:v>Total</c:v>
                </c:pt>
              </c:strCache>
            </c:strRef>
          </c:tx>
          <c:spPr>
            <a:ln w="28575" cap="rnd">
              <a:solidFill>
                <a:schemeClr val="accent1"/>
              </a:solidFill>
              <a:round/>
            </a:ln>
            <a:effectLst/>
          </c:spPr>
          <c:marker>
            <c:symbol val="none"/>
          </c:marker>
          <c:cat>
            <c:strRef>
              <c:f>'Pivot Tables and Dashboard'!$S$2:$S$14</c:f>
              <c:strCache>
                <c:ptCount val="12"/>
                <c:pt idx="0">
                  <c:v>January</c:v>
                </c:pt>
                <c:pt idx="1">
                  <c:v>September</c:v>
                </c:pt>
                <c:pt idx="2">
                  <c:v>February</c:v>
                </c:pt>
                <c:pt idx="3">
                  <c:v>August</c:v>
                </c:pt>
                <c:pt idx="4">
                  <c:v>June</c:v>
                </c:pt>
                <c:pt idx="5">
                  <c:v>October</c:v>
                </c:pt>
                <c:pt idx="6">
                  <c:v>December</c:v>
                </c:pt>
                <c:pt idx="7">
                  <c:v>November</c:v>
                </c:pt>
                <c:pt idx="8">
                  <c:v>July</c:v>
                </c:pt>
                <c:pt idx="9">
                  <c:v>May</c:v>
                </c:pt>
                <c:pt idx="10">
                  <c:v>April</c:v>
                </c:pt>
                <c:pt idx="11">
                  <c:v>March</c:v>
                </c:pt>
              </c:strCache>
            </c:strRef>
          </c:cat>
          <c:val>
            <c:numRef>
              <c:f>'Pivot Tables and Dashboard'!$T$2:$T$14</c:f>
              <c:numCache>
                <c:formatCode>"₦"#,##0</c:formatCode>
                <c:ptCount val="12"/>
                <c:pt idx="0">
                  <c:v>485310.06210985128</c:v>
                </c:pt>
                <c:pt idx="1">
                  <c:v>284019.68277094734</c:v>
                </c:pt>
                <c:pt idx="2">
                  <c:v>274818.68754597311</c:v>
                </c:pt>
                <c:pt idx="3">
                  <c:v>272797.54364150524</c:v>
                </c:pt>
                <c:pt idx="4">
                  <c:v>269333.96949854126</c:v>
                </c:pt>
                <c:pt idx="5">
                  <c:v>258564.99263459054</c:v>
                </c:pt>
                <c:pt idx="6">
                  <c:v>254328.23609945228</c:v>
                </c:pt>
                <c:pt idx="7">
                  <c:v>242605.29535071552</c:v>
                </c:pt>
                <c:pt idx="8">
                  <c:v>209980.45664346148</c:v>
                </c:pt>
                <c:pt idx="9">
                  <c:v>183127.05068160172</c:v>
                </c:pt>
                <c:pt idx="10">
                  <c:v>173765.81800674996</c:v>
                </c:pt>
                <c:pt idx="11">
                  <c:v>171919.30363642264</c:v>
                </c:pt>
              </c:numCache>
            </c:numRef>
          </c:val>
          <c:smooth val="0"/>
          <c:extLst>
            <c:ext xmlns:c16="http://schemas.microsoft.com/office/drawing/2014/chart" uri="{C3380CC4-5D6E-409C-BE32-E72D297353CC}">
              <c16:uniqueId val="{00000000-D435-C24D-A481-33341CB8FDFD}"/>
            </c:ext>
          </c:extLst>
        </c:ser>
        <c:dLbls>
          <c:showLegendKey val="0"/>
          <c:showVal val="0"/>
          <c:showCatName val="0"/>
          <c:showSerName val="0"/>
          <c:showPercent val="0"/>
          <c:showBubbleSize val="0"/>
        </c:dLbls>
        <c:smooth val="0"/>
        <c:axId val="493223951"/>
        <c:axId val="493147695"/>
      </c:lineChart>
      <c:catAx>
        <c:axId val="49322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93147695"/>
        <c:crosses val="autoZero"/>
        <c:auto val="1"/>
        <c:lblAlgn val="ctr"/>
        <c:lblOffset val="100"/>
        <c:noMultiLvlLbl val="0"/>
      </c:catAx>
      <c:valAx>
        <c:axId val="493147695"/>
        <c:scaling>
          <c:orientation val="minMax"/>
        </c:scaling>
        <c:delete val="1"/>
        <c:axPos val="l"/>
        <c:numFmt formatCode="&quot;₦&quot;#,##0" sourceLinked="1"/>
        <c:majorTickMark val="none"/>
        <c:minorTickMark val="none"/>
        <c:tickLblPos val="nextTo"/>
        <c:crossAx val="49322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 and Dashboard!PivotTable12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Region</a:t>
            </a:r>
            <a:endParaRPr lang="en-US" b="1"/>
          </a:p>
        </c:rich>
      </c:tx>
      <c:layout>
        <c:manualLayout>
          <c:xMode val="edge"/>
          <c:yMode val="edge"/>
          <c:x val="0.38997113997113997"/>
          <c:y val="3.81425543764993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037395351857184E-2"/>
          <c:y val="0.14871358145237371"/>
          <c:w val="0.84280966313747596"/>
          <c:h val="0.68092368385662272"/>
        </c:manualLayout>
      </c:layout>
      <c:barChart>
        <c:barDir val="col"/>
        <c:grouping val="clustered"/>
        <c:varyColors val="0"/>
        <c:ser>
          <c:idx val="0"/>
          <c:order val="0"/>
          <c:tx>
            <c:strRef>
              <c:f>'Pivot Tables and Dashboard'!$B$9</c:f>
              <c:strCache>
                <c:ptCount val="1"/>
                <c:pt idx="0">
                  <c:v>Total</c:v>
                </c:pt>
              </c:strCache>
            </c:strRef>
          </c:tx>
          <c:spPr>
            <a:solidFill>
              <a:schemeClr val="accent1"/>
            </a:solidFill>
            <a:ln>
              <a:noFill/>
            </a:ln>
            <a:effectLst/>
          </c:spPr>
          <c:invertIfNegative val="0"/>
          <c:cat>
            <c:strRef>
              <c:f>'Pivot Tables and Dashboard'!$A$10:$A$16</c:f>
              <c:strCache>
                <c:ptCount val="6"/>
                <c:pt idx="0">
                  <c:v>Lagos</c:v>
                </c:pt>
                <c:pt idx="1">
                  <c:v>North</c:v>
                </c:pt>
                <c:pt idx="2">
                  <c:v>Abuja Central</c:v>
                </c:pt>
                <c:pt idx="3">
                  <c:v>South</c:v>
                </c:pt>
                <c:pt idx="4">
                  <c:v>East</c:v>
                </c:pt>
                <c:pt idx="5">
                  <c:v>West</c:v>
                </c:pt>
              </c:strCache>
            </c:strRef>
          </c:cat>
          <c:val>
            <c:numRef>
              <c:f>'Pivot Tables and Dashboard'!$B$10:$B$16</c:f>
              <c:numCache>
                <c:formatCode>"₦"#,##0</c:formatCode>
                <c:ptCount val="6"/>
                <c:pt idx="0">
                  <c:v>848182.09206600708</c:v>
                </c:pt>
                <c:pt idx="1">
                  <c:v>650920.17374208348</c:v>
                </c:pt>
                <c:pt idx="2">
                  <c:v>465188.30142091983</c:v>
                </c:pt>
                <c:pt idx="3">
                  <c:v>407972.33971575659</c:v>
                </c:pt>
                <c:pt idx="4">
                  <c:v>392198.95713431714</c:v>
                </c:pt>
                <c:pt idx="5">
                  <c:v>316109.23454072844</c:v>
                </c:pt>
              </c:numCache>
            </c:numRef>
          </c:val>
          <c:extLst>
            <c:ext xmlns:c16="http://schemas.microsoft.com/office/drawing/2014/chart" uri="{C3380CC4-5D6E-409C-BE32-E72D297353CC}">
              <c16:uniqueId val="{00000000-1B09-B64E-A982-F7C38EF247A2}"/>
            </c:ext>
          </c:extLst>
        </c:ser>
        <c:dLbls>
          <c:showLegendKey val="0"/>
          <c:showVal val="0"/>
          <c:showCatName val="0"/>
          <c:showSerName val="0"/>
          <c:showPercent val="0"/>
          <c:showBubbleSize val="0"/>
        </c:dLbls>
        <c:gapWidth val="219"/>
        <c:overlap val="-27"/>
        <c:axId val="493512191"/>
        <c:axId val="206504127"/>
      </c:barChart>
      <c:catAx>
        <c:axId val="49351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504127"/>
        <c:crosses val="autoZero"/>
        <c:auto val="1"/>
        <c:lblAlgn val="ctr"/>
        <c:lblOffset val="100"/>
        <c:noMultiLvlLbl val="0"/>
      </c:catAx>
      <c:valAx>
        <c:axId val="206504127"/>
        <c:scaling>
          <c:orientation val="minMax"/>
        </c:scaling>
        <c:delete val="1"/>
        <c:axPos val="l"/>
        <c:numFmt formatCode="&quot;₦&quot;#,##0" sourceLinked="1"/>
        <c:majorTickMark val="none"/>
        <c:minorTickMark val="none"/>
        <c:tickLblPos val="nextTo"/>
        <c:crossAx val="49351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 and Dashboard!PivotTable16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Products</a:t>
            </a:r>
            <a:endParaRPr lang="en-US" b="1"/>
          </a:p>
        </c:rich>
      </c:tx>
      <c:layout>
        <c:manualLayout>
          <c:xMode val="edge"/>
          <c:yMode val="edge"/>
          <c:x val="0.37579782756587155"/>
          <c:y val="5.142857721356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53118308364354"/>
          <c:y val="0.16324287550538535"/>
          <c:w val="0.71293723608804338"/>
          <c:h val="0.75532854390647286"/>
        </c:manualLayout>
      </c:layout>
      <c:barChart>
        <c:barDir val="bar"/>
        <c:grouping val="clustered"/>
        <c:varyColors val="0"/>
        <c:ser>
          <c:idx val="0"/>
          <c:order val="0"/>
          <c:tx>
            <c:strRef>
              <c:f>'Pivot Tables and Dashboard'!$B$1</c:f>
              <c:strCache>
                <c:ptCount val="1"/>
                <c:pt idx="0">
                  <c:v>Total</c:v>
                </c:pt>
              </c:strCache>
            </c:strRef>
          </c:tx>
          <c:spPr>
            <a:solidFill>
              <a:schemeClr val="accent1"/>
            </a:solidFill>
            <a:ln>
              <a:noFill/>
            </a:ln>
            <a:effectLst/>
          </c:spPr>
          <c:invertIfNegative val="0"/>
          <c:cat>
            <c:strRef>
              <c:f>'Pivot Tables and Dashboard'!$A$2:$A$7</c:f>
              <c:strCache>
                <c:ptCount val="5"/>
                <c:pt idx="0">
                  <c:v>Microwave</c:v>
                </c:pt>
                <c:pt idx="1">
                  <c:v>Television</c:v>
                </c:pt>
                <c:pt idx="2">
                  <c:v>Smartphone</c:v>
                </c:pt>
                <c:pt idx="3">
                  <c:v>Headphones</c:v>
                </c:pt>
                <c:pt idx="4">
                  <c:v>Laptop</c:v>
                </c:pt>
              </c:strCache>
            </c:strRef>
          </c:cat>
          <c:val>
            <c:numRef>
              <c:f>'Pivot Tables and Dashboard'!$B$2:$B$7</c:f>
              <c:numCache>
                <c:formatCode>"₦"#,##0</c:formatCode>
                <c:ptCount val="5"/>
                <c:pt idx="0">
                  <c:v>501016.1290212766</c:v>
                </c:pt>
                <c:pt idx="1">
                  <c:v>495947.52233191498</c:v>
                </c:pt>
                <c:pt idx="2">
                  <c:v>442911.36677446828</c:v>
                </c:pt>
                <c:pt idx="3">
                  <c:v>439603.84935254231</c:v>
                </c:pt>
                <c:pt idx="4">
                  <c:v>434693.66548571415</c:v>
                </c:pt>
              </c:numCache>
            </c:numRef>
          </c:val>
          <c:extLst>
            <c:ext xmlns:c16="http://schemas.microsoft.com/office/drawing/2014/chart" uri="{C3380CC4-5D6E-409C-BE32-E72D297353CC}">
              <c16:uniqueId val="{00000000-DE00-CD4B-A584-2172332F5CD6}"/>
            </c:ext>
          </c:extLst>
        </c:ser>
        <c:dLbls>
          <c:showLegendKey val="0"/>
          <c:showVal val="0"/>
          <c:showCatName val="0"/>
          <c:showSerName val="0"/>
          <c:showPercent val="0"/>
          <c:showBubbleSize val="0"/>
        </c:dLbls>
        <c:gapWidth val="219"/>
        <c:axId val="885937295"/>
        <c:axId val="286595647"/>
      </c:barChart>
      <c:catAx>
        <c:axId val="88593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6595647"/>
        <c:crosses val="autoZero"/>
        <c:auto val="1"/>
        <c:lblAlgn val="ctr"/>
        <c:lblOffset val="100"/>
        <c:noMultiLvlLbl val="0"/>
      </c:catAx>
      <c:valAx>
        <c:axId val="286595647"/>
        <c:scaling>
          <c:orientation val="minMax"/>
        </c:scaling>
        <c:delete val="1"/>
        <c:axPos val="b"/>
        <c:numFmt formatCode="&quot;₦&quot;#,##0" sourceLinked="1"/>
        <c:majorTickMark val="none"/>
        <c:minorTickMark val="none"/>
        <c:tickLblPos val="nextTo"/>
        <c:crossAx val="885937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 and Dashboard!PivotTable14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Sales Rep</a:t>
            </a:r>
            <a:endParaRPr lang="en-US" b="1"/>
          </a:p>
        </c:rich>
      </c:tx>
      <c:layout>
        <c:manualLayout>
          <c:xMode val="edge"/>
          <c:yMode val="edge"/>
          <c:x val="0.34043744531933506"/>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131758530183727"/>
          <c:y val="0.17171296296296296"/>
          <c:w val="0.82868241469816273"/>
          <c:h val="0.77736111111111106"/>
        </c:manualLayout>
      </c:layout>
      <c:bar3DChart>
        <c:barDir val="bar"/>
        <c:grouping val="clustered"/>
        <c:varyColors val="0"/>
        <c:ser>
          <c:idx val="0"/>
          <c:order val="0"/>
          <c:tx>
            <c:strRef>
              <c:f>'Pivot Tables and Dashboard'!$T$16</c:f>
              <c:strCache>
                <c:ptCount val="1"/>
                <c:pt idx="0">
                  <c:v>Total</c:v>
                </c:pt>
              </c:strCache>
            </c:strRef>
          </c:tx>
          <c:spPr>
            <a:solidFill>
              <a:schemeClr val="accent1"/>
            </a:solidFill>
            <a:ln>
              <a:noFill/>
            </a:ln>
            <a:effectLst/>
            <a:sp3d/>
          </c:spPr>
          <c:invertIfNegative val="0"/>
          <c:cat>
            <c:strRef>
              <c:f>'Pivot Tables and Dashboard'!$S$17:$S$23</c:f>
              <c:strCache>
                <c:ptCount val="6"/>
                <c:pt idx="0">
                  <c:v>John Doe</c:v>
                </c:pt>
                <c:pt idx="1">
                  <c:v>Mary Johnson</c:v>
                </c:pt>
                <c:pt idx="2">
                  <c:v>David Smith</c:v>
                </c:pt>
                <c:pt idx="3">
                  <c:v>Chen Wei</c:v>
                </c:pt>
                <c:pt idx="4">
                  <c:v>Unassigned</c:v>
                </c:pt>
                <c:pt idx="5">
                  <c:v>Aisha Bello</c:v>
                </c:pt>
              </c:strCache>
            </c:strRef>
          </c:cat>
          <c:val>
            <c:numRef>
              <c:f>'Pivot Tables and Dashboard'!$T$17:$T$23</c:f>
              <c:numCache>
                <c:formatCode>"₦"#,##0</c:formatCode>
                <c:ptCount val="6"/>
                <c:pt idx="0">
                  <c:v>888683.34475365607</c:v>
                </c:pt>
                <c:pt idx="1">
                  <c:v>546218.85204219818</c:v>
                </c:pt>
                <c:pt idx="2">
                  <c:v>533053.7997474249</c:v>
                </c:pt>
                <c:pt idx="3">
                  <c:v>404051.72826271062</c:v>
                </c:pt>
                <c:pt idx="4">
                  <c:v>359847.73956825479</c:v>
                </c:pt>
                <c:pt idx="5">
                  <c:v>348715.63424556749</c:v>
                </c:pt>
              </c:numCache>
            </c:numRef>
          </c:val>
          <c:extLst>
            <c:ext xmlns:c16="http://schemas.microsoft.com/office/drawing/2014/chart" uri="{C3380CC4-5D6E-409C-BE32-E72D297353CC}">
              <c16:uniqueId val="{00000000-3024-7143-96AD-E6F4069FA000}"/>
            </c:ext>
          </c:extLst>
        </c:ser>
        <c:dLbls>
          <c:showLegendKey val="0"/>
          <c:showVal val="0"/>
          <c:showCatName val="0"/>
          <c:showSerName val="0"/>
          <c:showPercent val="0"/>
          <c:showBubbleSize val="0"/>
        </c:dLbls>
        <c:gapWidth val="219"/>
        <c:shape val="box"/>
        <c:axId val="218315615"/>
        <c:axId val="218322927"/>
        <c:axId val="0"/>
      </c:bar3DChart>
      <c:catAx>
        <c:axId val="21831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8322927"/>
        <c:crosses val="autoZero"/>
        <c:auto val="1"/>
        <c:lblAlgn val="ctr"/>
        <c:lblOffset val="100"/>
        <c:noMultiLvlLbl val="0"/>
      </c:catAx>
      <c:valAx>
        <c:axId val="21832292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21831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 and Dashboard!PivotTable11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Status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0.17440748031496062"/>
          <c:y val="0.1161574074074074"/>
          <c:w val="0.63308333333333333"/>
          <c:h val="0.88384259259259257"/>
        </c:manualLayout>
      </c:layout>
      <c:doughnutChart>
        <c:varyColors val="1"/>
        <c:ser>
          <c:idx val="0"/>
          <c:order val="0"/>
          <c:tx>
            <c:strRef>
              <c:f>'Pivot Tables and Dashboard'!$B$30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A6C-FB4F-8A2B-58D1ADA4B571}"/>
              </c:ext>
            </c:extLst>
          </c:dPt>
          <c:dPt>
            <c:idx val="1"/>
            <c:bubble3D val="0"/>
            <c:spPr>
              <a:solidFill>
                <a:schemeClr val="accent2"/>
              </a:solidFill>
              <a:ln>
                <a:noFill/>
              </a:ln>
              <a:effectLst/>
            </c:spPr>
            <c:extLst>
              <c:ext xmlns:c16="http://schemas.microsoft.com/office/drawing/2014/chart" uri="{C3380CC4-5D6E-409C-BE32-E72D297353CC}">
                <c16:uniqueId val="{00000003-AA6C-FB4F-8A2B-58D1ADA4B571}"/>
              </c:ext>
            </c:extLst>
          </c:dPt>
          <c:dPt>
            <c:idx val="2"/>
            <c:bubble3D val="0"/>
            <c:spPr>
              <a:solidFill>
                <a:schemeClr val="accent3"/>
              </a:solidFill>
              <a:ln>
                <a:noFill/>
              </a:ln>
              <a:effectLst/>
            </c:spPr>
            <c:extLst>
              <c:ext xmlns:c16="http://schemas.microsoft.com/office/drawing/2014/chart" uri="{C3380CC4-5D6E-409C-BE32-E72D297353CC}">
                <c16:uniqueId val="{00000005-AA6C-FB4F-8A2B-58D1ADA4B571}"/>
              </c:ext>
            </c:extLst>
          </c:dPt>
          <c:dPt>
            <c:idx val="3"/>
            <c:bubble3D val="0"/>
            <c:spPr>
              <a:solidFill>
                <a:schemeClr val="accent4"/>
              </a:solidFill>
              <a:ln>
                <a:noFill/>
              </a:ln>
              <a:effectLst/>
            </c:spPr>
            <c:extLst>
              <c:ext xmlns:c16="http://schemas.microsoft.com/office/drawing/2014/chart" uri="{C3380CC4-5D6E-409C-BE32-E72D297353CC}">
                <c16:uniqueId val="{00000007-AA6C-FB4F-8A2B-58D1ADA4B571}"/>
              </c:ext>
            </c:extLst>
          </c:dPt>
          <c:dPt>
            <c:idx val="4"/>
            <c:bubble3D val="0"/>
            <c:spPr>
              <a:solidFill>
                <a:schemeClr val="accent5"/>
              </a:solidFill>
              <a:ln>
                <a:noFill/>
              </a:ln>
              <a:effectLst/>
            </c:spPr>
            <c:extLst>
              <c:ext xmlns:c16="http://schemas.microsoft.com/office/drawing/2014/chart" uri="{C3380CC4-5D6E-409C-BE32-E72D297353CC}">
                <c16:uniqueId val="{00000009-AA6C-FB4F-8A2B-58D1ADA4B5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and Dashboard'!$A$31:$A$36</c:f>
              <c:strCache>
                <c:ptCount val="5"/>
                <c:pt idx="0">
                  <c:v>Cancelled</c:v>
                </c:pt>
                <c:pt idx="1">
                  <c:v>Pending</c:v>
                </c:pt>
                <c:pt idx="2">
                  <c:v>Returned</c:v>
                </c:pt>
                <c:pt idx="3">
                  <c:v>Completed</c:v>
                </c:pt>
                <c:pt idx="4">
                  <c:v>Completed </c:v>
                </c:pt>
              </c:strCache>
            </c:strRef>
          </c:cat>
          <c:val>
            <c:numRef>
              <c:f>'Pivot Tables and Dashboard'!$B$31:$B$36</c:f>
              <c:numCache>
                <c:formatCode>General</c:formatCode>
                <c:ptCount val="5"/>
                <c:pt idx="0">
                  <c:v>205</c:v>
                </c:pt>
                <c:pt idx="1">
                  <c:v>204</c:v>
                </c:pt>
                <c:pt idx="2">
                  <c:v>197</c:v>
                </c:pt>
                <c:pt idx="3">
                  <c:v>197</c:v>
                </c:pt>
                <c:pt idx="4">
                  <c:v>195</c:v>
                </c:pt>
              </c:numCache>
            </c:numRef>
          </c:val>
          <c:extLst>
            <c:ext xmlns:c16="http://schemas.microsoft.com/office/drawing/2014/chart" uri="{C3380CC4-5D6E-409C-BE32-E72D297353CC}">
              <c16:uniqueId val="{00000000-6B4D-8D4A-8989-F91145FCF53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2634251968503936"/>
          <c:y val="0.39575094779819181"/>
          <c:w val="0.15699081364829393"/>
          <c:h val="0.36169254884806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192548</xdr:colOff>
      <xdr:row>4</xdr:row>
      <xdr:rowOff>48615</xdr:rowOff>
    </xdr:from>
    <xdr:to>
      <xdr:col>5</xdr:col>
      <xdr:colOff>927237</xdr:colOff>
      <xdr:row>18</xdr:row>
      <xdr:rowOff>191183</xdr:rowOff>
    </xdr:to>
    <xdr:graphicFrame macro="">
      <xdr:nvGraphicFramePr>
        <xdr:cNvPr id="2" name="Chart 1">
          <a:extLst>
            <a:ext uri="{FF2B5EF4-FFF2-40B4-BE49-F238E27FC236}">
              <a16:creationId xmlns:a16="http://schemas.microsoft.com/office/drawing/2014/main" id="{1E5CDD63-8DC3-0AF1-43A2-08D8CCE8D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124268</xdr:colOff>
      <xdr:row>4</xdr:row>
      <xdr:rowOff>48616</xdr:rowOff>
    </xdr:from>
    <xdr:to>
      <xdr:col>11</xdr:col>
      <xdr:colOff>382561</xdr:colOff>
      <xdr:row>18</xdr:row>
      <xdr:rowOff>177527</xdr:rowOff>
    </xdr:to>
    <xdr:graphicFrame macro="">
      <xdr:nvGraphicFramePr>
        <xdr:cNvPr id="3" name="Chart 2">
          <a:extLst>
            <a:ext uri="{FF2B5EF4-FFF2-40B4-BE49-F238E27FC236}">
              <a16:creationId xmlns:a16="http://schemas.microsoft.com/office/drawing/2014/main" id="{27BA3BC4-85A0-FD12-1F7F-9B0945F3F1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670503</xdr:colOff>
      <xdr:row>4</xdr:row>
      <xdr:rowOff>13655</xdr:rowOff>
    </xdr:from>
    <xdr:to>
      <xdr:col>18</xdr:col>
      <xdr:colOff>13654</xdr:colOff>
      <xdr:row>18</xdr:row>
      <xdr:rowOff>109246</xdr:rowOff>
    </xdr:to>
    <xdr:graphicFrame macro="">
      <xdr:nvGraphicFramePr>
        <xdr:cNvPr id="4" name="Chart 3">
          <a:extLst>
            <a:ext uri="{FF2B5EF4-FFF2-40B4-BE49-F238E27FC236}">
              <a16:creationId xmlns:a16="http://schemas.microsoft.com/office/drawing/2014/main" id="{E4F70AFA-6433-F599-35E0-21F19C56E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245807</xdr:colOff>
      <xdr:row>20</xdr:row>
      <xdr:rowOff>48613</xdr:rowOff>
    </xdr:from>
    <xdr:to>
      <xdr:col>5</xdr:col>
      <xdr:colOff>980495</xdr:colOff>
      <xdr:row>33</xdr:row>
      <xdr:rowOff>128910</xdr:rowOff>
    </xdr:to>
    <xdr:graphicFrame macro="">
      <xdr:nvGraphicFramePr>
        <xdr:cNvPr id="5" name="Chart 4">
          <a:extLst>
            <a:ext uri="{FF2B5EF4-FFF2-40B4-BE49-F238E27FC236}">
              <a16:creationId xmlns:a16="http://schemas.microsoft.com/office/drawing/2014/main" id="{BB2EBFCA-73E1-24AC-6D54-EF588C4D6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245807</xdr:colOff>
      <xdr:row>19</xdr:row>
      <xdr:rowOff>122903</xdr:rowOff>
    </xdr:from>
    <xdr:to>
      <xdr:col>11</xdr:col>
      <xdr:colOff>245806</xdr:colOff>
      <xdr:row>33</xdr:row>
      <xdr:rowOff>183533</xdr:rowOff>
    </xdr:to>
    <xdr:graphicFrame macro="">
      <xdr:nvGraphicFramePr>
        <xdr:cNvPr id="6" name="Chart 5">
          <a:extLst>
            <a:ext uri="{FF2B5EF4-FFF2-40B4-BE49-F238E27FC236}">
              <a16:creationId xmlns:a16="http://schemas.microsoft.com/office/drawing/2014/main" id="{A3E0B927-D6B7-55F0-5BA3-3B1539DDD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598812</xdr:colOff>
      <xdr:row>19</xdr:row>
      <xdr:rowOff>121673</xdr:rowOff>
    </xdr:from>
    <xdr:to>
      <xdr:col>14</xdr:col>
      <xdr:colOff>788903</xdr:colOff>
      <xdr:row>28</xdr:row>
      <xdr:rowOff>54623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DD19F82-D061-B192-45CB-554B67CFD2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053006" y="4573501"/>
              <a:ext cx="1828800" cy="17764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139154</xdr:colOff>
      <xdr:row>19</xdr:row>
      <xdr:rowOff>139973</xdr:rowOff>
    </xdr:from>
    <xdr:to>
      <xdr:col>17</xdr:col>
      <xdr:colOff>329244</xdr:colOff>
      <xdr:row>28</xdr:row>
      <xdr:rowOff>136560</xdr:rowOff>
    </xdr:to>
    <mc:AlternateContent xmlns:mc="http://schemas.openxmlformats.org/markup-compatibility/2006">
      <mc:Choice xmlns:a14="http://schemas.microsoft.com/office/drawing/2010/main" Requires="a14">
        <xdr:graphicFrame macro="">
          <xdr:nvGraphicFramePr>
            <xdr:cNvPr id="8" name="SalesRep">
              <a:extLst>
                <a:ext uri="{FF2B5EF4-FFF2-40B4-BE49-F238E27FC236}">
                  <a16:creationId xmlns:a16="http://schemas.microsoft.com/office/drawing/2014/main" id="{A5FB9BB5-C8E4-6F97-CC82-55B3FF135507}"/>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dr:sp macro="" textlink="">
          <xdr:nvSpPr>
            <xdr:cNvPr id="0" name=""/>
            <xdr:cNvSpPr>
              <a:spLocks noTextEdit="1"/>
            </xdr:cNvSpPr>
          </xdr:nvSpPr>
          <xdr:spPr>
            <a:xfrm>
              <a:off x="14860229" y="4591801"/>
              <a:ext cx="1828800" cy="18401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635411</xdr:colOff>
      <xdr:row>28</xdr:row>
      <xdr:rowOff>117303</xdr:rowOff>
    </xdr:from>
    <xdr:to>
      <xdr:col>15</xdr:col>
      <xdr:colOff>6147</xdr:colOff>
      <xdr:row>36</xdr:row>
      <xdr:rowOff>27311</xdr:rowOff>
    </xdr:to>
    <mc:AlternateContent xmlns:mc="http://schemas.openxmlformats.org/markup-compatibility/2006" xmlns:a14="http://schemas.microsoft.com/office/drawing/2010/main">
      <mc:Choice Requires="a14">
        <xdr:graphicFrame macro="">
          <xdr:nvGraphicFramePr>
            <xdr:cNvPr id="9" name="OrderStatus">
              <a:extLst>
                <a:ext uri="{FF2B5EF4-FFF2-40B4-BE49-F238E27FC236}">
                  <a16:creationId xmlns:a16="http://schemas.microsoft.com/office/drawing/2014/main" id="{876011DD-E528-1763-8798-D946BF399838}"/>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3089605" y="6412679"/>
              <a:ext cx="1828800" cy="15487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162097</xdr:colOff>
      <xdr:row>29</xdr:row>
      <xdr:rowOff>54623</xdr:rowOff>
    </xdr:from>
    <xdr:to>
      <xdr:col>17</xdr:col>
      <xdr:colOff>245807</xdr:colOff>
      <xdr:row>32</xdr:row>
      <xdr:rowOff>122902</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5FF6BBE5-1810-AF30-79F2-C3B7F54DA9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883172" y="6554838"/>
              <a:ext cx="1722420" cy="6827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286773</xdr:colOff>
      <xdr:row>4</xdr:row>
      <xdr:rowOff>27312</xdr:rowOff>
    </xdr:from>
    <xdr:to>
      <xdr:col>5</xdr:col>
      <xdr:colOff>914945</xdr:colOff>
      <xdr:row>18</xdr:row>
      <xdr:rowOff>68280</xdr:rowOff>
    </xdr:to>
    <xdr:sp macro="" textlink="">
      <xdr:nvSpPr>
        <xdr:cNvPr id="12" name="Rounded Rectangle 11">
          <a:extLst>
            <a:ext uri="{FF2B5EF4-FFF2-40B4-BE49-F238E27FC236}">
              <a16:creationId xmlns:a16="http://schemas.microsoft.com/office/drawing/2014/main" id="{4F1A08CC-7436-672C-239E-D4CCCDC70D56}"/>
            </a:ext>
          </a:extLst>
        </xdr:cNvPr>
        <xdr:cNvSpPr/>
      </xdr:nvSpPr>
      <xdr:spPr>
        <a:xfrm>
          <a:off x="2225913" y="1406559"/>
          <a:ext cx="4465484" cy="2908710"/>
        </a:xfrm>
        <a:prstGeom prst="roundRect">
          <a:avLst>
            <a:gd name="adj" fmla="val 13850"/>
          </a:avLst>
        </a:prstGeom>
        <a:no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0.05741</cdr:x>
      <cdr:y>0</cdr:y>
    </cdr:from>
    <cdr:to>
      <cdr:x>0.96348</cdr:x>
      <cdr:y>0.97065</cdr:y>
    </cdr:to>
    <cdr:sp macro="" textlink="">
      <cdr:nvSpPr>
        <cdr:cNvPr id="3" name="Rounded Rectangle 2">
          <a:extLst xmlns:a="http://schemas.openxmlformats.org/drawingml/2006/main">
            <a:ext uri="{FF2B5EF4-FFF2-40B4-BE49-F238E27FC236}">
              <a16:creationId xmlns:a16="http://schemas.microsoft.com/office/drawing/2014/main" id="{4F1A08CC-7436-672C-239E-D4CCCDC70D56}"/>
            </a:ext>
          </a:extLst>
        </cdr:cNvPr>
        <cdr:cNvSpPr/>
      </cdr:nvSpPr>
      <cdr:spPr>
        <a:xfrm xmlns:a="http://schemas.openxmlformats.org/drawingml/2006/main">
          <a:off x="282962" y="0"/>
          <a:ext cx="4465662" cy="2908710"/>
        </a:xfrm>
        <a:prstGeom xmlns:a="http://schemas.openxmlformats.org/drawingml/2006/main" prst="roundRect">
          <a:avLst>
            <a:gd name="adj" fmla="val 13850"/>
          </a:avLst>
        </a:prstGeom>
        <a:noFill xmlns:a="http://schemas.openxmlformats.org/drawingml/2006/main"/>
        <a:ln xmlns:a="http://schemas.openxmlformats.org/drawingml/2006/main">
          <a:solidFill>
            <a:schemeClr val="accent1">
              <a:shade val="1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userShapes>
</file>

<file path=xl/drawings/drawing3.xml><?xml version="1.0" encoding="utf-8"?>
<c:userShapes xmlns:c="http://schemas.openxmlformats.org/drawingml/2006/chart">
  <cdr:relSizeAnchor xmlns:cdr="http://schemas.openxmlformats.org/drawingml/2006/chartDrawing">
    <cdr:from>
      <cdr:x>0.01</cdr:x>
      <cdr:y>0.01714</cdr:y>
    </cdr:from>
    <cdr:to>
      <cdr:x>0.88927</cdr:x>
      <cdr:y>0.99871</cdr:y>
    </cdr:to>
    <cdr:sp macro="" textlink="">
      <cdr:nvSpPr>
        <cdr:cNvPr id="2" name="Rounded Rectangle 1">
          <a:extLst xmlns:a="http://schemas.openxmlformats.org/drawingml/2006/main">
            <a:ext uri="{FF2B5EF4-FFF2-40B4-BE49-F238E27FC236}">
              <a16:creationId xmlns:a16="http://schemas.microsoft.com/office/drawing/2014/main" id="{4F1A08CC-7436-672C-239E-D4CCCDC70D56}"/>
            </a:ext>
          </a:extLst>
        </cdr:cNvPr>
        <cdr:cNvSpPr/>
      </cdr:nvSpPr>
      <cdr:spPr>
        <a:xfrm xmlns:a="http://schemas.openxmlformats.org/drawingml/2006/main">
          <a:off x="50800" y="50800"/>
          <a:ext cx="4465484" cy="2908710"/>
        </a:xfrm>
        <a:prstGeom xmlns:a="http://schemas.openxmlformats.org/drawingml/2006/main" prst="roundRect">
          <a:avLst>
            <a:gd name="adj" fmla="val 13850"/>
          </a:avLst>
        </a:prstGeom>
        <a:noFill xmlns:a="http://schemas.openxmlformats.org/drawingml/2006/main"/>
        <a:ln xmlns:a="http://schemas.openxmlformats.org/drawingml/2006/main">
          <a:solidFill>
            <a:schemeClr val="accent1">
              <a:shade val="1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userShapes>
</file>

<file path=xl/drawings/drawing4.xml><?xml version="1.0" encoding="utf-8"?>
<c:userShapes xmlns:c="http://schemas.openxmlformats.org/drawingml/2006/chart">
  <cdr:relSizeAnchor xmlns:cdr="http://schemas.openxmlformats.org/drawingml/2006/chartDrawing">
    <cdr:from>
      <cdr:x>0.01111</cdr:x>
      <cdr:y>0</cdr:y>
    </cdr:from>
    <cdr:to>
      <cdr:x>0.98781</cdr:x>
      <cdr:y>1</cdr:y>
    </cdr:to>
    <cdr:sp macro="" textlink="">
      <cdr:nvSpPr>
        <cdr:cNvPr id="3" name="Rounded Rectangle 2">
          <a:extLst xmlns:a="http://schemas.openxmlformats.org/drawingml/2006/main">
            <a:ext uri="{FF2B5EF4-FFF2-40B4-BE49-F238E27FC236}">
              <a16:creationId xmlns:a16="http://schemas.microsoft.com/office/drawing/2014/main" id="{4F1A08CC-7436-672C-239E-D4CCCDC70D56}"/>
            </a:ext>
          </a:extLst>
        </cdr:cNvPr>
        <cdr:cNvSpPr/>
      </cdr:nvSpPr>
      <cdr:spPr>
        <a:xfrm xmlns:a="http://schemas.openxmlformats.org/drawingml/2006/main">
          <a:off x="50800" y="50800"/>
          <a:ext cx="4465484" cy="2908710"/>
        </a:xfrm>
        <a:prstGeom xmlns:a="http://schemas.openxmlformats.org/drawingml/2006/main" prst="roundRect">
          <a:avLst>
            <a:gd name="adj" fmla="val 13850"/>
          </a:avLst>
        </a:prstGeom>
        <a:noFill xmlns:a="http://schemas.openxmlformats.org/drawingml/2006/main"/>
        <a:ln xmlns:a="http://schemas.openxmlformats.org/drawingml/2006/main">
          <a:solidFill>
            <a:schemeClr val="accent1">
              <a:shade val="1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userShapes>
</file>

<file path=xl/drawings/drawing5.xml><?xml version="1.0" encoding="utf-8"?>
<c:userShapes xmlns:c="http://schemas.openxmlformats.org/drawingml/2006/chart">
  <cdr:relSizeAnchor xmlns:cdr="http://schemas.openxmlformats.org/drawingml/2006/chartDrawing">
    <cdr:from>
      <cdr:x>0.01111</cdr:x>
      <cdr:y>0</cdr:y>
    </cdr:from>
    <cdr:to>
      <cdr:x>0.98781</cdr:x>
      <cdr:y>1</cdr:y>
    </cdr:to>
    <cdr:sp macro="" textlink="">
      <cdr:nvSpPr>
        <cdr:cNvPr id="2" name="Rounded Rectangle 1">
          <a:extLst xmlns:a="http://schemas.openxmlformats.org/drawingml/2006/main">
            <a:ext uri="{FF2B5EF4-FFF2-40B4-BE49-F238E27FC236}">
              <a16:creationId xmlns:a16="http://schemas.microsoft.com/office/drawing/2014/main" id="{4F1A08CC-7436-672C-239E-D4CCCDC70D56}"/>
            </a:ext>
          </a:extLst>
        </cdr:cNvPr>
        <cdr:cNvSpPr/>
      </cdr:nvSpPr>
      <cdr:spPr>
        <a:xfrm xmlns:a="http://schemas.openxmlformats.org/drawingml/2006/main">
          <a:off x="50800" y="0"/>
          <a:ext cx="4465484" cy="2907792"/>
        </a:xfrm>
        <a:prstGeom xmlns:a="http://schemas.openxmlformats.org/drawingml/2006/main" prst="roundRect">
          <a:avLst>
            <a:gd name="adj" fmla="val 13850"/>
          </a:avLst>
        </a:prstGeom>
        <a:noFill xmlns:a="http://schemas.openxmlformats.org/drawingml/2006/main"/>
        <a:ln xmlns:a="http://schemas.openxmlformats.org/drawingml/2006/main">
          <a:solidFill>
            <a:schemeClr val="accent1">
              <a:shade val="1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echi emmanuel" refreshedDate="46078.416005324078" createdVersion="8" refreshedVersion="8" minRefreshableVersion="3" recordCount="998" xr:uid="{8823FD0B-FEB8-E044-90E4-F5CDC0FA7C21}">
  <cacheSource type="worksheet">
    <worksheetSource name="Table1"/>
  </cacheSource>
  <cacheFields count="18">
    <cacheField name="OrderID" numFmtId="0">
      <sharedItems/>
    </cacheField>
    <cacheField name="OrderDate" numFmtId="14">
      <sharedItems containsSemiMixedTypes="0" containsNonDate="0" containsDate="1" containsString="0" minDate="2023-01-01T00:00:00" maxDate="2024-02-06T00:00:00"/>
    </cacheField>
    <cacheField name="Region" numFmtId="0">
      <sharedItems count="6">
        <s v="North"/>
        <s v="Abuja Central"/>
        <s v="West"/>
        <s v="East"/>
        <s v="South"/>
        <s v="Lagos"/>
      </sharedItems>
    </cacheField>
    <cacheField name="SalesRep" numFmtId="0">
      <sharedItems count="6">
        <s v="Chen Wei"/>
        <s v="John Doe"/>
        <s v="Aisha Bello"/>
        <s v="Unassigned"/>
        <s v="Mary Johnson"/>
        <s v="David Smith"/>
      </sharedItems>
    </cacheField>
    <cacheField name="Product" numFmtId="0">
      <sharedItems count="7">
        <s v="Smartphone"/>
        <s v="Laptop "/>
        <s v="Rice Bag"/>
        <s v="Television"/>
        <s v="Laptop"/>
        <s v="Microwave"/>
        <s v="Headphones"/>
      </sharedItems>
    </cacheField>
    <cacheField name="Category" numFmtId="0">
      <sharedItems/>
    </cacheField>
    <cacheField name="UnitsSold" numFmtId="0">
      <sharedItems containsSemiMixedTypes="0" containsString="0" containsNumber="1" containsInteger="1" minValue="0" maxValue="20"/>
    </cacheField>
    <cacheField name="Cost" numFmtId="0">
      <sharedItems containsSemiMixedTypes="0" containsString="0" containsNumber="1" minValue="0" maxValue="26360.200999999997"/>
    </cacheField>
    <cacheField name="UnitPrice" numFmtId="0">
      <sharedItems containsSemiMixedTypes="0" containsString="0" containsNumber="1" minValue="30.2" maxValue="1992.8"/>
    </cacheField>
    <cacheField name="Discount" numFmtId="0">
      <sharedItems containsSemiMixedTypes="0" containsString="0" containsNumber="1" minValue="0" maxValue="0.3"/>
    </cacheField>
    <cacheField name="PaymentMethod" numFmtId="0">
      <sharedItems/>
    </cacheField>
    <cacheField name="OrderStatus" numFmtId="0">
      <sharedItems count="5">
        <s v="Returned"/>
        <s v="Cancelled"/>
        <s v="Completed "/>
        <s v="Completed"/>
        <s v="Pending"/>
      </sharedItems>
    </cacheField>
    <cacheField name="Revenue" numFmtId="1">
      <sharedItems containsSemiMixedTypes="0" containsString="0" containsNumber="1" minValue="0" maxValue="34021.97"/>
    </cacheField>
    <cacheField name="Month" numFmtId="0">
      <sharedItems count="12">
        <s v="February"/>
        <s v="January"/>
        <s v="November"/>
        <s v="August"/>
        <s v="July"/>
        <s v="March"/>
        <s v="October"/>
        <s v="May"/>
        <s v="April"/>
        <s v="September"/>
        <s v="December"/>
        <s v="June"/>
      </sharedItems>
    </cacheField>
    <cacheField name="Year" numFmtId="0">
      <sharedItems count="2">
        <s v="2023"/>
        <s v="2024"/>
      </sharedItems>
    </cacheField>
    <cacheField name="Profit" numFmtId="1">
      <sharedItems containsSemiMixedTypes="0" containsString="0" containsNumber="1" minValue="0" maxValue="10206.591"/>
    </cacheField>
    <cacheField name="Profit Margin" numFmtId="9">
      <sharedItems containsSemiMixedTypes="0" containsString="0" containsNumber="1" minValue="0" maxValue="0.3000000000000001"/>
    </cacheField>
    <cacheField name="Overrall Profit margin" numFmtId="0" formula="Profit/Revenue" databaseField="0"/>
  </cacheFields>
  <extLst>
    <ext xmlns:x14="http://schemas.microsoft.com/office/spreadsheetml/2009/9/main" uri="{725AE2AE-9491-48be-B2B4-4EB974FC3084}">
      <x14:pivotCacheDefinition pivotCacheId="1808949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
  <r>
    <s v="ORD1063"/>
    <d v="2023-02-27T00:00:00"/>
    <x v="0"/>
    <x v="0"/>
    <x v="0"/>
    <s v="Electronics"/>
    <n v="8"/>
    <n v="5616.0743829787234"/>
    <n v="1002.870425531915"/>
    <n v="0"/>
    <s v="Cash"/>
    <x v="0"/>
    <n v="8022.9634042553198"/>
    <x v="0"/>
    <x v="0"/>
    <n v="2406.8890212765964"/>
    <n v="0.30000000000000004"/>
  </r>
  <r>
    <s v="ORD1008"/>
    <d v="2023-01-17T00:00:00"/>
    <x v="0"/>
    <x v="1"/>
    <x v="1"/>
    <s v="Electronics"/>
    <n v="0"/>
    <n v="0"/>
    <n v="62.81"/>
    <n v="0"/>
    <s v="Pos"/>
    <x v="1"/>
    <n v="0"/>
    <x v="1"/>
    <x v="0"/>
    <n v="0"/>
    <n v="0"/>
  </r>
  <r>
    <s v="ORD975"/>
    <d v="2023-11-18T00:00:00"/>
    <x v="1"/>
    <x v="2"/>
    <x v="1"/>
    <s v="Electronics"/>
    <n v="0"/>
    <n v="0"/>
    <n v="981.36020408163256"/>
    <n v="0.3"/>
    <s v="Cash"/>
    <x v="1"/>
    <n v="0"/>
    <x v="2"/>
    <x v="0"/>
    <n v="0"/>
    <n v="0"/>
  </r>
  <r>
    <s v="ORD971"/>
    <d v="2023-08-21T00:00:00"/>
    <x v="1"/>
    <x v="1"/>
    <x v="0"/>
    <s v="Electronics"/>
    <n v="0"/>
    <n v="0"/>
    <n v="1002.870425531915"/>
    <n v="0"/>
    <s v="Unknown"/>
    <x v="2"/>
    <n v="0"/>
    <x v="3"/>
    <x v="0"/>
    <n v="0"/>
    <n v="0"/>
  </r>
  <r>
    <s v="ORD1036"/>
    <d v="2024-01-09T00:00:00"/>
    <x v="2"/>
    <x v="1"/>
    <x v="2"/>
    <s v="Groceries"/>
    <n v="0"/>
    <n v="0"/>
    <n v="1379.44"/>
    <n v="0.21"/>
    <s v="Cash"/>
    <x v="3"/>
    <n v="0"/>
    <x v="1"/>
    <x v="1"/>
    <n v="0"/>
    <n v="0"/>
  </r>
  <r>
    <s v="ORD980"/>
    <d v="2023-07-25T00:00:00"/>
    <x v="3"/>
    <x v="1"/>
    <x v="1"/>
    <s v="Electronics"/>
    <n v="11"/>
    <n v="7556.4735714285707"/>
    <n v="981.36020408163256"/>
    <n v="0"/>
    <s v="Transfer"/>
    <x v="2"/>
    <n v="10794.962244897959"/>
    <x v="4"/>
    <x v="0"/>
    <n v="3238.4886734693882"/>
    <n v="0.30000000000000004"/>
  </r>
  <r>
    <s v="ORD967"/>
    <d v="2023-03-13T00:00:00"/>
    <x v="2"/>
    <x v="0"/>
    <x v="3"/>
    <s v="Electronics"/>
    <n v="0"/>
    <n v="0"/>
    <n v="1079.5765957446808"/>
    <n v="0.12"/>
    <s v="Cash"/>
    <x v="0"/>
    <n v="0"/>
    <x v="5"/>
    <x v="0"/>
    <n v="0"/>
    <n v="0"/>
  </r>
  <r>
    <s v="ORD1026"/>
    <d v="2023-02-16T00:00:00"/>
    <x v="0"/>
    <x v="3"/>
    <x v="4"/>
    <s v="Electronics"/>
    <n v="0"/>
    <n v="0"/>
    <n v="850.1"/>
    <n v="0"/>
    <s v="Transfer"/>
    <x v="0"/>
    <n v="0"/>
    <x v="0"/>
    <x v="0"/>
    <n v="0"/>
    <n v="0"/>
  </r>
  <r>
    <s v="ORD964"/>
    <d v="2023-10-11T00:00:00"/>
    <x v="0"/>
    <x v="0"/>
    <x v="5"/>
    <s v="Home Appliances"/>
    <n v="0"/>
    <n v="0"/>
    <n v="1017.3087234042553"/>
    <n v="0"/>
    <s v="Cash"/>
    <x v="1"/>
    <n v="0"/>
    <x v="6"/>
    <x v="0"/>
    <n v="0"/>
    <n v="0"/>
  </r>
  <r>
    <s v="ORD900"/>
    <d v="2024-01-05T00:00:00"/>
    <x v="3"/>
    <x v="2"/>
    <x v="6"/>
    <s v="Electronics"/>
    <n v="17"/>
    <n v="11436.573661016948"/>
    <n v="961.05661016949136"/>
    <n v="0"/>
    <s v="Pos"/>
    <x v="2"/>
    <n v="16337.962372881353"/>
    <x v="1"/>
    <x v="1"/>
    <n v="4901.3887118644052"/>
    <n v="0.30000000000000004"/>
  </r>
  <r>
    <s v="ORD939"/>
    <d v="2023-07-11T00:00:00"/>
    <x v="4"/>
    <x v="2"/>
    <x v="6"/>
    <s v="Electronics"/>
    <n v="0"/>
    <n v="0"/>
    <n v="655.07000000000005"/>
    <n v="0"/>
    <s v="Card"/>
    <x v="2"/>
    <n v="0"/>
    <x v="4"/>
    <x v="0"/>
    <n v="0"/>
    <n v="0"/>
  </r>
  <r>
    <s v="ORD914"/>
    <d v="2023-05-04T00:00:00"/>
    <x v="0"/>
    <x v="1"/>
    <x v="5"/>
    <s v="Home Appliances"/>
    <n v="0"/>
    <n v="0"/>
    <n v="1534.01"/>
    <n v="0"/>
    <s v="Cash"/>
    <x v="4"/>
    <n v="0"/>
    <x v="7"/>
    <x v="0"/>
    <n v="0"/>
    <n v="0"/>
  </r>
  <r>
    <s v="ORD1035"/>
    <d v="2023-11-07T00:00:00"/>
    <x v="5"/>
    <x v="1"/>
    <x v="3"/>
    <s v="Electronics"/>
    <n v="0"/>
    <n v="0"/>
    <n v="1079.5765957446808"/>
    <n v="0"/>
    <s v="Transfer"/>
    <x v="3"/>
    <n v="0"/>
    <x v="2"/>
    <x v="0"/>
    <n v="0"/>
    <n v="0"/>
  </r>
  <r>
    <s v="ORD963"/>
    <d v="2023-04-26T00:00:00"/>
    <x v="0"/>
    <x v="4"/>
    <x v="4"/>
    <s v="Electronics"/>
    <n v="18"/>
    <n v="14880.599999999999"/>
    <n v="1181"/>
    <n v="0"/>
    <s v="Cash"/>
    <x v="2"/>
    <n v="21258"/>
    <x v="8"/>
    <x v="0"/>
    <n v="6377.4000000000015"/>
    <n v="0.30000000000000004"/>
  </r>
  <r>
    <s v="ORD917"/>
    <d v="2023-01-17T00:00:00"/>
    <x v="1"/>
    <x v="1"/>
    <x v="3"/>
    <s v="Electronics"/>
    <n v="0"/>
    <n v="0"/>
    <n v="1079.5765957446808"/>
    <n v="0"/>
    <s v="Pos"/>
    <x v="1"/>
    <n v="0"/>
    <x v="1"/>
    <x v="0"/>
    <n v="0"/>
    <n v="0"/>
  </r>
  <r>
    <s v="ORD962"/>
    <d v="2023-08-31T00:00:00"/>
    <x v="5"/>
    <x v="1"/>
    <x v="4"/>
    <s v="Electronics"/>
    <n v="0"/>
    <n v="0"/>
    <n v="1106.0261904761899"/>
    <n v="0.26"/>
    <s v="Unknown"/>
    <x v="3"/>
    <n v="0"/>
    <x v="3"/>
    <x v="0"/>
    <n v="0"/>
    <n v="0"/>
  </r>
  <r>
    <s v="ORD915"/>
    <d v="2023-07-26T00:00:00"/>
    <x v="1"/>
    <x v="3"/>
    <x v="6"/>
    <s v="Electronics"/>
    <n v="8"/>
    <n v="5381.9170169491517"/>
    <n v="961.05661016949136"/>
    <n v="0.04"/>
    <s v="Card"/>
    <x v="1"/>
    <n v="7380.9147661016932"/>
    <x v="4"/>
    <x v="0"/>
    <n v="1998.9977491525415"/>
    <n v="0.27083333333333326"/>
  </r>
  <r>
    <s v="ORD963"/>
    <d v="2023-02-08T00:00:00"/>
    <x v="5"/>
    <x v="3"/>
    <x v="6"/>
    <s v="Electronics"/>
    <n v="4"/>
    <n v="2690.9585084745759"/>
    <n v="961.05661016949136"/>
    <n v="0.25"/>
    <s v="Cash"/>
    <x v="2"/>
    <n v="2883.1698305084742"/>
    <x v="0"/>
    <x v="0"/>
    <n v="192.21132203389834"/>
    <n v="6.6666666666666693E-2"/>
  </r>
  <r>
    <s v="ORD1004"/>
    <d v="2023-09-06T00:00:00"/>
    <x v="5"/>
    <x v="1"/>
    <x v="6"/>
    <s v="Electronics"/>
    <n v="2"/>
    <n v="1345.4792542372879"/>
    <n v="961.05661016949136"/>
    <n v="0"/>
    <s v="Card"/>
    <x v="1"/>
    <n v="1922.1132203389827"/>
    <x v="9"/>
    <x v="0"/>
    <n v="576.6339661016948"/>
    <n v="0.3"/>
  </r>
  <r>
    <s v="ORD1078"/>
    <d v="2024-01-10T00:00:00"/>
    <x v="5"/>
    <x v="1"/>
    <x v="1"/>
    <s v="Electronics"/>
    <n v="7"/>
    <n v="4808.665"/>
    <n v="981.36020408163256"/>
    <n v="0"/>
    <s v="Cash"/>
    <x v="3"/>
    <n v="6869.5214285714283"/>
    <x v="1"/>
    <x v="1"/>
    <n v="2060.8564285714283"/>
    <n v="0.3000000000000001"/>
  </r>
  <r>
    <s v="ORD1049"/>
    <d v="2023-09-02T00:00:00"/>
    <x v="4"/>
    <x v="1"/>
    <x v="3"/>
    <s v="Electronics"/>
    <n v="6"/>
    <n v="4534.2217021276592"/>
    <n v="1079.5765957446808"/>
    <n v="0"/>
    <s v="Cash"/>
    <x v="0"/>
    <n v="6477.4595744680846"/>
    <x v="9"/>
    <x v="0"/>
    <n v="1943.2378723404254"/>
    <n v="0.3"/>
  </r>
  <r>
    <s v="ORD963"/>
    <d v="2023-10-24T00:00:00"/>
    <x v="0"/>
    <x v="2"/>
    <x v="4"/>
    <s v="Electronics"/>
    <n v="0"/>
    <n v="0"/>
    <n v="1106.0261904761899"/>
    <n v="0"/>
    <s v="Card"/>
    <x v="2"/>
    <n v="0"/>
    <x v="6"/>
    <x v="0"/>
    <n v="0"/>
    <n v="0"/>
  </r>
  <r>
    <s v="ORD967"/>
    <d v="2023-07-22T00:00:00"/>
    <x v="4"/>
    <x v="0"/>
    <x v="5"/>
    <s v="Home Appliances"/>
    <n v="0"/>
    <n v="0"/>
    <n v="1858.75"/>
    <n v="0"/>
    <s v="Pos"/>
    <x v="3"/>
    <n v="0"/>
    <x v="4"/>
    <x v="0"/>
    <n v="0"/>
    <n v="0"/>
  </r>
  <r>
    <s v="ORD918"/>
    <d v="2023-10-03T00:00:00"/>
    <x v="2"/>
    <x v="2"/>
    <x v="0"/>
    <s v="Electronics"/>
    <n v="12"/>
    <n v="8424.1115744680847"/>
    <n v="1002.870425531915"/>
    <n v="0"/>
    <s v="Pos"/>
    <x v="4"/>
    <n v="12034.44510638298"/>
    <x v="6"/>
    <x v="0"/>
    <n v="3610.3335319148955"/>
    <n v="0.3"/>
  </r>
  <r>
    <s v="ORD1056"/>
    <d v="2023-12-01T00:00:00"/>
    <x v="0"/>
    <x v="0"/>
    <x v="6"/>
    <s v="Electronics"/>
    <n v="0"/>
    <n v="0"/>
    <n v="216.14"/>
    <n v="0.08"/>
    <s v="Unknown"/>
    <x v="0"/>
    <n v="0"/>
    <x v="10"/>
    <x v="0"/>
    <n v="0"/>
    <n v="0"/>
  </r>
  <r>
    <s v="ORD939"/>
    <d v="2023-05-20T00:00:00"/>
    <x v="3"/>
    <x v="2"/>
    <x v="1"/>
    <s v="Electronics"/>
    <n v="0"/>
    <n v="0"/>
    <n v="981.36020408163256"/>
    <n v="0"/>
    <s v="Cash"/>
    <x v="3"/>
    <n v="0"/>
    <x v="7"/>
    <x v="0"/>
    <n v="0"/>
    <n v="0"/>
  </r>
  <r>
    <s v="ORD1062"/>
    <d v="2023-08-05T00:00:00"/>
    <x v="3"/>
    <x v="1"/>
    <x v="4"/>
    <s v="Electronics"/>
    <n v="0"/>
    <n v="0"/>
    <n v="1959.8"/>
    <n v="0"/>
    <s v="Unknown"/>
    <x v="1"/>
    <n v="0"/>
    <x v="3"/>
    <x v="0"/>
    <n v="0"/>
    <n v="0"/>
  </r>
  <r>
    <s v="ORD1043"/>
    <d v="2023-01-05T00:00:00"/>
    <x v="0"/>
    <x v="1"/>
    <x v="5"/>
    <s v="Home Appliances"/>
    <n v="18"/>
    <n v="12818.089914893615"/>
    <n v="1017.3087234042553"/>
    <n v="0"/>
    <s v="Cash"/>
    <x v="3"/>
    <n v="18311.557021276596"/>
    <x v="1"/>
    <x v="0"/>
    <n v="5493.467106382981"/>
    <n v="0.30000000000000004"/>
  </r>
  <r>
    <s v="ORD978"/>
    <d v="2023-07-06T00:00:00"/>
    <x v="0"/>
    <x v="4"/>
    <x v="1"/>
    <s v="Electronics"/>
    <n v="0"/>
    <n v="0"/>
    <n v="981.36020408163256"/>
    <n v="0"/>
    <s v="Cash"/>
    <x v="2"/>
    <n v="0"/>
    <x v="4"/>
    <x v="0"/>
    <n v="0"/>
    <n v="0"/>
  </r>
  <r>
    <s v="ORD941"/>
    <d v="2023-04-01T00:00:00"/>
    <x v="5"/>
    <x v="1"/>
    <x v="1"/>
    <s v="Electronics"/>
    <n v="0"/>
    <n v="0"/>
    <n v="1729.49"/>
    <n v="0"/>
    <s v="Cash"/>
    <x v="1"/>
    <n v="0"/>
    <x v="8"/>
    <x v="0"/>
    <n v="0"/>
    <n v="0"/>
  </r>
  <r>
    <s v="ORD909"/>
    <d v="2023-08-29T00:00:00"/>
    <x v="2"/>
    <x v="1"/>
    <x v="6"/>
    <s v="Electronics"/>
    <n v="0"/>
    <n v="0"/>
    <n v="1642.87"/>
    <n v="0"/>
    <s v="Cash"/>
    <x v="1"/>
    <n v="0"/>
    <x v="3"/>
    <x v="0"/>
    <n v="0"/>
    <n v="0"/>
  </r>
  <r>
    <s v="ORD984"/>
    <d v="2023-05-23T00:00:00"/>
    <x v="0"/>
    <x v="3"/>
    <x v="0"/>
    <s v="Electronics"/>
    <n v="0"/>
    <n v="0"/>
    <n v="1002.870425531915"/>
    <n v="0.1"/>
    <s v="Cash"/>
    <x v="4"/>
    <n v="0"/>
    <x v="7"/>
    <x v="0"/>
    <n v="0"/>
    <n v="0"/>
  </r>
  <r>
    <s v="ORD945"/>
    <d v="2023-10-25T00:00:00"/>
    <x v="3"/>
    <x v="1"/>
    <x v="4"/>
    <s v="Electronics"/>
    <n v="0"/>
    <n v="0"/>
    <n v="1106.0261904761899"/>
    <n v="0"/>
    <s v="Cash"/>
    <x v="1"/>
    <n v="0"/>
    <x v="6"/>
    <x v="0"/>
    <n v="0"/>
    <n v="0"/>
  </r>
  <r>
    <s v="ORD1047"/>
    <d v="2023-04-08T00:00:00"/>
    <x v="3"/>
    <x v="1"/>
    <x v="5"/>
    <s v="Home Appliances"/>
    <n v="0"/>
    <n v="0"/>
    <n v="1017.3087234042553"/>
    <n v="0"/>
    <s v="Unknown"/>
    <x v="2"/>
    <n v="0"/>
    <x v="8"/>
    <x v="0"/>
    <n v="0"/>
    <n v="0"/>
  </r>
  <r>
    <s v="ORD993"/>
    <d v="2023-08-09T00:00:00"/>
    <x v="0"/>
    <x v="0"/>
    <x v="0"/>
    <s v="Electronics"/>
    <n v="0"/>
    <n v="0"/>
    <n v="1002.870425531915"/>
    <n v="0"/>
    <s v="Card"/>
    <x v="1"/>
    <n v="0"/>
    <x v="3"/>
    <x v="0"/>
    <n v="0"/>
    <n v="0"/>
  </r>
  <r>
    <s v="ORD983"/>
    <d v="2023-07-26T00:00:00"/>
    <x v="3"/>
    <x v="2"/>
    <x v="1"/>
    <s v="Electronics"/>
    <n v="0"/>
    <n v="0"/>
    <n v="981.36020408163256"/>
    <n v="0.22"/>
    <s v="Pos"/>
    <x v="0"/>
    <n v="0"/>
    <x v="4"/>
    <x v="0"/>
    <n v="0"/>
    <n v="0"/>
  </r>
  <r>
    <s v="ORD977"/>
    <d v="2023-07-27T00:00:00"/>
    <x v="0"/>
    <x v="4"/>
    <x v="0"/>
    <s v="Electronics"/>
    <n v="0"/>
    <n v="0"/>
    <n v="1002.870425531915"/>
    <n v="0"/>
    <s v="Unknown"/>
    <x v="2"/>
    <n v="0"/>
    <x v="4"/>
    <x v="0"/>
    <n v="0"/>
    <n v="0"/>
  </r>
  <r>
    <s v="ORD1030"/>
    <d v="2023-08-31T00:00:00"/>
    <x v="4"/>
    <x v="0"/>
    <x v="4"/>
    <s v="Electronics"/>
    <n v="0"/>
    <n v="0"/>
    <n v="1106.0261904761899"/>
    <n v="0.03"/>
    <s v="Unknown"/>
    <x v="4"/>
    <n v="0"/>
    <x v="3"/>
    <x v="0"/>
    <n v="0"/>
    <n v="0"/>
  </r>
  <r>
    <s v="ORD957"/>
    <d v="2023-04-12T00:00:00"/>
    <x v="4"/>
    <x v="1"/>
    <x v="4"/>
    <s v="Electronics"/>
    <n v="0"/>
    <n v="0"/>
    <n v="1700.98"/>
    <n v="0"/>
    <s v="Pos"/>
    <x v="2"/>
    <n v="0"/>
    <x v="8"/>
    <x v="0"/>
    <n v="0"/>
    <n v="0"/>
  </r>
  <r>
    <s v="ORD1083"/>
    <d v="2023-12-23T00:00:00"/>
    <x v="5"/>
    <x v="5"/>
    <x v="2"/>
    <s v="Groceries"/>
    <n v="0"/>
    <n v="0"/>
    <n v="1378.37"/>
    <n v="0.23"/>
    <s v="Cash"/>
    <x v="0"/>
    <n v="0"/>
    <x v="10"/>
    <x v="0"/>
    <n v="0"/>
    <n v="0"/>
  </r>
  <r>
    <s v="ORD1018"/>
    <d v="2023-01-26T00:00:00"/>
    <x v="2"/>
    <x v="3"/>
    <x v="4"/>
    <s v="Electronics"/>
    <n v="0"/>
    <n v="0"/>
    <n v="1106.0261904761899"/>
    <n v="0"/>
    <s v="Pos"/>
    <x v="0"/>
    <n v="0"/>
    <x v="1"/>
    <x v="0"/>
    <n v="0"/>
    <n v="0"/>
  </r>
  <r>
    <s v="ORD1009"/>
    <d v="2023-10-08T00:00:00"/>
    <x v="5"/>
    <x v="1"/>
    <x v="5"/>
    <s v="Home Appliances"/>
    <n v="0"/>
    <n v="0"/>
    <n v="1017.3087234042553"/>
    <n v="0"/>
    <s v="Transfer"/>
    <x v="2"/>
    <n v="0"/>
    <x v="6"/>
    <x v="0"/>
    <n v="0"/>
    <n v="0"/>
  </r>
  <r>
    <s v="ORD970"/>
    <d v="2023-08-14T00:00:00"/>
    <x v="0"/>
    <x v="0"/>
    <x v="0"/>
    <s v="Electronics"/>
    <n v="0"/>
    <n v="0"/>
    <n v="1002.870425531915"/>
    <n v="0.02"/>
    <s v="Cash"/>
    <x v="1"/>
    <n v="0"/>
    <x v="3"/>
    <x v="0"/>
    <n v="0"/>
    <n v="0"/>
  </r>
  <r>
    <s v="ORD1077"/>
    <d v="2023-03-20T00:00:00"/>
    <x v="2"/>
    <x v="1"/>
    <x v="2"/>
    <s v="Groceries"/>
    <n v="0"/>
    <n v="0"/>
    <n v="937.19"/>
    <n v="0"/>
    <s v="Transfer"/>
    <x v="0"/>
    <n v="0"/>
    <x v="5"/>
    <x v="0"/>
    <n v="0"/>
    <n v="0"/>
  </r>
  <r>
    <s v="ORD1078"/>
    <d v="2023-01-11T00:00:00"/>
    <x v="5"/>
    <x v="5"/>
    <x v="4"/>
    <s v="Electronics"/>
    <n v="0"/>
    <n v="0"/>
    <n v="1106.0261904761899"/>
    <n v="0"/>
    <s v="Pos"/>
    <x v="0"/>
    <n v="0"/>
    <x v="1"/>
    <x v="0"/>
    <n v="0"/>
    <n v="0"/>
  </r>
  <r>
    <s v="ORD956"/>
    <d v="2023-09-07T00:00:00"/>
    <x v="2"/>
    <x v="4"/>
    <x v="2"/>
    <s v="Groceries"/>
    <n v="0"/>
    <n v="0"/>
    <n v="936.79681818181825"/>
    <n v="0"/>
    <s v="Cash"/>
    <x v="1"/>
    <n v="0"/>
    <x v="9"/>
    <x v="0"/>
    <n v="0"/>
    <n v="0"/>
  </r>
  <r>
    <s v="ORD932"/>
    <d v="2023-11-15T00:00:00"/>
    <x v="0"/>
    <x v="5"/>
    <x v="3"/>
    <s v="Electronics"/>
    <n v="1"/>
    <n v="902.34899999999993"/>
    <n v="1289.07"/>
    <n v="0.26"/>
    <s v="Cash"/>
    <x v="4"/>
    <n v="953.91179999999997"/>
    <x v="2"/>
    <x v="0"/>
    <n v="51.562800000000038"/>
    <n v="5.4054054054054099E-2"/>
  </r>
  <r>
    <s v="ORD997"/>
    <d v="2023-06-17T00:00:00"/>
    <x v="2"/>
    <x v="5"/>
    <x v="0"/>
    <s v="Electronics"/>
    <n v="0"/>
    <n v="0"/>
    <n v="1002.870425531915"/>
    <n v="0.08"/>
    <s v="Transfer"/>
    <x v="3"/>
    <n v="0"/>
    <x v="11"/>
    <x v="0"/>
    <n v="0"/>
    <n v="0"/>
  </r>
  <r>
    <s v="ORD1091"/>
    <d v="2023-10-04T00:00:00"/>
    <x v="0"/>
    <x v="4"/>
    <x v="1"/>
    <s v="Electronics"/>
    <n v="2"/>
    <n v="2659.6219999999998"/>
    <n v="1899.73"/>
    <n v="0"/>
    <s v="Cash"/>
    <x v="2"/>
    <n v="3799.46"/>
    <x v="6"/>
    <x v="0"/>
    <n v="1139.8380000000002"/>
    <n v="0.30000000000000004"/>
  </r>
  <r>
    <s v="ORD932"/>
    <d v="2023-08-31T00:00:00"/>
    <x v="0"/>
    <x v="2"/>
    <x v="1"/>
    <s v="Electronics"/>
    <n v="0"/>
    <n v="0"/>
    <n v="981.36020408163256"/>
    <n v="0"/>
    <s v="Cash"/>
    <x v="2"/>
    <n v="0"/>
    <x v="3"/>
    <x v="0"/>
    <n v="0"/>
    <n v="0"/>
  </r>
  <r>
    <s v="ORD979"/>
    <d v="2023-02-25T00:00:00"/>
    <x v="0"/>
    <x v="4"/>
    <x v="3"/>
    <s v="Electronics"/>
    <n v="0"/>
    <n v="0"/>
    <n v="1079.5765957446808"/>
    <n v="0"/>
    <s v="Cash"/>
    <x v="3"/>
    <n v="0"/>
    <x v="0"/>
    <x v="0"/>
    <n v="0"/>
    <n v="0"/>
  </r>
  <r>
    <s v="ORD1078"/>
    <d v="2024-01-31T00:00:00"/>
    <x v="3"/>
    <x v="3"/>
    <x v="5"/>
    <s v="Home Appliances"/>
    <n v="0"/>
    <n v="0"/>
    <n v="1017.3087234042553"/>
    <n v="0"/>
    <s v="Card"/>
    <x v="3"/>
    <n v="0"/>
    <x v="1"/>
    <x v="1"/>
    <n v="0"/>
    <n v="0"/>
  </r>
  <r>
    <s v="ORD1029"/>
    <d v="2023-11-28T00:00:00"/>
    <x v="1"/>
    <x v="1"/>
    <x v="6"/>
    <s v="Electronics"/>
    <n v="16"/>
    <n v="10763.834033898303"/>
    <n v="961.05661016949136"/>
    <n v="0"/>
    <s v="Unknown"/>
    <x v="2"/>
    <n v="15376.905762711862"/>
    <x v="2"/>
    <x v="0"/>
    <n v="4613.0717288135584"/>
    <n v="0.3"/>
  </r>
  <r>
    <s v="ORD1011"/>
    <d v="2023-04-01T00:00:00"/>
    <x v="3"/>
    <x v="2"/>
    <x v="6"/>
    <s v="Electronics"/>
    <n v="0"/>
    <n v="0"/>
    <n v="961.05661016949136"/>
    <n v="0"/>
    <s v="Cash"/>
    <x v="3"/>
    <n v="0"/>
    <x v="8"/>
    <x v="0"/>
    <n v="0"/>
    <n v="0"/>
  </r>
  <r>
    <s v="ORD971"/>
    <d v="2023-08-19T00:00:00"/>
    <x v="2"/>
    <x v="3"/>
    <x v="2"/>
    <s v="Groceries"/>
    <n v="0"/>
    <n v="0"/>
    <n v="764.19"/>
    <n v="0"/>
    <s v="Cash"/>
    <x v="1"/>
    <n v="0"/>
    <x v="3"/>
    <x v="0"/>
    <n v="0"/>
    <n v="0"/>
  </r>
  <r>
    <s v="ORD954"/>
    <d v="2023-07-01T00:00:00"/>
    <x v="3"/>
    <x v="4"/>
    <x v="0"/>
    <s v="Electronics"/>
    <n v="0"/>
    <n v="0"/>
    <n v="30.2"/>
    <n v="0"/>
    <s v="Transfer"/>
    <x v="1"/>
    <n v="0"/>
    <x v="4"/>
    <x v="0"/>
    <n v="0"/>
    <n v="0"/>
  </r>
  <r>
    <s v="ORD1042"/>
    <d v="2024-01-24T00:00:00"/>
    <x v="2"/>
    <x v="0"/>
    <x v="2"/>
    <s v="Groceries"/>
    <n v="15"/>
    <n v="2049.39"/>
    <n v="195.18"/>
    <n v="0.12"/>
    <s v="Card"/>
    <x v="0"/>
    <n v="2576.3760000000002"/>
    <x v="1"/>
    <x v="1"/>
    <n v="526.98600000000033"/>
    <n v="0.20454545454545467"/>
  </r>
  <r>
    <s v="ORD994"/>
    <d v="2023-08-31T00:00:00"/>
    <x v="1"/>
    <x v="5"/>
    <x v="5"/>
    <s v="Home Appliances"/>
    <n v="0"/>
    <n v="0"/>
    <n v="1017.3087234042553"/>
    <n v="0.09"/>
    <s v="Cash"/>
    <x v="2"/>
    <n v="0"/>
    <x v="3"/>
    <x v="0"/>
    <n v="0"/>
    <n v="0"/>
  </r>
  <r>
    <s v="ORD980"/>
    <d v="2023-03-03T00:00:00"/>
    <x v="4"/>
    <x v="1"/>
    <x v="1"/>
    <s v="Electronics"/>
    <n v="0"/>
    <n v="0"/>
    <n v="981.36020408163256"/>
    <n v="0.18"/>
    <s v="Cash"/>
    <x v="4"/>
    <n v="0"/>
    <x v="5"/>
    <x v="0"/>
    <n v="0"/>
    <n v="0"/>
  </r>
  <r>
    <s v="ORD958"/>
    <d v="2023-07-04T00:00:00"/>
    <x v="4"/>
    <x v="4"/>
    <x v="4"/>
    <s v="Electronics"/>
    <n v="0"/>
    <n v="0"/>
    <n v="100.58"/>
    <n v="0"/>
    <s v="Cash"/>
    <x v="1"/>
    <n v="0"/>
    <x v="4"/>
    <x v="0"/>
    <n v="0"/>
    <n v="0"/>
  </r>
  <r>
    <s v="ORD926"/>
    <d v="2023-01-07T00:00:00"/>
    <x v="3"/>
    <x v="5"/>
    <x v="2"/>
    <s v="Groceries"/>
    <n v="11"/>
    <n v="7213.3355000000001"/>
    <n v="936.79681818181825"/>
    <n v="0"/>
    <s v="Cash"/>
    <x v="3"/>
    <n v="10304.765000000001"/>
    <x v="1"/>
    <x v="0"/>
    <n v="3091.4295000000011"/>
    <n v="0.30000000000000004"/>
  </r>
  <r>
    <s v="ORD1002"/>
    <d v="2023-09-09T00:00:00"/>
    <x v="0"/>
    <x v="2"/>
    <x v="5"/>
    <s v="Home Appliances"/>
    <n v="5"/>
    <n v="3560.5805319148931"/>
    <n v="1017.3087234042553"/>
    <n v="0.03"/>
    <s v="Cash"/>
    <x v="0"/>
    <n v="4933.9473085106374"/>
    <x v="9"/>
    <x v="0"/>
    <n v="1373.3667765957443"/>
    <n v="0.27835051546391748"/>
  </r>
  <r>
    <s v="ORD1095"/>
    <d v="2023-08-02T00:00:00"/>
    <x v="2"/>
    <x v="3"/>
    <x v="3"/>
    <s v="Electronics"/>
    <n v="0"/>
    <n v="0"/>
    <n v="1079.5765957446808"/>
    <n v="0"/>
    <s v="Pos"/>
    <x v="0"/>
    <n v="0"/>
    <x v="3"/>
    <x v="0"/>
    <n v="0"/>
    <n v="0"/>
  </r>
  <r>
    <s v="ORD915"/>
    <d v="2023-11-09T00:00:00"/>
    <x v="0"/>
    <x v="3"/>
    <x v="1"/>
    <s v="Electronics"/>
    <n v="0"/>
    <n v="0"/>
    <n v="171.56"/>
    <n v="0.05"/>
    <s v="Cash"/>
    <x v="3"/>
    <n v="0"/>
    <x v="2"/>
    <x v="0"/>
    <n v="0"/>
    <n v="0"/>
  </r>
  <r>
    <s v="ORD1004"/>
    <d v="2023-08-19T00:00:00"/>
    <x v="5"/>
    <x v="4"/>
    <x v="4"/>
    <s v="Electronics"/>
    <n v="0"/>
    <n v="0"/>
    <n v="1106.0261904761899"/>
    <n v="0.02"/>
    <s v="Card"/>
    <x v="0"/>
    <n v="0"/>
    <x v="3"/>
    <x v="0"/>
    <n v="0"/>
    <n v="0"/>
  </r>
  <r>
    <s v="ORD1069"/>
    <d v="2023-04-12T00:00:00"/>
    <x v="5"/>
    <x v="1"/>
    <x v="3"/>
    <s v="Electronics"/>
    <n v="0"/>
    <n v="0"/>
    <n v="1655"/>
    <n v="0"/>
    <s v="Pos"/>
    <x v="0"/>
    <n v="0"/>
    <x v="8"/>
    <x v="0"/>
    <n v="0"/>
    <n v="0"/>
  </r>
  <r>
    <s v="ORD973"/>
    <d v="2023-08-13T00:00:00"/>
    <x v="0"/>
    <x v="5"/>
    <x v="5"/>
    <s v="Home Appliances"/>
    <n v="0"/>
    <n v="0"/>
    <n v="1017.3087234042553"/>
    <n v="0"/>
    <s v="Cash"/>
    <x v="1"/>
    <n v="0"/>
    <x v="3"/>
    <x v="0"/>
    <n v="0"/>
    <n v="0"/>
  </r>
  <r>
    <s v="ORD1088"/>
    <d v="2023-06-15T00:00:00"/>
    <x v="3"/>
    <x v="1"/>
    <x v="4"/>
    <s v="Electronics"/>
    <n v="0"/>
    <n v="0"/>
    <n v="1106.0261904761899"/>
    <n v="0"/>
    <s v="Cash"/>
    <x v="2"/>
    <n v="0"/>
    <x v="11"/>
    <x v="0"/>
    <n v="0"/>
    <n v="0"/>
  </r>
  <r>
    <s v="ORD1020"/>
    <d v="2023-09-23T00:00:00"/>
    <x v="5"/>
    <x v="4"/>
    <x v="1"/>
    <s v="Electronics"/>
    <n v="0"/>
    <n v="0"/>
    <n v="1630.35"/>
    <n v="0"/>
    <s v="Card"/>
    <x v="4"/>
    <n v="0"/>
    <x v="9"/>
    <x v="0"/>
    <n v="0"/>
    <n v="0"/>
  </r>
  <r>
    <s v="ORD1071"/>
    <d v="2023-02-23T00:00:00"/>
    <x v="4"/>
    <x v="4"/>
    <x v="2"/>
    <s v="Groceries"/>
    <n v="0"/>
    <n v="0"/>
    <n v="936.79681818181825"/>
    <n v="0.01"/>
    <s v="Card"/>
    <x v="4"/>
    <n v="0"/>
    <x v="0"/>
    <x v="0"/>
    <n v="0"/>
    <n v="0"/>
  </r>
  <r>
    <s v="ORD982"/>
    <d v="2023-03-01T00:00:00"/>
    <x v="5"/>
    <x v="3"/>
    <x v="3"/>
    <s v="Electronics"/>
    <n v="0"/>
    <n v="0"/>
    <n v="832.36"/>
    <n v="0"/>
    <s v="Transfer"/>
    <x v="1"/>
    <n v="0"/>
    <x v="5"/>
    <x v="0"/>
    <n v="0"/>
    <n v="0"/>
  </r>
  <r>
    <s v="ORD1094"/>
    <d v="2023-01-27T00:00:00"/>
    <x v="2"/>
    <x v="4"/>
    <x v="3"/>
    <s v="Electronics"/>
    <n v="0"/>
    <n v="0"/>
    <n v="1079.5765957446808"/>
    <n v="0"/>
    <s v="Pos"/>
    <x v="2"/>
    <n v="0"/>
    <x v="1"/>
    <x v="0"/>
    <n v="0"/>
    <n v="0"/>
  </r>
  <r>
    <s v="ORD1081"/>
    <d v="2023-03-23T00:00:00"/>
    <x v="3"/>
    <x v="2"/>
    <x v="4"/>
    <s v="Electronics"/>
    <n v="14"/>
    <n v="4480.0699999999988"/>
    <n v="457.15"/>
    <n v="0.14000000000000001"/>
    <s v="Unknown"/>
    <x v="2"/>
    <n v="5504.0859999999993"/>
    <x v="5"/>
    <x v="0"/>
    <n v="1024.0160000000005"/>
    <n v="0.18604651162790692"/>
  </r>
  <r>
    <s v="ORD1027"/>
    <d v="2024-01-02T00:00:00"/>
    <x v="3"/>
    <x v="2"/>
    <x v="5"/>
    <s v="Home Appliances"/>
    <n v="0"/>
    <n v="0"/>
    <n v="1960.69"/>
    <n v="0.14000000000000001"/>
    <s v="Transfer"/>
    <x v="2"/>
    <n v="0"/>
    <x v="1"/>
    <x v="1"/>
    <n v="0"/>
    <n v="0"/>
  </r>
  <r>
    <s v="ORD1053"/>
    <d v="2023-09-18T00:00:00"/>
    <x v="4"/>
    <x v="3"/>
    <x v="4"/>
    <s v="Electronics"/>
    <n v="0"/>
    <n v="0"/>
    <n v="1106.0261904761899"/>
    <n v="0.08"/>
    <s v="Card"/>
    <x v="4"/>
    <n v="0"/>
    <x v="9"/>
    <x v="0"/>
    <n v="0"/>
    <n v="0"/>
  </r>
  <r>
    <s v="ORD1050"/>
    <d v="2023-10-24T00:00:00"/>
    <x v="5"/>
    <x v="3"/>
    <x v="1"/>
    <s v="Electronics"/>
    <n v="0"/>
    <n v="0"/>
    <n v="981.36020408163256"/>
    <n v="0"/>
    <s v="Transfer"/>
    <x v="4"/>
    <n v="0"/>
    <x v="6"/>
    <x v="0"/>
    <n v="0"/>
    <n v="0"/>
  </r>
  <r>
    <s v="ORD948"/>
    <d v="2023-12-24T00:00:00"/>
    <x v="2"/>
    <x v="2"/>
    <x v="2"/>
    <s v="Groceries"/>
    <n v="14"/>
    <n v="9180.6088181818177"/>
    <n v="936.79681818181825"/>
    <n v="0"/>
    <s v="Transfer"/>
    <x v="2"/>
    <n v="13115.155454545456"/>
    <x v="10"/>
    <x v="0"/>
    <n v="3934.5466363636388"/>
    <n v="0.3"/>
  </r>
  <r>
    <s v="ORD1026"/>
    <d v="2023-01-19T00:00:00"/>
    <x v="4"/>
    <x v="2"/>
    <x v="3"/>
    <s v="Electronics"/>
    <n v="0"/>
    <n v="0"/>
    <n v="1079.5765957446808"/>
    <n v="0"/>
    <s v="Transfer"/>
    <x v="2"/>
    <n v="0"/>
    <x v="1"/>
    <x v="0"/>
    <n v="0"/>
    <n v="0"/>
  </r>
  <r>
    <s v="ORD919"/>
    <d v="2023-08-29T00:00:00"/>
    <x v="3"/>
    <x v="4"/>
    <x v="3"/>
    <s v="Electronics"/>
    <n v="0"/>
    <n v="0"/>
    <n v="1079.5765957446808"/>
    <n v="0"/>
    <s v="Unknown"/>
    <x v="1"/>
    <n v="0"/>
    <x v="3"/>
    <x v="0"/>
    <n v="0"/>
    <n v="0"/>
  </r>
  <r>
    <s v="ORD1038"/>
    <d v="2023-01-19T00:00:00"/>
    <x v="0"/>
    <x v="1"/>
    <x v="5"/>
    <s v="Home Appliances"/>
    <n v="0"/>
    <n v="0"/>
    <n v="189.85"/>
    <n v="0"/>
    <s v="Cash"/>
    <x v="1"/>
    <n v="0"/>
    <x v="1"/>
    <x v="0"/>
    <n v="0"/>
    <n v="0"/>
  </r>
  <r>
    <s v="ORD942"/>
    <d v="2023-12-22T00:00:00"/>
    <x v="3"/>
    <x v="1"/>
    <x v="4"/>
    <s v="Electronics"/>
    <n v="0"/>
    <n v="0"/>
    <n v="1106.0261904761899"/>
    <n v="0"/>
    <s v="Transfer"/>
    <x v="0"/>
    <n v="0"/>
    <x v="10"/>
    <x v="0"/>
    <n v="0"/>
    <n v="0"/>
  </r>
  <r>
    <s v="ORD1074"/>
    <d v="2023-04-03T00:00:00"/>
    <x v="4"/>
    <x v="1"/>
    <x v="4"/>
    <s v="Electronics"/>
    <n v="0"/>
    <n v="0"/>
    <n v="1106.0261904761899"/>
    <n v="0.27"/>
    <s v="Cash"/>
    <x v="1"/>
    <n v="0"/>
    <x v="8"/>
    <x v="0"/>
    <n v="0"/>
    <n v="0"/>
  </r>
  <r>
    <s v="ORD1063"/>
    <d v="2023-05-11T00:00:00"/>
    <x v="5"/>
    <x v="4"/>
    <x v="5"/>
    <s v="Home Appliances"/>
    <n v="0"/>
    <n v="0"/>
    <n v="1358.45"/>
    <n v="0"/>
    <s v="Pos"/>
    <x v="4"/>
    <n v="0"/>
    <x v="7"/>
    <x v="0"/>
    <n v="0"/>
    <n v="0"/>
  </r>
  <r>
    <s v="ORD1063"/>
    <d v="2023-08-06T00:00:00"/>
    <x v="3"/>
    <x v="5"/>
    <x v="6"/>
    <s v="Electronics"/>
    <n v="0"/>
    <n v="0"/>
    <n v="1708.14"/>
    <n v="0"/>
    <s v="Card"/>
    <x v="0"/>
    <n v="0"/>
    <x v="3"/>
    <x v="0"/>
    <n v="0"/>
    <n v="0"/>
  </r>
  <r>
    <s v="ORD975"/>
    <d v="2023-12-25T00:00:00"/>
    <x v="3"/>
    <x v="1"/>
    <x v="6"/>
    <s v="Electronics"/>
    <n v="9"/>
    <n v="6054.6566440677962"/>
    <n v="961.05661016949136"/>
    <n v="0.23"/>
    <s v="Pos"/>
    <x v="1"/>
    <n v="6660.1223084745761"/>
    <x v="10"/>
    <x v="0"/>
    <n v="605.46566440677998"/>
    <n v="9.0909090909090953E-2"/>
  </r>
  <r>
    <s v="ORD973"/>
    <d v="2024-02-02T00:00:00"/>
    <x v="2"/>
    <x v="2"/>
    <x v="6"/>
    <s v="Electronics"/>
    <n v="0"/>
    <n v="0"/>
    <n v="961.05661016949136"/>
    <n v="0"/>
    <s v="Unknown"/>
    <x v="2"/>
    <n v="0"/>
    <x v="0"/>
    <x v="1"/>
    <n v="0"/>
    <n v="0"/>
  </r>
  <r>
    <s v="ORD1060"/>
    <d v="2023-02-19T00:00:00"/>
    <x v="0"/>
    <x v="4"/>
    <x v="6"/>
    <s v="Electronics"/>
    <n v="0"/>
    <n v="0"/>
    <n v="736.07"/>
    <n v="0"/>
    <s v="Card"/>
    <x v="1"/>
    <n v="0"/>
    <x v="0"/>
    <x v="0"/>
    <n v="0"/>
    <n v="0"/>
  </r>
  <r>
    <s v="ORD944"/>
    <d v="2023-04-13T00:00:00"/>
    <x v="4"/>
    <x v="3"/>
    <x v="3"/>
    <s v="Electronics"/>
    <n v="0"/>
    <n v="0"/>
    <n v="1827.84"/>
    <n v="0"/>
    <s v="Card"/>
    <x v="4"/>
    <n v="0"/>
    <x v="8"/>
    <x v="0"/>
    <n v="0"/>
    <n v="0"/>
  </r>
  <r>
    <s v="ORD929"/>
    <d v="2023-08-28T00:00:00"/>
    <x v="0"/>
    <x v="1"/>
    <x v="6"/>
    <s v="Electronics"/>
    <n v="0"/>
    <n v="0"/>
    <n v="961.05661016949136"/>
    <n v="0"/>
    <s v="Cash"/>
    <x v="1"/>
    <n v="0"/>
    <x v="3"/>
    <x v="0"/>
    <n v="0"/>
    <n v="0"/>
  </r>
  <r>
    <s v="ORD994"/>
    <d v="2023-12-11T00:00:00"/>
    <x v="3"/>
    <x v="2"/>
    <x v="2"/>
    <s v="Groceries"/>
    <n v="0"/>
    <n v="0"/>
    <n v="475.31"/>
    <n v="0"/>
    <s v="Card"/>
    <x v="0"/>
    <n v="0"/>
    <x v="10"/>
    <x v="0"/>
    <n v="0"/>
    <n v="0"/>
  </r>
  <r>
    <s v="ORD956"/>
    <d v="2023-11-28T00:00:00"/>
    <x v="0"/>
    <x v="0"/>
    <x v="6"/>
    <s v="Electronics"/>
    <n v="0"/>
    <n v="0"/>
    <n v="822.51"/>
    <n v="0.01"/>
    <s v="Card"/>
    <x v="1"/>
    <n v="0"/>
    <x v="2"/>
    <x v="0"/>
    <n v="0"/>
    <n v="0"/>
  </r>
  <r>
    <s v="ORD929"/>
    <d v="2023-02-19T00:00:00"/>
    <x v="2"/>
    <x v="2"/>
    <x v="1"/>
    <s v="Electronics"/>
    <n v="0"/>
    <n v="0"/>
    <n v="981.36020408163256"/>
    <n v="0"/>
    <s v="Transfer"/>
    <x v="0"/>
    <n v="0"/>
    <x v="0"/>
    <x v="0"/>
    <n v="0"/>
    <n v="0"/>
  </r>
  <r>
    <s v="ORD1090"/>
    <d v="2024-01-08T00:00:00"/>
    <x v="4"/>
    <x v="5"/>
    <x v="5"/>
    <s v="Home Appliances"/>
    <n v="0"/>
    <n v="0"/>
    <n v="1017.3087234042553"/>
    <n v="0"/>
    <s v="Cash"/>
    <x v="1"/>
    <n v="0"/>
    <x v="1"/>
    <x v="1"/>
    <n v="0"/>
    <n v="0"/>
  </r>
  <r>
    <s v="ORD1013"/>
    <d v="2023-05-01T00:00:00"/>
    <x v="1"/>
    <x v="1"/>
    <x v="5"/>
    <s v="Home Appliances"/>
    <n v="0"/>
    <n v="0"/>
    <n v="1017.3087234042553"/>
    <n v="0.08"/>
    <s v="Transfer"/>
    <x v="3"/>
    <n v="0"/>
    <x v="7"/>
    <x v="0"/>
    <n v="0"/>
    <n v="0"/>
  </r>
  <r>
    <s v="ORD1069"/>
    <d v="2023-04-19T00:00:00"/>
    <x v="0"/>
    <x v="1"/>
    <x v="6"/>
    <s v="Electronics"/>
    <n v="8"/>
    <n v="8826.1039999999994"/>
    <n v="1576.09"/>
    <n v="0"/>
    <s v="Cash"/>
    <x v="0"/>
    <n v="12608.72"/>
    <x v="8"/>
    <x v="0"/>
    <n v="3782.616"/>
    <n v="0.3"/>
  </r>
  <r>
    <s v="ORD955"/>
    <d v="2023-04-30T00:00:00"/>
    <x v="1"/>
    <x v="3"/>
    <x v="1"/>
    <s v="Electronics"/>
    <n v="0"/>
    <n v="0"/>
    <n v="1718.23"/>
    <n v="0"/>
    <s v="Card"/>
    <x v="2"/>
    <n v="0"/>
    <x v="8"/>
    <x v="0"/>
    <n v="0"/>
    <n v="0"/>
  </r>
  <r>
    <s v="ORD928"/>
    <d v="2023-12-05T00:00:00"/>
    <x v="0"/>
    <x v="1"/>
    <x v="4"/>
    <s v="Electronics"/>
    <n v="0"/>
    <n v="0"/>
    <n v="654.30999999999995"/>
    <n v="0.08"/>
    <s v="Unknown"/>
    <x v="1"/>
    <n v="0"/>
    <x v="10"/>
    <x v="0"/>
    <n v="0"/>
    <n v="0"/>
  </r>
  <r>
    <s v="ORD1034"/>
    <d v="2023-02-28T00:00:00"/>
    <x v="0"/>
    <x v="5"/>
    <x v="2"/>
    <s v="Groceries"/>
    <n v="0"/>
    <n v="0"/>
    <n v="936.79681818181825"/>
    <n v="0"/>
    <s v="Cash"/>
    <x v="0"/>
    <n v="0"/>
    <x v="0"/>
    <x v="0"/>
    <n v="0"/>
    <n v="0"/>
  </r>
  <r>
    <s v="ORD977"/>
    <d v="2023-08-23T00:00:00"/>
    <x v="0"/>
    <x v="1"/>
    <x v="2"/>
    <s v="Groceries"/>
    <n v="0"/>
    <n v="0"/>
    <n v="936.79681818181825"/>
    <n v="0.27"/>
    <s v="Cash"/>
    <x v="4"/>
    <n v="0"/>
    <x v="3"/>
    <x v="0"/>
    <n v="0"/>
    <n v="0"/>
  </r>
  <r>
    <s v="ORD1055"/>
    <d v="2023-03-17T00:00:00"/>
    <x v="0"/>
    <x v="1"/>
    <x v="0"/>
    <s v="Electronics"/>
    <n v="0"/>
    <n v="0"/>
    <n v="1002.870425531915"/>
    <n v="0"/>
    <s v="Card"/>
    <x v="1"/>
    <n v="0"/>
    <x v="5"/>
    <x v="0"/>
    <n v="0"/>
    <n v="0"/>
  </r>
  <r>
    <s v="ORD1029"/>
    <d v="2023-11-06T00:00:00"/>
    <x v="5"/>
    <x v="1"/>
    <x v="6"/>
    <s v="Electronics"/>
    <n v="0"/>
    <n v="0"/>
    <n v="961.05661016949136"/>
    <n v="0.14000000000000001"/>
    <s v="Transfer"/>
    <x v="4"/>
    <n v="0"/>
    <x v="2"/>
    <x v="0"/>
    <n v="0"/>
    <n v="0"/>
  </r>
  <r>
    <s v="ORD1016"/>
    <d v="2023-07-24T00:00:00"/>
    <x v="5"/>
    <x v="0"/>
    <x v="4"/>
    <s v="Electronics"/>
    <n v="0"/>
    <n v="0"/>
    <n v="1106.0261904761899"/>
    <n v="0"/>
    <s v="Transfer"/>
    <x v="3"/>
    <n v="0"/>
    <x v="4"/>
    <x v="0"/>
    <n v="0"/>
    <n v="0"/>
  </r>
  <r>
    <s v="ORD923"/>
    <d v="2023-02-13T00:00:00"/>
    <x v="0"/>
    <x v="5"/>
    <x v="4"/>
    <s v="Electronics"/>
    <n v="0"/>
    <n v="0"/>
    <n v="1106.0261904761899"/>
    <n v="0"/>
    <s v="Cash"/>
    <x v="1"/>
    <n v="0"/>
    <x v="0"/>
    <x v="0"/>
    <n v="0"/>
    <n v="0"/>
  </r>
  <r>
    <s v="ORD990"/>
    <d v="2023-12-07T00:00:00"/>
    <x v="5"/>
    <x v="3"/>
    <x v="5"/>
    <s v="Home Appliances"/>
    <n v="0"/>
    <n v="0"/>
    <n v="631.77"/>
    <n v="0.17"/>
    <s v="Cash"/>
    <x v="1"/>
    <n v="0"/>
    <x v="10"/>
    <x v="0"/>
    <n v="0"/>
    <n v="0"/>
  </r>
  <r>
    <s v="ORD957"/>
    <d v="2023-02-25T00:00:00"/>
    <x v="1"/>
    <x v="3"/>
    <x v="3"/>
    <s v="Electronics"/>
    <n v="0"/>
    <n v="0"/>
    <n v="1079.5765957446808"/>
    <n v="0"/>
    <s v="Pos"/>
    <x v="0"/>
    <n v="0"/>
    <x v="0"/>
    <x v="0"/>
    <n v="0"/>
    <n v="0"/>
  </r>
  <r>
    <s v="ORD906"/>
    <d v="2023-11-08T00:00:00"/>
    <x v="3"/>
    <x v="1"/>
    <x v="1"/>
    <s v="Electronics"/>
    <n v="0"/>
    <n v="0"/>
    <n v="708.54"/>
    <n v="0"/>
    <s v="Unknown"/>
    <x v="1"/>
    <n v="0"/>
    <x v="2"/>
    <x v="0"/>
    <n v="0"/>
    <n v="0"/>
  </r>
  <r>
    <s v="ORD917"/>
    <d v="2023-03-14T00:00:00"/>
    <x v="0"/>
    <x v="1"/>
    <x v="5"/>
    <s v="Home Appliances"/>
    <n v="0"/>
    <n v="0"/>
    <n v="1017.3087234042553"/>
    <n v="0"/>
    <s v="Unknown"/>
    <x v="4"/>
    <n v="0"/>
    <x v="5"/>
    <x v="0"/>
    <n v="0"/>
    <n v="0"/>
  </r>
  <r>
    <s v="ORD1098"/>
    <d v="2023-10-18T00:00:00"/>
    <x v="0"/>
    <x v="1"/>
    <x v="1"/>
    <s v="Electronics"/>
    <n v="20"/>
    <n v="13739.042857142857"/>
    <n v="981.36020408163256"/>
    <n v="0"/>
    <s v="Transfer"/>
    <x v="0"/>
    <n v="19627.204081632652"/>
    <x v="6"/>
    <x v="0"/>
    <n v="5888.1612244897951"/>
    <n v="0.3000000000000001"/>
  </r>
  <r>
    <s v="ORD1013"/>
    <d v="2023-08-01T00:00:00"/>
    <x v="3"/>
    <x v="1"/>
    <x v="6"/>
    <s v="Electronics"/>
    <n v="0"/>
    <n v="0"/>
    <n v="961.05661016949136"/>
    <n v="0"/>
    <s v="Transfer"/>
    <x v="0"/>
    <n v="0"/>
    <x v="3"/>
    <x v="0"/>
    <n v="0"/>
    <n v="0"/>
  </r>
  <r>
    <s v="ORD1070"/>
    <d v="2023-06-07T00:00:00"/>
    <x v="0"/>
    <x v="1"/>
    <x v="2"/>
    <s v="Groceries"/>
    <n v="2"/>
    <n v="583.52"/>
    <n v="416.8"/>
    <n v="0"/>
    <s v="Card"/>
    <x v="4"/>
    <n v="833.6"/>
    <x v="11"/>
    <x v="0"/>
    <n v="250.08000000000004"/>
    <n v="0.30000000000000004"/>
  </r>
  <r>
    <s v="ORD930"/>
    <d v="2023-01-04T00:00:00"/>
    <x v="5"/>
    <x v="0"/>
    <x v="2"/>
    <s v="Groceries"/>
    <n v="0"/>
    <n v="0"/>
    <n v="1069.8399999999999"/>
    <n v="0"/>
    <s v="Card"/>
    <x v="3"/>
    <n v="0"/>
    <x v="1"/>
    <x v="0"/>
    <n v="0"/>
    <n v="0"/>
  </r>
  <r>
    <s v="ORD1001"/>
    <d v="2024-01-15T00:00:00"/>
    <x v="0"/>
    <x v="5"/>
    <x v="4"/>
    <s v="Electronics"/>
    <n v="0"/>
    <n v="0"/>
    <n v="1106.0261904761899"/>
    <n v="0"/>
    <s v="Transfer"/>
    <x v="4"/>
    <n v="0"/>
    <x v="1"/>
    <x v="1"/>
    <n v="0"/>
    <n v="0"/>
  </r>
  <r>
    <s v="ORD929"/>
    <d v="2023-07-27T00:00:00"/>
    <x v="0"/>
    <x v="4"/>
    <x v="1"/>
    <s v="Electronics"/>
    <n v="0"/>
    <n v="0"/>
    <n v="1840.34"/>
    <n v="0.13"/>
    <s v="Cash"/>
    <x v="1"/>
    <n v="0"/>
    <x v="4"/>
    <x v="0"/>
    <n v="0"/>
    <n v="0"/>
  </r>
  <r>
    <s v="ORD1050"/>
    <d v="2023-07-25T00:00:00"/>
    <x v="0"/>
    <x v="5"/>
    <x v="6"/>
    <s v="Electronics"/>
    <n v="11"/>
    <n v="5180.6369999999988"/>
    <n v="672.81"/>
    <n v="0"/>
    <s v="Cash"/>
    <x v="0"/>
    <n v="7400.91"/>
    <x v="4"/>
    <x v="0"/>
    <n v="2220.273000000001"/>
    <n v="0.30000000000000004"/>
  </r>
  <r>
    <s v="ORD1030"/>
    <d v="2023-04-10T00:00:00"/>
    <x v="1"/>
    <x v="4"/>
    <x v="5"/>
    <s v="Home Appliances"/>
    <n v="8"/>
    <n v="1687.952"/>
    <n v="301.42"/>
    <n v="0.05"/>
    <s v="Unknown"/>
    <x v="3"/>
    <n v="2290.7919999999999"/>
    <x v="8"/>
    <x v="0"/>
    <n v="602.83999999999992"/>
    <n v="0.26315789473684209"/>
  </r>
  <r>
    <s v="ORD945"/>
    <d v="2024-01-31T00:00:00"/>
    <x v="5"/>
    <x v="5"/>
    <x v="6"/>
    <s v="Electronics"/>
    <n v="0"/>
    <n v="0"/>
    <n v="961.05661016949136"/>
    <n v="0"/>
    <s v="Card"/>
    <x v="4"/>
    <n v="0"/>
    <x v="1"/>
    <x v="1"/>
    <n v="0"/>
    <n v="0"/>
  </r>
  <r>
    <s v="ORD938"/>
    <d v="2023-08-14T00:00:00"/>
    <x v="0"/>
    <x v="5"/>
    <x v="2"/>
    <s v="Groceries"/>
    <n v="0"/>
    <n v="0"/>
    <n v="936.79681818181825"/>
    <n v="0"/>
    <s v="Transfer"/>
    <x v="3"/>
    <n v="0"/>
    <x v="3"/>
    <x v="0"/>
    <n v="0"/>
    <n v="0"/>
  </r>
  <r>
    <s v="ORD914"/>
    <d v="2023-07-08T00:00:00"/>
    <x v="3"/>
    <x v="1"/>
    <x v="5"/>
    <s v="Home Appliances"/>
    <n v="0"/>
    <n v="0"/>
    <n v="1017.3087234042553"/>
    <n v="0"/>
    <s v="Cash"/>
    <x v="1"/>
    <n v="0"/>
    <x v="4"/>
    <x v="0"/>
    <n v="0"/>
    <n v="0"/>
  </r>
  <r>
    <s v="ORD1046"/>
    <d v="2023-11-30T00:00:00"/>
    <x v="2"/>
    <x v="4"/>
    <x v="3"/>
    <s v="Electronics"/>
    <n v="17"/>
    <n v="12846.9614893617"/>
    <n v="1079.5765957446808"/>
    <n v="0"/>
    <s v="Unknown"/>
    <x v="3"/>
    <n v="18352.802127659575"/>
    <x v="2"/>
    <x v="0"/>
    <n v="5505.8406382978756"/>
    <n v="0.30000000000000004"/>
  </r>
  <r>
    <s v="ORD1029"/>
    <d v="2023-11-27T00:00:00"/>
    <x v="4"/>
    <x v="1"/>
    <x v="1"/>
    <s v="Electronics"/>
    <n v="0"/>
    <n v="0"/>
    <n v="1050.27"/>
    <n v="0"/>
    <s v="Transfer"/>
    <x v="1"/>
    <n v="0"/>
    <x v="2"/>
    <x v="0"/>
    <n v="0"/>
    <n v="0"/>
  </r>
  <r>
    <s v="ORD1098"/>
    <d v="2023-06-23T00:00:00"/>
    <x v="0"/>
    <x v="3"/>
    <x v="5"/>
    <s v="Home Appliances"/>
    <n v="0"/>
    <n v="0"/>
    <n v="1017.3087234042553"/>
    <n v="0"/>
    <s v="Unknown"/>
    <x v="0"/>
    <n v="0"/>
    <x v="11"/>
    <x v="0"/>
    <n v="0"/>
    <n v="0"/>
  </r>
  <r>
    <s v="ORD938"/>
    <d v="2023-06-20T00:00:00"/>
    <x v="0"/>
    <x v="2"/>
    <x v="5"/>
    <s v="Home Appliances"/>
    <n v="0"/>
    <n v="0"/>
    <n v="1017.3087234042553"/>
    <n v="0.2"/>
    <s v="Pos"/>
    <x v="3"/>
    <n v="0"/>
    <x v="11"/>
    <x v="0"/>
    <n v="0"/>
    <n v="0"/>
  </r>
  <r>
    <s v="ORD979"/>
    <d v="2023-10-14T00:00:00"/>
    <x v="5"/>
    <x v="0"/>
    <x v="6"/>
    <s v="Electronics"/>
    <n v="0"/>
    <n v="0"/>
    <n v="961.05661016949136"/>
    <n v="0"/>
    <s v="Cash"/>
    <x v="1"/>
    <n v="0"/>
    <x v="6"/>
    <x v="0"/>
    <n v="0"/>
    <n v="0"/>
  </r>
  <r>
    <s v="ORD1030"/>
    <d v="2023-07-05T00:00:00"/>
    <x v="0"/>
    <x v="4"/>
    <x v="0"/>
    <s v="Electronics"/>
    <n v="0"/>
    <n v="0"/>
    <n v="1002.870425531915"/>
    <n v="0.06"/>
    <s v="Cash"/>
    <x v="3"/>
    <n v="0"/>
    <x v="4"/>
    <x v="0"/>
    <n v="0"/>
    <n v="0"/>
  </r>
  <r>
    <s v="ORD975"/>
    <d v="2023-02-21T00:00:00"/>
    <x v="0"/>
    <x v="0"/>
    <x v="0"/>
    <s v="Electronics"/>
    <n v="0"/>
    <n v="0"/>
    <n v="759.67"/>
    <n v="0"/>
    <s v="Pos"/>
    <x v="2"/>
    <n v="0"/>
    <x v="0"/>
    <x v="0"/>
    <n v="0"/>
    <n v="0"/>
  </r>
  <r>
    <s v="ORD1084"/>
    <d v="2023-08-13T00:00:00"/>
    <x v="0"/>
    <x v="5"/>
    <x v="0"/>
    <s v="Electronics"/>
    <n v="0"/>
    <n v="0"/>
    <n v="1002.870425531915"/>
    <n v="0.24"/>
    <s v="Pos"/>
    <x v="2"/>
    <n v="0"/>
    <x v="3"/>
    <x v="0"/>
    <n v="0"/>
    <n v="0"/>
  </r>
  <r>
    <s v="ORD979"/>
    <d v="2023-08-29T00:00:00"/>
    <x v="2"/>
    <x v="4"/>
    <x v="5"/>
    <s v="Home Appliances"/>
    <n v="0"/>
    <n v="0"/>
    <n v="1017.3087234042553"/>
    <n v="0"/>
    <s v="Cash"/>
    <x v="2"/>
    <n v="0"/>
    <x v="3"/>
    <x v="0"/>
    <n v="0"/>
    <n v="0"/>
  </r>
  <r>
    <s v="ORD1054"/>
    <d v="2023-03-12T00:00:00"/>
    <x v="3"/>
    <x v="1"/>
    <x v="5"/>
    <s v="Home Appliances"/>
    <n v="0"/>
    <n v="0"/>
    <n v="1017.3087234042553"/>
    <n v="0.25"/>
    <s v="Card"/>
    <x v="3"/>
    <n v="0"/>
    <x v="5"/>
    <x v="0"/>
    <n v="0"/>
    <n v="0"/>
  </r>
  <r>
    <s v="ORD1095"/>
    <d v="2023-03-24T00:00:00"/>
    <x v="3"/>
    <x v="5"/>
    <x v="3"/>
    <s v="Electronics"/>
    <n v="14"/>
    <n v="18554.928"/>
    <n v="1893.36"/>
    <n v="0"/>
    <s v="Cash"/>
    <x v="1"/>
    <n v="26507.039999999997"/>
    <x v="5"/>
    <x v="0"/>
    <n v="7952.1119999999974"/>
    <n v="0.30000000000000004"/>
  </r>
  <r>
    <s v="ORD913"/>
    <d v="2023-07-22T00:00:00"/>
    <x v="1"/>
    <x v="1"/>
    <x v="2"/>
    <s v="Groceries"/>
    <n v="12"/>
    <n v="555.15599999999995"/>
    <n v="66.09"/>
    <n v="0"/>
    <s v="Card"/>
    <x v="2"/>
    <n v="793.08"/>
    <x v="4"/>
    <x v="0"/>
    <n v="237.92400000000009"/>
    <n v="0.3000000000000001"/>
  </r>
  <r>
    <s v="ORD935"/>
    <d v="2023-01-20T00:00:00"/>
    <x v="3"/>
    <x v="3"/>
    <x v="2"/>
    <s v="Groceries"/>
    <n v="0"/>
    <n v="0"/>
    <n v="1234.54"/>
    <n v="0.01"/>
    <s v="Cash"/>
    <x v="0"/>
    <n v="0"/>
    <x v="1"/>
    <x v="0"/>
    <n v="0"/>
    <n v="0"/>
  </r>
  <r>
    <s v="ORD1086"/>
    <d v="2023-11-08T00:00:00"/>
    <x v="5"/>
    <x v="1"/>
    <x v="6"/>
    <s v="Electronics"/>
    <n v="0"/>
    <n v="0"/>
    <n v="252.48"/>
    <n v="0"/>
    <s v="Transfer"/>
    <x v="3"/>
    <n v="0"/>
    <x v="2"/>
    <x v="0"/>
    <n v="0"/>
    <n v="0"/>
  </r>
  <r>
    <s v="ORD928"/>
    <d v="2023-09-13T00:00:00"/>
    <x v="0"/>
    <x v="0"/>
    <x v="3"/>
    <s v="Electronics"/>
    <n v="0"/>
    <n v="0"/>
    <n v="1079.5765957446808"/>
    <n v="0"/>
    <s v="Cash"/>
    <x v="0"/>
    <n v="0"/>
    <x v="9"/>
    <x v="0"/>
    <n v="0"/>
    <n v="0"/>
  </r>
  <r>
    <s v="ORD1006"/>
    <d v="2023-04-06T00:00:00"/>
    <x v="0"/>
    <x v="2"/>
    <x v="0"/>
    <s v="Electronics"/>
    <n v="0"/>
    <n v="0"/>
    <n v="1002.870425531915"/>
    <n v="0"/>
    <s v="Transfer"/>
    <x v="3"/>
    <n v="0"/>
    <x v="8"/>
    <x v="0"/>
    <n v="0"/>
    <n v="0"/>
  </r>
  <r>
    <s v="ORD1062"/>
    <d v="2023-07-18T00:00:00"/>
    <x v="1"/>
    <x v="4"/>
    <x v="5"/>
    <s v="Home Appliances"/>
    <n v="12"/>
    <n v="8545.3932765957434"/>
    <n v="1017.3087234042553"/>
    <n v="0.2"/>
    <s v="Pos"/>
    <x v="4"/>
    <n v="9766.1637446808509"/>
    <x v="4"/>
    <x v="0"/>
    <n v="1220.7704680851075"/>
    <n v="0.12499999999999993"/>
  </r>
  <r>
    <s v="ORD934"/>
    <d v="2023-01-23T00:00:00"/>
    <x v="1"/>
    <x v="2"/>
    <x v="0"/>
    <s v="Electronics"/>
    <n v="0"/>
    <n v="0"/>
    <n v="962.28"/>
    <n v="0.24"/>
    <s v="Unknown"/>
    <x v="1"/>
    <n v="0"/>
    <x v="1"/>
    <x v="0"/>
    <n v="0"/>
    <n v="0"/>
  </r>
  <r>
    <s v="ORD909"/>
    <d v="2023-05-31T00:00:00"/>
    <x v="2"/>
    <x v="1"/>
    <x v="6"/>
    <s v="Electronics"/>
    <n v="0"/>
    <n v="0"/>
    <n v="961.05661016949136"/>
    <n v="0"/>
    <s v="Transfer"/>
    <x v="4"/>
    <n v="0"/>
    <x v="7"/>
    <x v="0"/>
    <n v="0"/>
    <n v="0"/>
  </r>
  <r>
    <s v="ORD909"/>
    <d v="2024-01-21T00:00:00"/>
    <x v="2"/>
    <x v="4"/>
    <x v="0"/>
    <s v="Electronics"/>
    <n v="0"/>
    <n v="0"/>
    <n v="1002.870425531915"/>
    <n v="0"/>
    <s v="Unknown"/>
    <x v="1"/>
    <n v="0"/>
    <x v="1"/>
    <x v="1"/>
    <n v="0"/>
    <n v="0"/>
  </r>
  <r>
    <s v="ORD998"/>
    <d v="2023-06-23T00:00:00"/>
    <x v="4"/>
    <x v="5"/>
    <x v="5"/>
    <s v="Home Appliances"/>
    <n v="0"/>
    <n v="0"/>
    <n v="540.77"/>
    <n v="0.22"/>
    <s v="Transfer"/>
    <x v="0"/>
    <n v="0"/>
    <x v="11"/>
    <x v="0"/>
    <n v="0"/>
    <n v="0"/>
  </r>
  <r>
    <s v="ORD946"/>
    <d v="2023-10-07T00:00:00"/>
    <x v="3"/>
    <x v="4"/>
    <x v="4"/>
    <s v="Electronics"/>
    <n v="0"/>
    <n v="0"/>
    <n v="1106.0261904761899"/>
    <n v="0"/>
    <s v="Cash"/>
    <x v="1"/>
    <n v="0"/>
    <x v="6"/>
    <x v="0"/>
    <n v="0"/>
    <n v="0"/>
  </r>
  <r>
    <s v="ORD989"/>
    <d v="2023-08-17T00:00:00"/>
    <x v="0"/>
    <x v="0"/>
    <x v="6"/>
    <s v="Electronics"/>
    <n v="0"/>
    <n v="0"/>
    <n v="556.37"/>
    <n v="0"/>
    <s v="Transfer"/>
    <x v="4"/>
    <n v="0"/>
    <x v="3"/>
    <x v="0"/>
    <n v="0"/>
    <n v="0"/>
  </r>
  <r>
    <s v="ORD1031"/>
    <d v="2024-01-19T00:00:00"/>
    <x v="4"/>
    <x v="1"/>
    <x v="1"/>
    <s v="Electronics"/>
    <n v="15"/>
    <n v="2742.5999999999995"/>
    <n v="261.2"/>
    <n v="0"/>
    <s v="Card"/>
    <x v="1"/>
    <n v="3918"/>
    <x v="1"/>
    <x v="1"/>
    <n v="1175.4000000000005"/>
    <n v="0.30000000000000004"/>
  </r>
  <r>
    <s v="ORD1045"/>
    <d v="2023-01-17T00:00:00"/>
    <x v="4"/>
    <x v="0"/>
    <x v="2"/>
    <s v="Groceries"/>
    <n v="0"/>
    <n v="0"/>
    <n v="936.79681818181825"/>
    <n v="0"/>
    <s v="Transfer"/>
    <x v="4"/>
    <n v="0"/>
    <x v="1"/>
    <x v="0"/>
    <n v="0"/>
    <n v="0"/>
  </r>
  <r>
    <s v="ORD1066"/>
    <d v="2023-05-23T00:00:00"/>
    <x v="2"/>
    <x v="1"/>
    <x v="4"/>
    <s v="Electronics"/>
    <n v="0"/>
    <n v="0"/>
    <n v="1106.0261904761899"/>
    <n v="0"/>
    <s v="Unknown"/>
    <x v="1"/>
    <n v="0"/>
    <x v="7"/>
    <x v="0"/>
    <n v="0"/>
    <n v="0"/>
  </r>
  <r>
    <s v="ORD954"/>
    <d v="2023-11-10T00:00:00"/>
    <x v="3"/>
    <x v="0"/>
    <x v="2"/>
    <s v="Groceries"/>
    <n v="4"/>
    <n v="2623.0310909090908"/>
    <n v="936.79681818181825"/>
    <n v="0"/>
    <s v="Transfer"/>
    <x v="3"/>
    <n v="3747.187272727273"/>
    <x v="2"/>
    <x v="0"/>
    <n v="1124.1561818181822"/>
    <n v="0.3000000000000001"/>
  </r>
  <r>
    <s v="ORD1074"/>
    <d v="2023-06-13T00:00:00"/>
    <x v="1"/>
    <x v="0"/>
    <x v="4"/>
    <s v="Electronics"/>
    <n v="0"/>
    <n v="0"/>
    <n v="1783.75"/>
    <n v="0"/>
    <s v="Unknown"/>
    <x v="2"/>
    <n v="0"/>
    <x v="11"/>
    <x v="0"/>
    <n v="0"/>
    <n v="0"/>
  </r>
  <r>
    <s v="ORD992"/>
    <d v="2023-09-18T00:00:00"/>
    <x v="2"/>
    <x v="1"/>
    <x v="1"/>
    <s v="Electronics"/>
    <n v="0"/>
    <n v="0"/>
    <n v="981.36020408163256"/>
    <n v="0"/>
    <s v="Pos"/>
    <x v="2"/>
    <n v="0"/>
    <x v="9"/>
    <x v="0"/>
    <n v="0"/>
    <n v="0"/>
  </r>
  <r>
    <s v="ORD1056"/>
    <d v="2023-02-14T00:00:00"/>
    <x v="0"/>
    <x v="4"/>
    <x v="2"/>
    <s v="Groceries"/>
    <n v="0"/>
    <n v="0"/>
    <n v="936.79681818181825"/>
    <n v="0"/>
    <s v="Unknown"/>
    <x v="3"/>
    <n v="0"/>
    <x v="0"/>
    <x v="0"/>
    <n v="0"/>
    <n v="0"/>
  </r>
  <r>
    <s v="ORD1015"/>
    <d v="2023-08-27T00:00:00"/>
    <x v="1"/>
    <x v="1"/>
    <x v="6"/>
    <s v="Electronics"/>
    <n v="19"/>
    <n v="20453.936999999998"/>
    <n v="1537.89"/>
    <n v="0.13"/>
    <s v="Cash"/>
    <x v="0"/>
    <n v="25421.321700000004"/>
    <x v="3"/>
    <x v="0"/>
    <n v="4967.384700000006"/>
    <n v="0.19540229885057478"/>
  </r>
  <r>
    <s v="ORD939"/>
    <d v="2023-06-05T00:00:00"/>
    <x v="4"/>
    <x v="1"/>
    <x v="0"/>
    <s v="Electronics"/>
    <n v="0"/>
    <n v="0"/>
    <n v="1790.9"/>
    <n v="0"/>
    <s v="Pos"/>
    <x v="4"/>
    <n v="0"/>
    <x v="11"/>
    <x v="0"/>
    <n v="0"/>
    <n v="0"/>
  </r>
  <r>
    <s v="ORD932"/>
    <d v="2023-11-17T00:00:00"/>
    <x v="3"/>
    <x v="2"/>
    <x v="3"/>
    <s v="Electronics"/>
    <n v="0"/>
    <n v="0"/>
    <n v="1079.5765957446808"/>
    <n v="0"/>
    <s v="Pos"/>
    <x v="0"/>
    <n v="0"/>
    <x v="2"/>
    <x v="0"/>
    <n v="0"/>
    <n v="0"/>
  </r>
  <r>
    <s v="ORD986"/>
    <d v="2023-10-16T00:00:00"/>
    <x v="0"/>
    <x v="3"/>
    <x v="6"/>
    <s v="Electronics"/>
    <n v="3"/>
    <n v="2018.2188813559319"/>
    <n v="961.05661016949136"/>
    <n v="0.08"/>
    <s v="Pos"/>
    <x v="1"/>
    <n v="2652.5162440677964"/>
    <x v="6"/>
    <x v="0"/>
    <n v="634.29736271186448"/>
    <n v="0.23913043478260873"/>
  </r>
  <r>
    <s v="ORD1058"/>
    <d v="2023-11-24T00:00:00"/>
    <x v="0"/>
    <x v="5"/>
    <x v="5"/>
    <s v="Home Appliances"/>
    <n v="0"/>
    <n v="0"/>
    <n v="1017.3087234042553"/>
    <n v="0"/>
    <s v="Transfer"/>
    <x v="4"/>
    <n v="0"/>
    <x v="2"/>
    <x v="0"/>
    <n v="0"/>
    <n v="0"/>
  </r>
  <r>
    <s v="ORD1016"/>
    <d v="2023-02-07T00:00:00"/>
    <x v="0"/>
    <x v="1"/>
    <x v="2"/>
    <s v="Groceries"/>
    <n v="0"/>
    <n v="0"/>
    <n v="936.79681818181825"/>
    <n v="0"/>
    <s v="Card"/>
    <x v="4"/>
    <n v="0"/>
    <x v="0"/>
    <x v="0"/>
    <n v="0"/>
    <n v="0"/>
  </r>
  <r>
    <s v="ORD1002"/>
    <d v="2023-03-08T00:00:00"/>
    <x v="1"/>
    <x v="2"/>
    <x v="3"/>
    <s v="Electronics"/>
    <n v="11"/>
    <n v="8312.7397872340407"/>
    <n v="1079.5765957446808"/>
    <n v="0.13"/>
    <s v="Cash"/>
    <x v="3"/>
    <n v="10331.548021276596"/>
    <x v="5"/>
    <x v="0"/>
    <n v="2018.8082340425553"/>
    <n v="0.19540229885057475"/>
  </r>
  <r>
    <s v="ORD974"/>
    <d v="2023-07-16T00:00:00"/>
    <x v="5"/>
    <x v="1"/>
    <x v="6"/>
    <s v="Electronics"/>
    <n v="0"/>
    <n v="0"/>
    <n v="1445.05"/>
    <n v="0"/>
    <s v="Pos"/>
    <x v="1"/>
    <n v="0"/>
    <x v="4"/>
    <x v="0"/>
    <n v="0"/>
    <n v="0"/>
  </r>
  <r>
    <s v="ORD1027"/>
    <d v="2023-06-07T00:00:00"/>
    <x v="5"/>
    <x v="1"/>
    <x v="4"/>
    <s v="Electronics"/>
    <n v="0"/>
    <n v="0"/>
    <n v="1933.71"/>
    <n v="0.18"/>
    <s v="Cash"/>
    <x v="4"/>
    <n v="0"/>
    <x v="11"/>
    <x v="0"/>
    <n v="0"/>
    <n v="0"/>
  </r>
  <r>
    <s v="ORD1026"/>
    <d v="2023-11-02T00:00:00"/>
    <x v="5"/>
    <x v="4"/>
    <x v="3"/>
    <s v="Electronics"/>
    <n v="0"/>
    <n v="0"/>
    <n v="1079.5765957446808"/>
    <n v="0"/>
    <s v="Card"/>
    <x v="3"/>
    <n v="0"/>
    <x v="2"/>
    <x v="0"/>
    <n v="0"/>
    <n v="0"/>
  </r>
  <r>
    <s v="ORD1002"/>
    <d v="2023-01-27T00:00:00"/>
    <x v="2"/>
    <x v="4"/>
    <x v="3"/>
    <s v="Electronics"/>
    <n v="0"/>
    <n v="0"/>
    <n v="1079.5765957446808"/>
    <n v="0"/>
    <s v="Unknown"/>
    <x v="0"/>
    <n v="0"/>
    <x v="1"/>
    <x v="0"/>
    <n v="0"/>
    <n v="0"/>
  </r>
  <r>
    <s v="ORD930"/>
    <d v="2023-03-07T00:00:00"/>
    <x v="0"/>
    <x v="5"/>
    <x v="0"/>
    <s v="Electronics"/>
    <n v="0"/>
    <n v="0"/>
    <n v="1512.38"/>
    <n v="0"/>
    <s v="Pos"/>
    <x v="3"/>
    <n v="0"/>
    <x v="5"/>
    <x v="0"/>
    <n v="0"/>
    <n v="0"/>
  </r>
  <r>
    <s v="ORD911"/>
    <d v="2023-01-20T00:00:00"/>
    <x v="4"/>
    <x v="0"/>
    <x v="0"/>
    <s v="Electronics"/>
    <n v="0"/>
    <n v="0"/>
    <n v="1002.870425531915"/>
    <n v="0"/>
    <s v="Card"/>
    <x v="2"/>
    <n v="0"/>
    <x v="1"/>
    <x v="0"/>
    <n v="0"/>
    <n v="0"/>
  </r>
  <r>
    <s v="ORD1000"/>
    <d v="2023-11-12T00:00:00"/>
    <x v="3"/>
    <x v="2"/>
    <x v="0"/>
    <s v="Electronics"/>
    <n v="0"/>
    <n v="0"/>
    <n v="1002.870425531915"/>
    <n v="0.09"/>
    <s v="Card"/>
    <x v="4"/>
    <n v="0"/>
    <x v="2"/>
    <x v="0"/>
    <n v="0"/>
    <n v="0"/>
  </r>
  <r>
    <s v="ORD1072"/>
    <d v="2023-02-26T00:00:00"/>
    <x v="5"/>
    <x v="2"/>
    <x v="0"/>
    <s v="Electronics"/>
    <n v="0"/>
    <n v="0"/>
    <n v="1002.870425531915"/>
    <n v="0"/>
    <s v="Pos"/>
    <x v="2"/>
    <n v="0"/>
    <x v="0"/>
    <x v="0"/>
    <n v="0"/>
    <n v="0"/>
  </r>
  <r>
    <s v="ORD1084"/>
    <d v="2023-01-27T00:00:00"/>
    <x v="5"/>
    <x v="1"/>
    <x v="3"/>
    <s v="Electronics"/>
    <n v="13"/>
    <n v="14970.500999999997"/>
    <n v="1645.11"/>
    <n v="0"/>
    <s v="Cash"/>
    <x v="2"/>
    <n v="21386.43"/>
    <x v="1"/>
    <x v="0"/>
    <n v="6415.9290000000037"/>
    <n v="0.3000000000000001"/>
  </r>
  <r>
    <s v="ORD904"/>
    <d v="2023-08-14T00:00:00"/>
    <x v="1"/>
    <x v="5"/>
    <x v="1"/>
    <s v="Electronics"/>
    <n v="0"/>
    <n v="0"/>
    <n v="981.36020408163256"/>
    <n v="0"/>
    <s v="Unknown"/>
    <x v="3"/>
    <n v="0"/>
    <x v="3"/>
    <x v="0"/>
    <n v="0"/>
    <n v="0"/>
  </r>
  <r>
    <s v="ORD1080"/>
    <d v="2023-03-12T00:00:00"/>
    <x v="2"/>
    <x v="2"/>
    <x v="0"/>
    <s v="Electronics"/>
    <n v="0"/>
    <n v="0"/>
    <n v="634.37"/>
    <n v="0"/>
    <s v="Card"/>
    <x v="0"/>
    <n v="0"/>
    <x v="5"/>
    <x v="0"/>
    <n v="0"/>
    <n v="0"/>
  </r>
  <r>
    <s v="ORD990"/>
    <d v="2023-12-13T00:00:00"/>
    <x v="3"/>
    <x v="2"/>
    <x v="2"/>
    <s v="Groceries"/>
    <n v="0"/>
    <n v="0"/>
    <n v="1120.5899999999999"/>
    <n v="0"/>
    <s v="Card"/>
    <x v="2"/>
    <n v="0"/>
    <x v="10"/>
    <x v="0"/>
    <n v="0"/>
    <n v="0"/>
  </r>
  <r>
    <s v="ORD1076"/>
    <d v="2023-12-27T00:00:00"/>
    <x v="5"/>
    <x v="4"/>
    <x v="2"/>
    <s v="Groceries"/>
    <n v="0"/>
    <n v="0"/>
    <n v="554.17999999999995"/>
    <n v="0"/>
    <s v="Transfer"/>
    <x v="1"/>
    <n v="0"/>
    <x v="10"/>
    <x v="0"/>
    <n v="0"/>
    <n v="0"/>
  </r>
  <r>
    <s v="ORD988"/>
    <d v="2024-01-31T00:00:00"/>
    <x v="4"/>
    <x v="4"/>
    <x v="4"/>
    <s v="Electronics"/>
    <n v="0"/>
    <n v="0"/>
    <n v="1106.0261904761899"/>
    <n v="0"/>
    <s v="Cash"/>
    <x v="2"/>
    <n v="0"/>
    <x v="1"/>
    <x v="1"/>
    <n v="0"/>
    <n v="0"/>
  </r>
  <r>
    <s v="ORD1037"/>
    <d v="2023-05-19T00:00:00"/>
    <x v="3"/>
    <x v="1"/>
    <x v="4"/>
    <s v="Electronics"/>
    <n v="19"/>
    <n v="14710.148333333325"/>
    <n v="1106.0261904761899"/>
    <n v="0.27"/>
    <s v="Unknown"/>
    <x v="2"/>
    <n v="15340.583261904754"/>
    <x v="7"/>
    <x v="0"/>
    <n v="630.43492857142883"/>
    <n v="4.1095890410958943E-2"/>
  </r>
  <r>
    <s v="ORD913"/>
    <d v="2023-02-21T00:00:00"/>
    <x v="5"/>
    <x v="4"/>
    <x v="5"/>
    <s v="Home Appliances"/>
    <n v="0"/>
    <n v="0"/>
    <n v="1543.82"/>
    <n v="0.28999999999999998"/>
    <s v="Transfer"/>
    <x v="1"/>
    <n v="0"/>
    <x v="0"/>
    <x v="0"/>
    <n v="0"/>
    <n v="0"/>
  </r>
  <r>
    <s v="ORD1022"/>
    <d v="2023-11-30T00:00:00"/>
    <x v="2"/>
    <x v="3"/>
    <x v="0"/>
    <s v="Electronics"/>
    <n v="0"/>
    <n v="0"/>
    <n v="127.73"/>
    <n v="0.2"/>
    <s v="Pos"/>
    <x v="3"/>
    <n v="0"/>
    <x v="2"/>
    <x v="0"/>
    <n v="0"/>
    <n v="0"/>
  </r>
  <r>
    <s v="ORD944"/>
    <d v="2023-08-02T00:00:00"/>
    <x v="4"/>
    <x v="1"/>
    <x v="6"/>
    <s v="Electronics"/>
    <n v="16"/>
    <n v="10763.834033898303"/>
    <n v="961.05661016949136"/>
    <n v="0.26"/>
    <s v="Card"/>
    <x v="0"/>
    <n v="11378.910264406777"/>
    <x v="3"/>
    <x v="0"/>
    <n v="615.0762305084736"/>
    <n v="5.4054054054053981E-2"/>
  </r>
  <r>
    <s v="ORD1054"/>
    <d v="2023-02-24T00:00:00"/>
    <x v="1"/>
    <x v="4"/>
    <x v="2"/>
    <s v="Groceries"/>
    <n v="0"/>
    <n v="0"/>
    <n v="1779.63"/>
    <n v="0"/>
    <s v="Card"/>
    <x v="2"/>
    <n v="0"/>
    <x v="0"/>
    <x v="0"/>
    <n v="0"/>
    <n v="0"/>
  </r>
  <r>
    <s v="ORD928"/>
    <d v="2023-06-19T00:00:00"/>
    <x v="4"/>
    <x v="0"/>
    <x v="2"/>
    <s v="Groceries"/>
    <n v="6"/>
    <n v="3934.546636363636"/>
    <n v="936.79681818181825"/>
    <n v="0.17"/>
    <s v="Cash"/>
    <x v="0"/>
    <n v="4665.2481545454548"/>
    <x v="11"/>
    <x v="0"/>
    <n v="730.70151818181876"/>
    <n v="0.15662650602409639"/>
  </r>
  <r>
    <s v="ORD1063"/>
    <d v="2023-07-27T00:00:00"/>
    <x v="5"/>
    <x v="2"/>
    <x v="0"/>
    <s v="Electronics"/>
    <n v="0"/>
    <n v="0"/>
    <n v="199.82"/>
    <n v="0.14000000000000001"/>
    <s v="Cash"/>
    <x v="4"/>
    <n v="0"/>
    <x v="4"/>
    <x v="0"/>
    <n v="0"/>
    <n v="0"/>
  </r>
  <r>
    <s v="ORD998"/>
    <d v="2023-05-01T00:00:00"/>
    <x v="5"/>
    <x v="3"/>
    <x v="0"/>
    <s v="Electronics"/>
    <n v="0"/>
    <n v="0"/>
    <n v="1448.54"/>
    <n v="0"/>
    <s v="Unknown"/>
    <x v="2"/>
    <n v="0"/>
    <x v="7"/>
    <x v="0"/>
    <n v="0"/>
    <n v="0"/>
  </r>
  <r>
    <s v="ORD915"/>
    <d v="2023-12-08T00:00:00"/>
    <x v="0"/>
    <x v="5"/>
    <x v="0"/>
    <s v="Electronics"/>
    <n v="0"/>
    <n v="0"/>
    <n v="1002.870425531915"/>
    <n v="0"/>
    <s v="Cash"/>
    <x v="4"/>
    <n v="0"/>
    <x v="10"/>
    <x v="0"/>
    <n v="0"/>
    <n v="0"/>
  </r>
  <r>
    <s v="ORD994"/>
    <d v="2023-11-11T00:00:00"/>
    <x v="2"/>
    <x v="1"/>
    <x v="1"/>
    <s v="Electronics"/>
    <n v="0"/>
    <n v="0"/>
    <n v="981.36020408163256"/>
    <n v="0"/>
    <s v="Pos"/>
    <x v="1"/>
    <n v="0"/>
    <x v="2"/>
    <x v="0"/>
    <n v="0"/>
    <n v="0"/>
  </r>
  <r>
    <s v="ORD1093"/>
    <d v="2023-10-03T00:00:00"/>
    <x v="2"/>
    <x v="3"/>
    <x v="1"/>
    <s v="Electronics"/>
    <n v="0"/>
    <n v="0"/>
    <n v="981.36020408163256"/>
    <n v="0"/>
    <s v="Cash"/>
    <x v="3"/>
    <n v="0"/>
    <x v="6"/>
    <x v="0"/>
    <n v="0"/>
    <n v="0"/>
  </r>
  <r>
    <s v="ORD1040"/>
    <d v="2023-09-16T00:00:00"/>
    <x v="2"/>
    <x v="2"/>
    <x v="3"/>
    <s v="Electronics"/>
    <n v="0"/>
    <n v="0"/>
    <n v="1079.5765957446808"/>
    <n v="0.03"/>
    <s v="Unknown"/>
    <x v="0"/>
    <n v="0"/>
    <x v="9"/>
    <x v="0"/>
    <n v="0"/>
    <n v="0"/>
  </r>
  <r>
    <s v="ORD1025"/>
    <d v="2023-02-16T00:00:00"/>
    <x v="5"/>
    <x v="3"/>
    <x v="4"/>
    <s v="Electronics"/>
    <n v="0"/>
    <n v="0"/>
    <n v="1106.0261904761899"/>
    <n v="0"/>
    <s v="Unknown"/>
    <x v="4"/>
    <n v="0"/>
    <x v="0"/>
    <x v="0"/>
    <n v="0"/>
    <n v="0"/>
  </r>
  <r>
    <s v="ORD1085"/>
    <d v="2023-01-12T00:00:00"/>
    <x v="5"/>
    <x v="4"/>
    <x v="6"/>
    <s v="Electronics"/>
    <n v="0"/>
    <n v="0"/>
    <n v="961.05661016949136"/>
    <n v="0.1"/>
    <s v="Pos"/>
    <x v="3"/>
    <n v="0"/>
    <x v="1"/>
    <x v="0"/>
    <n v="0"/>
    <n v="0"/>
  </r>
  <r>
    <s v="ORD917"/>
    <d v="2023-08-30T00:00:00"/>
    <x v="0"/>
    <x v="4"/>
    <x v="2"/>
    <s v="Groceries"/>
    <n v="0"/>
    <n v="0"/>
    <n v="936.79681818181825"/>
    <n v="0"/>
    <s v="Transfer"/>
    <x v="1"/>
    <n v="0"/>
    <x v="3"/>
    <x v="0"/>
    <n v="0"/>
    <n v="0"/>
  </r>
  <r>
    <s v="ORD996"/>
    <d v="2023-07-12T00:00:00"/>
    <x v="0"/>
    <x v="0"/>
    <x v="5"/>
    <s v="Home Appliances"/>
    <n v="0"/>
    <n v="0"/>
    <n v="1721.97"/>
    <n v="0"/>
    <s v="Transfer"/>
    <x v="0"/>
    <n v="0"/>
    <x v="4"/>
    <x v="0"/>
    <n v="0"/>
    <n v="0"/>
  </r>
  <r>
    <s v="ORD932"/>
    <d v="2024-01-08T00:00:00"/>
    <x v="2"/>
    <x v="3"/>
    <x v="4"/>
    <s v="Electronics"/>
    <n v="0"/>
    <n v="0"/>
    <n v="1106.0261904761899"/>
    <n v="0"/>
    <s v="Cash"/>
    <x v="2"/>
    <n v="0"/>
    <x v="1"/>
    <x v="1"/>
    <n v="0"/>
    <n v="0"/>
  </r>
  <r>
    <s v="ORD1017"/>
    <d v="2023-06-27T00:00:00"/>
    <x v="4"/>
    <x v="4"/>
    <x v="1"/>
    <s v="Electronics"/>
    <n v="0"/>
    <n v="0"/>
    <n v="844.29"/>
    <n v="7.0000000000000007E-2"/>
    <s v="Cash"/>
    <x v="0"/>
    <n v="0"/>
    <x v="11"/>
    <x v="0"/>
    <n v="0"/>
    <n v="0"/>
  </r>
  <r>
    <s v="ORD908"/>
    <d v="2023-08-17T00:00:00"/>
    <x v="0"/>
    <x v="1"/>
    <x v="5"/>
    <s v="Home Appliances"/>
    <n v="0"/>
    <n v="0"/>
    <n v="476.34"/>
    <n v="0.23"/>
    <s v="Cash"/>
    <x v="0"/>
    <n v="0"/>
    <x v="3"/>
    <x v="0"/>
    <n v="0"/>
    <n v="0"/>
  </r>
  <r>
    <s v="ORD974"/>
    <d v="2023-04-30T00:00:00"/>
    <x v="1"/>
    <x v="2"/>
    <x v="3"/>
    <s v="Electronics"/>
    <n v="0"/>
    <n v="0"/>
    <n v="1079.5765957446808"/>
    <n v="0"/>
    <s v="Card"/>
    <x v="4"/>
    <n v="0"/>
    <x v="8"/>
    <x v="0"/>
    <n v="0"/>
    <n v="0"/>
  </r>
  <r>
    <s v="ORD915"/>
    <d v="2023-10-13T00:00:00"/>
    <x v="4"/>
    <x v="0"/>
    <x v="5"/>
    <s v="Home Appliances"/>
    <n v="0"/>
    <n v="0"/>
    <n v="1017.3087234042553"/>
    <n v="0"/>
    <s v="Transfer"/>
    <x v="0"/>
    <n v="0"/>
    <x v="6"/>
    <x v="0"/>
    <n v="0"/>
    <n v="0"/>
  </r>
  <r>
    <s v="ORD981"/>
    <d v="2023-12-23T00:00:00"/>
    <x v="5"/>
    <x v="5"/>
    <x v="1"/>
    <s v="Electronics"/>
    <n v="13"/>
    <n v="8930.3778571428556"/>
    <n v="981.36020408163256"/>
    <n v="7.0000000000000007E-2"/>
    <s v="Card"/>
    <x v="2"/>
    <n v="11864.644867346937"/>
    <x v="10"/>
    <x v="0"/>
    <n v="2934.2670102040811"/>
    <n v="0.24731182795698925"/>
  </r>
  <r>
    <s v="ORD1018"/>
    <d v="2023-01-30T00:00:00"/>
    <x v="5"/>
    <x v="5"/>
    <x v="3"/>
    <s v="Electronics"/>
    <n v="0"/>
    <n v="0"/>
    <n v="493.29"/>
    <n v="0.1"/>
    <s v="Transfer"/>
    <x v="4"/>
    <n v="0"/>
    <x v="1"/>
    <x v="0"/>
    <n v="0"/>
    <n v="0"/>
  </r>
  <r>
    <s v="ORD923"/>
    <d v="2023-10-02T00:00:00"/>
    <x v="2"/>
    <x v="1"/>
    <x v="0"/>
    <s v="Electronics"/>
    <n v="0"/>
    <n v="0"/>
    <n v="88.7"/>
    <n v="0"/>
    <s v="Unknown"/>
    <x v="0"/>
    <n v="0"/>
    <x v="6"/>
    <x v="0"/>
    <n v="0"/>
    <n v="0"/>
  </r>
  <r>
    <s v="ORD955"/>
    <d v="2023-09-03T00:00:00"/>
    <x v="2"/>
    <x v="3"/>
    <x v="0"/>
    <s v="Electronics"/>
    <n v="1"/>
    <n v="702.00929787234043"/>
    <n v="1002.870425531915"/>
    <n v="0"/>
    <s v="Cash"/>
    <x v="0"/>
    <n v="1002.870425531915"/>
    <x v="9"/>
    <x v="0"/>
    <n v="300.86112765957455"/>
    <n v="0.30000000000000004"/>
  </r>
  <r>
    <s v="ORD1080"/>
    <d v="2023-04-15T00:00:00"/>
    <x v="5"/>
    <x v="1"/>
    <x v="3"/>
    <s v="Electronics"/>
    <n v="0"/>
    <n v="0"/>
    <n v="1079.5765957446808"/>
    <n v="0"/>
    <s v="Card"/>
    <x v="0"/>
    <n v="0"/>
    <x v="8"/>
    <x v="0"/>
    <n v="0"/>
    <n v="0"/>
  </r>
  <r>
    <s v="ORD1027"/>
    <d v="2023-08-27T00:00:00"/>
    <x v="0"/>
    <x v="3"/>
    <x v="5"/>
    <s v="Home Appliances"/>
    <n v="11"/>
    <n v="7833.2771702127648"/>
    <n v="1017.3087234042553"/>
    <n v="0.01"/>
    <s v="Unknown"/>
    <x v="2"/>
    <n v="11078.491997872339"/>
    <x v="3"/>
    <x v="0"/>
    <n v="3245.2148276595744"/>
    <n v="0.29292929292929298"/>
  </r>
  <r>
    <s v="ORD904"/>
    <d v="2023-05-14T00:00:00"/>
    <x v="5"/>
    <x v="4"/>
    <x v="1"/>
    <s v="Electronics"/>
    <n v="11"/>
    <n v="5897.2759999999998"/>
    <n v="765.88"/>
    <n v="0"/>
    <s v="Unknown"/>
    <x v="4"/>
    <n v="8424.68"/>
    <x v="7"/>
    <x v="0"/>
    <n v="2527.4040000000005"/>
    <n v="0.30000000000000004"/>
  </r>
  <r>
    <s v="ORD965"/>
    <d v="2024-01-26T00:00:00"/>
    <x v="5"/>
    <x v="0"/>
    <x v="5"/>
    <s v="Home Appliances"/>
    <n v="15"/>
    <n v="10681.741595744679"/>
    <n v="1017.3087234042553"/>
    <n v="0"/>
    <s v="Pos"/>
    <x v="1"/>
    <n v="15259.630851063828"/>
    <x v="1"/>
    <x v="1"/>
    <n v="4577.889255319149"/>
    <n v="0.30000000000000004"/>
  </r>
  <r>
    <s v="ORD947"/>
    <d v="2023-10-05T00:00:00"/>
    <x v="0"/>
    <x v="2"/>
    <x v="4"/>
    <s v="Electronics"/>
    <n v="2"/>
    <n v="1548.4366666666658"/>
    <n v="1106.0261904761899"/>
    <n v="0"/>
    <s v="Cash"/>
    <x v="3"/>
    <n v="2212.0523809523797"/>
    <x v="6"/>
    <x v="0"/>
    <n v="663.61571428571392"/>
    <n v="0.3"/>
  </r>
  <r>
    <s v="ORD955"/>
    <d v="2023-09-16T00:00:00"/>
    <x v="5"/>
    <x v="4"/>
    <x v="4"/>
    <s v="Electronics"/>
    <n v="0"/>
    <n v="0"/>
    <n v="1321.98"/>
    <n v="0"/>
    <s v="Transfer"/>
    <x v="3"/>
    <n v="0"/>
    <x v="9"/>
    <x v="0"/>
    <n v="0"/>
    <n v="0"/>
  </r>
  <r>
    <s v="ORD904"/>
    <d v="2023-09-29T00:00:00"/>
    <x v="3"/>
    <x v="2"/>
    <x v="0"/>
    <s v="Electronics"/>
    <n v="0"/>
    <n v="0"/>
    <n v="1351.33"/>
    <n v="0.03"/>
    <s v="Pos"/>
    <x v="2"/>
    <n v="0"/>
    <x v="9"/>
    <x v="0"/>
    <n v="0"/>
    <n v="0"/>
  </r>
  <r>
    <s v="ORD961"/>
    <d v="2023-04-09T00:00:00"/>
    <x v="3"/>
    <x v="3"/>
    <x v="0"/>
    <s v="Electronics"/>
    <n v="13"/>
    <n v="9126.1208723404252"/>
    <n v="1002.870425531915"/>
    <n v="0.14000000000000001"/>
    <s v="Unknown"/>
    <x v="2"/>
    <n v="11212.09135744681"/>
    <x v="8"/>
    <x v="0"/>
    <n v="2085.9704851063852"/>
    <n v="0.18604651162790697"/>
  </r>
  <r>
    <s v="ORD976"/>
    <d v="2023-12-17T00:00:00"/>
    <x v="0"/>
    <x v="0"/>
    <x v="6"/>
    <s v="Electronics"/>
    <n v="0"/>
    <n v="0"/>
    <n v="961.05661016949136"/>
    <n v="0"/>
    <s v="Cash"/>
    <x v="2"/>
    <n v="0"/>
    <x v="10"/>
    <x v="0"/>
    <n v="0"/>
    <n v="0"/>
  </r>
  <r>
    <s v="ORD921"/>
    <d v="2023-09-13T00:00:00"/>
    <x v="5"/>
    <x v="0"/>
    <x v="6"/>
    <s v="Electronics"/>
    <n v="19"/>
    <n v="23815.379000000001"/>
    <n v="1790.63"/>
    <n v="0"/>
    <s v="Pos"/>
    <x v="1"/>
    <n v="34021.97"/>
    <x v="9"/>
    <x v="0"/>
    <n v="10206.591"/>
    <n v="0.3"/>
  </r>
  <r>
    <s v="ORD969"/>
    <d v="2023-01-24T00:00:00"/>
    <x v="0"/>
    <x v="0"/>
    <x v="0"/>
    <s v="Electronics"/>
    <n v="0"/>
    <n v="0"/>
    <n v="1002.870425531915"/>
    <n v="0"/>
    <s v="Pos"/>
    <x v="2"/>
    <n v="0"/>
    <x v="1"/>
    <x v="0"/>
    <n v="0"/>
    <n v="0"/>
  </r>
  <r>
    <s v="ORD1092"/>
    <d v="2023-12-31T00:00:00"/>
    <x v="5"/>
    <x v="1"/>
    <x v="0"/>
    <s v="Electronics"/>
    <n v="19"/>
    <n v="13338.176659574468"/>
    <n v="1002.870425531915"/>
    <n v="0"/>
    <s v="Card"/>
    <x v="1"/>
    <n v="19054.538085106386"/>
    <x v="10"/>
    <x v="0"/>
    <n v="5716.3614255319171"/>
    <n v="0.3000000000000001"/>
  </r>
  <r>
    <s v="ORD1093"/>
    <d v="2024-01-14T00:00:00"/>
    <x v="4"/>
    <x v="3"/>
    <x v="5"/>
    <s v="Home Appliances"/>
    <n v="0"/>
    <n v="0"/>
    <n v="1948.9"/>
    <n v="0.03"/>
    <s v="Cash"/>
    <x v="4"/>
    <n v="0"/>
    <x v="1"/>
    <x v="1"/>
    <n v="0"/>
    <n v="0"/>
  </r>
  <r>
    <s v="ORD1054"/>
    <d v="2024-01-29T00:00:00"/>
    <x v="5"/>
    <x v="3"/>
    <x v="0"/>
    <s v="Electronics"/>
    <n v="0"/>
    <n v="0"/>
    <n v="1002.870425531915"/>
    <n v="0"/>
    <s v="Transfer"/>
    <x v="2"/>
    <n v="0"/>
    <x v="1"/>
    <x v="1"/>
    <n v="0"/>
    <n v="0"/>
  </r>
  <r>
    <s v="ORD1074"/>
    <d v="2023-10-27T00:00:00"/>
    <x v="5"/>
    <x v="1"/>
    <x v="6"/>
    <s v="Electronics"/>
    <n v="10"/>
    <n v="10003.629999999997"/>
    <n v="1429.09"/>
    <n v="0"/>
    <s v="Unknown"/>
    <x v="2"/>
    <n v="14290.9"/>
    <x v="6"/>
    <x v="0"/>
    <n v="4287.2700000000023"/>
    <n v="0.30000000000000004"/>
  </r>
  <r>
    <s v="ORD1089"/>
    <d v="2023-07-19T00:00:00"/>
    <x v="1"/>
    <x v="4"/>
    <x v="4"/>
    <s v="Electronics"/>
    <n v="0"/>
    <n v="0"/>
    <n v="1106.0261904761899"/>
    <n v="0.03"/>
    <s v="Cash"/>
    <x v="1"/>
    <n v="0"/>
    <x v="4"/>
    <x v="0"/>
    <n v="0"/>
    <n v="0"/>
  </r>
  <r>
    <s v="ORD1014"/>
    <d v="2023-10-13T00:00:00"/>
    <x v="5"/>
    <x v="1"/>
    <x v="4"/>
    <s v="Electronics"/>
    <n v="0"/>
    <n v="0"/>
    <n v="1106.0261904761899"/>
    <n v="0"/>
    <s v="Cash"/>
    <x v="4"/>
    <n v="0"/>
    <x v="6"/>
    <x v="0"/>
    <n v="0"/>
    <n v="0"/>
  </r>
  <r>
    <s v="ORD1005"/>
    <d v="2023-07-18T00:00:00"/>
    <x v="0"/>
    <x v="0"/>
    <x v="3"/>
    <s v="Electronics"/>
    <n v="0"/>
    <n v="0"/>
    <n v="1079.5765957446808"/>
    <n v="0"/>
    <s v="Card"/>
    <x v="4"/>
    <n v="0"/>
    <x v="4"/>
    <x v="0"/>
    <n v="0"/>
    <n v="0"/>
  </r>
  <r>
    <s v="ORD1026"/>
    <d v="2023-03-16T00:00:00"/>
    <x v="0"/>
    <x v="1"/>
    <x v="2"/>
    <s v="Groceries"/>
    <n v="0"/>
    <n v="0"/>
    <n v="973.62"/>
    <n v="0.11"/>
    <s v="Unknown"/>
    <x v="1"/>
    <n v="0"/>
    <x v="5"/>
    <x v="0"/>
    <n v="0"/>
    <n v="0"/>
  </r>
  <r>
    <s v="ORD1052"/>
    <d v="2023-11-12T00:00:00"/>
    <x v="2"/>
    <x v="5"/>
    <x v="4"/>
    <s v="Electronics"/>
    <n v="10"/>
    <n v="7742.1833333333288"/>
    <n v="1106.0261904761899"/>
    <n v="0"/>
    <s v="Card"/>
    <x v="1"/>
    <n v="11060.261904761899"/>
    <x v="2"/>
    <x v="0"/>
    <n v="3318.0785714285703"/>
    <n v="0.30000000000000004"/>
  </r>
  <r>
    <s v="ORD985"/>
    <d v="2023-08-09T00:00:00"/>
    <x v="4"/>
    <x v="4"/>
    <x v="0"/>
    <s v="Electronics"/>
    <n v="0"/>
    <n v="0"/>
    <n v="1002.870425531915"/>
    <n v="0"/>
    <s v="Unknown"/>
    <x v="1"/>
    <n v="0"/>
    <x v="3"/>
    <x v="0"/>
    <n v="0"/>
    <n v="0"/>
  </r>
  <r>
    <s v="ORD1047"/>
    <d v="2024-02-05T00:00:00"/>
    <x v="2"/>
    <x v="4"/>
    <x v="2"/>
    <s v="Groceries"/>
    <n v="0"/>
    <n v="0"/>
    <n v="936.79681818181825"/>
    <n v="0"/>
    <s v="Cash"/>
    <x v="0"/>
    <n v="0"/>
    <x v="0"/>
    <x v="1"/>
    <n v="0"/>
    <n v="0"/>
  </r>
  <r>
    <s v="ORD906"/>
    <d v="2024-01-08T00:00:00"/>
    <x v="5"/>
    <x v="0"/>
    <x v="1"/>
    <s v="Electronics"/>
    <n v="0"/>
    <n v="0"/>
    <n v="981.36020408163256"/>
    <n v="0.2"/>
    <s v="Unknown"/>
    <x v="4"/>
    <n v="0"/>
    <x v="1"/>
    <x v="1"/>
    <n v="0"/>
    <n v="0"/>
  </r>
  <r>
    <s v="ORD961"/>
    <d v="2023-05-10T00:00:00"/>
    <x v="4"/>
    <x v="0"/>
    <x v="2"/>
    <s v="Groceries"/>
    <n v="0"/>
    <n v="0"/>
    <n v="936.79681818181825"/>
    <n v="0"/>
    <s v="Pos"/>
    <x v="1"/>
    <n v="0"/>
    <x v="7"/>
    <x v="0"/>
    <n v="0"/>
    <n v="0"/>
  </r>
  <r>
    <s v="ORD1039"/>
    <d v="2023-01-19T00:00:00"/>
    <x v="1"/>
    <x v="0"/>
    <x v="6"/>
    <s v="Electronics"/>
    <n v="0"/>
    <n v="0"/>
    <n v="1829.66"/>
    <n v="0"/>
    <s v="Unknown"/>
    <x v="4"/>
    <n v="0"/>
    <x v="1"/>
    <x v="0"/>
    <n v="0"/>
    <n v="0"/>
  </r>
  <r>
    <s v="ORD942"/>
    <d v="2023-11-28T00:00:00"/>
    <x v="0"/>
    <x v="2"/>
    <x v="5"/>
    <s v="Home Appliances"/>
    <n v="0"/>
    <n v="0"/>
    <n v="220.83"/>
    <n v="0"/>
    <s v="Unknown"/>
    <x v="0"/>
    <n v="0"/>
    <x v="2"/>
    <x v="0"/>
    <n v="0"/>
    <n v="0"/>
  </r>
  <r>
    <s v="ORD1042"/>
    <d v="2023-10-25T00:00:00"/>
    <x v="2"/>
    <x v="5"/>
    <x v="0"/>
    <s v="Electronics"/>
    <n v="0"/>
    <n v="0"/>
    <n v="1002.870425531915"/>
    <n v="0.05"/>
    <s v="Transfer"/>
    <x v="3"/>
    <n v="0"/>
    <x v="6"/>
    <x v="0"/>
    <n v="0"/>
    <n v="0"/>
  </r>
  <r>
    <s v="ORD975"/>
    <d v="2023-08-01T00:00:00"/>
    <x v="0"/>
    <x v="1"/>
    <x v="6"/>
    <s v="Electronics"/>
    <n v="0"/>
    <n v="0"/>
    <n v="692.7"/>
    <n v="0"/>
    <s v="Transfer"/>
    <x v="3"/>
    <n v="0"/>
    <x v="3"/>
    <x v="0"/>
    <n v="0"/>
    <n v="0"/>
  </r>
  <r>
    <s v="ORD1012"/>
    <d v="2024-01-05T00:00:00"/>
    <x v="5"/>
    <x v="4"/>
    <x v="4"/>
    <s v="Electronics"/>
    <n v="0"/>
    <n v="0"/>
    <n v="1106.0261904761899"/>
    <n v="0"/>
    <s v="Cash"/>
    <x v="2"/>
    <n v="0"/>
    <x v="1"/>
    <x v="1"/>
    <n v="0"/>
    <n v="0"/>
  </r>
  <r>
    <s v="ORD1032"/>
    <d v="2023-03-31T00:00:00"/>
    <x v="4"/>
    <x v="4"/>
    <x v="3"/>
    <s v="Electronics"/>
    <n v="15"/>
    <n v="11335.554255319148"/>
    <n v="1079.5765957446808"/>
    <n v="0"/>
    <s v="Unknown"/>
    <x v="1"/>
    <n v="16193.648936170213"/>
    <x v="5"/>
    <x v="0"/>
    <n v="4858.0946808510653"/>
    <n v="0.3000000000000001"/>
  </r>
  <r>
    <s v="ORD1001"/>
    <d v="2023-01-15T00:00:00"/>
    <x v="2"/>
    <x v="5"/>
    <x v="3"/>
    <s v="Electronics"/>
    <n v="13"/>
    <n v="12853.021999999999"/>
    <n v="1412.42"/>
    <n v="0"/>
    <s v="Cash"/>
    <x v="0"/>
    <n v="18361.46"/>
    <x v="1"/>
    <x v="0"/>
    <n v="5508.4380000000001"/>
    <n v="0.30000000000000004"/>
  </r>
  <r>
    <s v="ORD926"/>
    <d v="2023-10-02T00:00:00"/>
    <x v="4"/>
    <x v="4"/>
    <x v="0"/>
    <s v="Electronics"/>
    <n v="15"/>
    <n v="10530.139468085106"/>
    <n v="1002.870425531915"/>
    <n v="0"/>
    <s v="Card"/>
    <x v="0"/>
    <n v="15043.056382978724"/>
    <x v="6"/>
    <x v="0"/>
    <n v="4512.916914893618"/>
    <n v="0.30000000000000004"/>
  </r>
  <r>
    <s v="ORD999"/>
    <d v="2023-11-09T00:00:00"/>
    <x v="5"/>
    <x v="2"/>
    <x v="4"/>
    <s v="Electronics"/>
    <n v="0"/>
    <n v="0"/>
    <n v="1106.0261904761899"/>
    <n v="0"/>
    <s v="Pos"/>
    <x v="0"/>
    <n v="0"/>
    <x v="2"/>
    <x v="0"/>
    <n v="0"/>
    <n v="0"/>
  </r>
  <r>
    <s v="ORD921"/>
    <d v="2023-12-11T00:00:00"/>
    <x v="4"/>
    <x v="4"/>
    <x v="4"/>
    <s v="Electronics"/>
    <n v="10"/>
    <n v="7742.1833333333288"/>
    <n v="1106.0261904761899"/>
    <n v="0"/>
    <s v="Transfer"/>
    <x v="0"/>
    <n v="11060.261904761899"/>
    <x v="10"/>
    <x v="0"/>
    <n v="3318.0785714285703"/>
    <n v="0.30000000000000004"/>
  </r>
  <r>
    <s v="ORD935"/>
    <d v="2023-10-22T00:00:00"/>
    <x v="5"/>
    <x v="5"/>
    <x v="1"/>
    <s v="Electronics"/>
    <n v="0"/>
    <n v="0"/>
    <n v="1839.13"/>
    <n v="0"/>
    <s v="Card"/>
    <x v="2"/>
    <n v="0"/>
    <x v="6"/>
    <x v="0"/>
    <n v="0"/>
    <n v="0"/>
  </r>
  <r>
    <s v="ORD947"/>
    <d v="2023-06-11T00:00:00"/>
    <x v="5"/>
    <x v="2"/>
    <x v="4"/>
    <s v="Electronics"/>
    <n v="0"/>
    <n v="0"/>
    <n v="1106.0261904761899"/>
    <n v="0"/>
    <s v="Unknown"/>
    <x v="1"/>
    <n v="0"/>
    <x v="11"/>
    <x v="0"/>
    <n v="0"/>
    <n v="0"/>
  </r>
  <r>
    <s v="ORD1004"/>
    <d v="2023-12-17T00:00:00"/>
    <x v="5"/>
    <x v="5"/>
    <x v="5"/>
    <s v="Home Appliances"/>
    <n v="16"/>
    <n v="1954.5119999999997"/>
    <n v="174.51"/>
    <n v="0.24"/>
    <s v="Card"/>
    <x v="3"/>
    <n v="2122.0416"/>
    <x v="10"/>
    <x v="0"/>
    <n v="167.5296000000003"/>
    <n v="7.8947368421052766E-2"/>
  </r>
  <r>
    <s v="ORD970"/>
    <d v="2023-04-26T00:00:00"/>
    <x v="3"/>
    <x v="1"/>
    <x v="6"/>
    <s v="Electronics"/>
    <n v="0"/>
    <n v="0"/>
    <n v="961.05661016949136"/>
    <n v="0.16"/>
    <s v="Pos"/>
    <x v="3"/>
    <n v="0"/>
    <x v="8"/>
    <x v="0"/>
    <n v="0"/>
    <n v="0"/>
  </r>
  <r>
    <s v="ORD968"/>
    <d v="2024-02-01T00:00:00"/>
    <x v="1"/>
    <x v="2"/>
    <x v="6"/>
    <s v="Electronics"/>
    <n v="0"/>
    <n v="0"/>
    <n v="961.05661016949136"/>
    <n v="0"/>
    <s v="Cash"/>
    <x v="4"/>
    <n v="0"/>
    <x v="0"/>
    <x v="1"/>
    <n v="0"/>
    <n v="0"/>
  </r>
  <r>
    <s v="ORD908"/>
    <d v="2023-08-19T00:00:00"/>
    <x v="3"/>
    <x v="4"/>
    <x v="6"/>
    <s v="Electronics"/>
    <n v="15"/>
    <n v="16311.854999999998"/>
    <n v="1553.51"/>
    <n v="0"/>
    <s v="Pos"/>
    <x v="4"/>
    <n v="23302.65"/>
    <x v="3"/>
    <x v="0"/>
    <n v="6990.7950000000037"/>
    <n v="0.30000000000000004"/>
  </r>
  <r>
    <s v="ORD1081"/>
    <d v="2023-11-09T00:00:00"/>
    <x v="5"/>
    <x v="1"/>
    <x v="3"/>
    <s v="Electronics"/>
    <n v="7"/>
    <n v="5289.9253191489352"/>
    <n v="1079.5765957446808"/>
    <n v="0"/>
    <s v="Pos"/>
    <x v="0"/>
    <n v="7557.0361702127657"/>
    <x v="2"/>
    <x v="0"/>
    <n v="2267.1108510638305"/>
    <n v="0.3"/>
  </r>
  <r>
    <s v="ORD943"/>
    <d v="2023-06-15T00:00:00"/>
    <x v="3"/>
    <x v="4"/>
    <x v="3"/>
    <s v="Electronics"/>
    <n v="0"/>
    <n v="0"/>
    <n v="1632.21"/>
    <n v="0"/>
    <s v="Cash"/>
    <x v="4"/>
    <n v="0"/>
    <x v="11"/>
    <x v="0"/>
    <n v="0"/>
    <n v="0"/>
  </r>
  <r>
    <s v="ORD1067"/>
    <d v="2023-03-06T00:00:00"/>
    <x v="4"/>
    <x v="1"/>
    <x v="1"/>
    <s v="Electronics"/>
    <n v="0"/>
    <n v="0"/>
    <n v="791.47"/>
    <n v="0"/>
    <s v="Unknown"/>
    <x v="1"/>
    <n v="0"/>
    <x v="5"/>
    <x v="0"/>
    <n v="0"/>
    <n v="0"/>
  </r>
  <r>
    <s v="ORD996"/>
    <d v="2023-08-20T00:00:00"/>
    <x v="0"/>
    <x v="0"/>
    <x v="6"/>
    <s v="Electronics"/>
    <n v="0"/>
    <n v="0"/>
    <n v="961.05661016949136"/>
    <n v="0"/>
    <s v="Transfer"/>
    <x v="1"/>
    <n v="0"/>
    <x v="3"/>
    <x v="0"/>
    <n v="0"/>
    <n v="0"/>
  </r>
  <r>
    <s v="ORD983"/>
    <d v="2023-10-25T00:00:00"/>
    <x v="0"/>
    <x v="3"/>
    <x v="6"/>
    <s v="Electronics"/>
    <n v="0"/>
    <n v="0"/>
    <n v="961.05661016949136"/>
    <n v="0"/>
    <s v="Transfer"/>
    <x v="2"/>
    <n v="0"/>
    <x v="6"/>
    <x v="0"/>
    <n v="0"/>
    <n v="0"/>
  </r>
  <r>
    <s v="ORD1009"/>
    <d v="2023-04-19T00:00:00"/>
    <x v="5"/>
    <x v="4"/>
    <x v="0"/>
    <s v="Electronics"/>
    <n v="0"/>
    <n v="0"/>
    <n v="1002.870425531915"/>
    <n v="0"/>
    <s v="Unknown"/>
    <x v="3"/>
    <n v="0"/>
    <x v="8"/>
    <x v="0"/>
    <n v="0"/>
    <n v="0"/>
  </r>
  <r>
    <s v="ORD911"/>
    <d v="2023-02-20T00:00:00"/>
    <x v="5"/>
    <x v="1"/>
    <x v="4"/>
    <s v="Electronics"/>
    <n v="0"/>
    <n v="0"/>
    <n v="1106.0261904761899"/>
    <n v="0"/>
    <s v="Cash"/>
    <x v="4"/>
    <n v="0"/>
    <x v="0"/>
    <x v="0"/>
    <n v="0"/>
    <n v="0"/>
  </r>
  <r>
    <s v="ORD940"/>
    <d v="2023-05-21T00:00:00"/>
    <x v="0"/>
    <x v="0"/>
    <x v="0"/>
    <s v="Electronics"/>
    <n v="0"/>
    <n v="0"/>
    <n v="1002.870425531915"/>
    <n v="0"/>
    <s v="Unknown"/>
    <x v="4"/>
    <n v="0"/>
    <x v="7"/>
    <x v="0"/>
    <n v="0"/>
    <n v="0"/>
  </r>
  <r>
    <s v="ORD1085"/>
    <d v="2023-12-25T00:00:00"/>
    <x v="2"/>
    <x v="5"/>
    <x v="5"/>
    <s v="Home Appliances"/>
    <n v="4"/>
    <n v="1217.1879999999999"/>
    <n v="434.71"/>
    <n v="0.04"/>
    <s v="Pos"/>
    <x v="1"/>
    <n v="1669.2864"/>
    <x v="10"/>
    <x v="0"/>
    <n v="452.09840000000008"/>
    <n v="0.27083333333333337"/>
  </r>
  <r>
    <s v="ORD902"/>
    <d v="2023-01-05T00:00:00"/>
    <x v="1"/>
    <x v="3"/>
    <x v="4"/>
    <s v="Electronics"/>
    <n v="0"/>
    <n v="0"/>
    <n v="1106.0261904761899"/>
    <n v="0.03"/>
    <s v="Cash"/>
    <x v="4"/>
    <n v="0"/>
    <x v="1"/>
    <x v="0"/>
    <n v="0"/>
    <n v="0"/>
  </r>
  <r>
    <s v="ORD994"/>
    <d v="2023-06-03T00:00:00"/>
    <x v="4"/>
    <x v="5"/>
    <x v="6"/>
    <s v="Electronics"/>
    <n v="5"/>
    <n v="3729.9849999999997"/>
    <n v="1065.71"/>
    <n v="0.18"/>
    <s v="Transfer"/>
    <x v="4"/>
    <n v="4369.4110000000001"/>
    <x v="11"/>
    <x v="0"/>
    <n v="639.42600000000039"/>
    <n v="0.14634146341463422"/>
  </r>
  <r>
    <s v="ORD1084"/>
    <d v="2023-04-20T00:00:00"/>
    <x v="4"/>
    <x v="5"/>
    <x v="3"/>
    <s v="Electronics"/>
    <n v="7"/>
    <n v="8791.6779999999999"/>
    <n v="1794.22"/>
    <n v="0"/>
    <s v="Unknown"/>
    <x v="1"/>
    <n v="12559.54"/>
    <x v="8"/>
    <x v="0"/>
    <n v="3767.862000000001"/>
    <n v="0.30000000000000004"/>
  </r>
  <r>
    <s v="ORD989"/>
    <d v="2023-08-08T00:00:00"/>
    <x v="1"/>
    <x v="3"/>
    <x v="1"/>
    <s v="Electronics"/>
    <n v="0"/>
    <n v="0"/>
    <n v="981.36020408163256"/>
    <n v="0"/>
    <s v="Pos"/>
    <x v="4"/>
    <n v="0"/>
    <x v="3"/>
    <x v="0"/>
    <n v="0"/>
    <n v="0"/>
  </r>
  <r>
    <s v="ORD1099"/>
    <d v="2023-12-20T00:00:00"/>
    <x v="0"/>
    <x v="3"/>
    <x v="6"/>
    <s v="Electronics"/>
    <n v="0"/>
    <n v="0"/>
    <n v="1217.78"/>
    <n v="0"/>
    <s v="Unknown"/>
    <x v="3"/>
    <n v="0"/>
    <x v="10"/>
    <x v="0"/>
    <n v="0"/>
    <n v="0"/>
  </r>
  <r>
    <s v="ORD1100"/>
    <d v="2023-05-03T00:00:00"/>
    <x v="5"/>
    <x v="5"/>
    <x v="4"/>
    <s v="Electronics"/>
    <n v="0"/>
    <n v="0"/>
    <n v="1106.0261904761899"/>
    <n v="0.27"/>
    <s v="Card"/>
    <x v="4"/>
    <n v="0"/>
    <x v="7"/>
    <x v="0"/>
    <n v="0"/>
    <n v="0"/>
  </r>
  <r>
    <s v="ORD933"/>
    <d v="2023-07-18T00:00:00"/>
    <x v="5"/>
    <x v="4"/>
    <x v="3"/>
    <s v="Electronics"/>
    <n v="16"/>
    <n v="483.952"/>
    <n v="43.21"/>
    <n v="0"/>
    <s v="Cash"/>
    <x v="3"/>
    <n v="691.36"/>
    <x v="4"/>
    <x v="0"/>
    <n v="207.40800000000002"/>
    <n v="0.3"/>
  </r>
  <r>
    <s v="ORD1001"/>
    <d v="2023-09-17T00:00:00"/>
    <x v="3"/>
    <x v="0"/>
    <x v="5"/>
    <s v="Home Appliances"/>
    <n v="0"/>
    <n v="0"/>
    <n v="1406.6"/>
    <n v="0"/>
    <s v="Pos"/>
    <x v="2"/>
    <n v="0"/>
    <x v="9"/>
    <x v="0"/>
    <n v="0"/>
    <n v="0"/>
  </r>
  <r>
    <s v="ORD971"/>
    <d v="2023-02-12T00:00:00"/>
    <x v="3"/>
    <x v="1"/>
    <x v="3"/>
    <s v="Electronics"/>
    <n v="0"/>
    <n v="0"/>
    <n v="1079.5765957446808"/>
    <n v="0"/>
    <s v="Unknown"/>
    <x v="3"/>
    <n v="0"/>
    <x v="0"/>
    <x v="0"/>
    <n v="0"/>
    <n v="0"/>
  </r>
  <r>
    <s v="ORD979"/>
    <d v="2023-12-24T00:00:00"/>
    <x v="5"/>
    <x v="0"/>
    <x v="6"/>
    <s v="Electronics"/>
    <n v="2"/>
    <n v="1345.4792542372879"/>
    <n v="961.05661016949136"/>
    <n v="0"/>
    <s v="Pos"/>
    <x v="3"/>
    <n v="1922.1132203389827"/>
    <x v="10"/>
    <x v="0"/>
    <n v="576.6339661016948"/>
    <n v="0.3"/>
  </r>
  <r>
    <s v="ORD979"/>
    <d v="2023-12-08T00:00:00"/>
    <x v="4"/>
    <x v="1"/>
    <x v="4"/>
    <s v="Electronics"/>
    <n v="1"/>
    <n v="774.21833333333291"/>
    <n v="1106.0261904761899"/>
    <n v="0"/>
    <s v="Card"/>
    <x v="2"/>
    <n v="1106.0261904761899"/>
    <x v="10"/>
    <x v="0"/>
    <n v="331.80785714285696"/>
    <n v="0.3"/>
  </r>
  <r>
    <s v="ORD995"/>
    <d v="2023-03-06T00:00:00"/>
    <x v="3"/>
    <x v="0"/>
    <x v="4"/>
    <s v="Electronics"/>
    <n v="0"/>
    <n v="0"/>
    <n v="551.24"/>
    <n v="0"/>
    <s v="Unknown"/>
    <x v="3"/>
    <n v="0"/>
    <x v="5"/>
    <x v="0"/>
    <n v="0"/>
    <n v="0"/>
  </r>
  <r>
    <s v="ORD1027"/>
    <d v="2023-08-22T00:00:00"/>
    <x v="1"/>
    <x v="1"/>
    <x v="2"/>
    <s v="Groceries"/>
    <n v="0"/>
    <n v="0"/>
    <n v="323.05"/>
    <n v="0"/>
    <s v="Unknown"/>
    <x v="3"/>
    <n v="0"/>
    <x v="3"/>
    <x v="0"/>
    <n v="0"/>
    <n v="0"/>
  </r>
  <r>
    <s v="ORD958"/>
    <d v="2024-01-15T00:00:00"/>
    <x v="0"/>
    <x v="1"/>
    <x v="6"/>
    <s v="Electronics"/>
    <n v="8"/>
    <n v="5381.9170169491517"/>
    <n v="961.05661016949136"/>
    <n v="0.28000000000000003"/>
    <s v="Cash"/>
    <x v="0"/>
    <n v="5535.6860745762697"/>
    <x v="1"/>
    <x v="1"/>
    <n v="153.76905762711795"/>
    <n v="2.7777777777777658E-2"/>
  </r>
  <r>
    <s v="ORD1082"/>
    <d v="2024-01-15T00:00:00"/>
    <x v="5"/>
    <x v="1"/>
    <x v="0"/>
    <s v="Electronics"/>
    <n v="0"/>
    <n v="0"/>
    <n v="646.66999999999996"/>
    <n v="0.17"/>
    <s v="Pos"/>
    <x v="3"/>
    <n v="0"/>
    <x v="1"/>
    <x v="1"/>
    <n v="0"/>
    <n v="0"/>
  </r>
  <r>
    <s v="ORD945"/>
    <d v="2023-04-25T00:00:00"/>
    <x v="0"/>
    <x v="5"/>
    <x v="4"/>
    <s v="Electronics"/>
    <n v="0"/>
    <n v="0"/>
    <n v="1106.0261904761899"/>
    <n v="0"/>
    <s v="Cash"/>
    <x v="4"/>
    <n v="0"/>
    <x v="8"/>
    <x v="0"/>
    <n v="0"/>
    <n v="0"/>
  </r>
  <r>
    <s v="ORD1044"/>
    <d v="2023-06-05T00:00:00"/>
    <x v="2"/>
    <x v="5"/>
    <x v="0"/>
    <s v="Electronics"/>
    <n v="16"/>
    <n v="11232.148765957447"/>
    <n v="1002.870425531915"/>
    <n v="0.23"/>
    <s v="Cash"/>
    <x v="3"/>
    <n v="12355.363642553193"/>
    <x v="11"/>
    <x v="0"/>
    <n v="1123.2148765957463"/>
    <n v="9.0909090909091023E-2"/>
  </r>
  <r>
    <s v="ORD1004"/>
    <d v="2023-01-13T00:00:00"/>
    <x v="2"/>
    <x v="2"/>
    <x v="0"/>
    <s v="Electronics"/>
    <n v="11"/>
    <n v="7722.102276595745"/>
    <n v="1002.870425531915"/>
    <n v="0"/>
    <s v="Card"/>
    <x v="3"/>
    <n v="11031.574680851065"/>
    <x v="1"/>
    <x v="0"/>
    <n v="3309.4724042553198"/>
    <n v="0.30000000000000004"/>
  </r>
  <r>
    <s v="ORD952"/>
    <d v="2023-09-29T00:00:00"/>
    <x v="2"/>
    <x v="5"/>
    <x v="2"/>
    <s v="Groceries"/>
    <n v="0"/>
    <n v="0"/>
    <n v="566.85"/>
    <n v="0"/>
    <s v="Transfer"/>
    <x v="4"/>
    <n v="0"/>
    <x v="9"/>
    <x v="0"/>
    <n v="0"/>
    <n v="0"/>
  </r>
  <r>
    <s v="ORD1017"/>
    <d v="2024-01-18T00:00:00"/>
    <x v="0"/>
    <x v="2"/>
    <x v="4"/>
    <s v="Electronics"/>
    <n v="0"/>
    <n v="0"/>
    <n v="1641.73"/>
    <n v="0.18"/>
    <s v="Transfer"/>
    <x v="2"/>
    <n v="0"/>
    <x v="1"/>
    <x v="1"/>
    <n v="0"/>
    <n v="0"/>
  </r>
  <r>
    <s v="ORD960"/>
    <d v="2023-05-30T00:00:00"/>
    <x v="3"/>
    <x v="3"/>
    <x v="0"/>
    <s v="Electronics"/>
    <n v="0"/>
    <n v="0"/>
    <n v="910.99"/>
    <n v="0.02"/>
    <s v="Cash"/>
    <x v="0"/>
    <n v="0"/>
    <x v="7"/>
    <x v="0"/>
    <n v="0"/>
    <n v="0"/>
  </r>
  <r>
    <s v="ORD927"/>
    <d v="2023-03-21T00:00:00"/>
    <x v="0"/>
    <x v="1"/>
    <x v="2"/>
    <s v="Groceries"/>
    <n v="0"/>
    <n v="0"/>
    <n v="936.79681818181825"/>
    <n v="0.28999999999999998"/>
    <s v="Transfer"/>
    <x v="4"/>
    <n v="0"/>
    <x v="5"/>
    <x v="0"/>
    <n v="0"/>
    <n v="0"/>
  </r>
  <r>
    <s v="ORD1018"/>
    <d v="2023-05-16T00:00:00"/>
    <x v="0"/>
    <x v="1"/>
    <x v="1"/>
    <s v="Electronics"/>
    <n v="20"/>
    <n v="13739.042857142857"/>
    <n v="981.36020408163256"/>
    <n v="0"/>
    <s v="Cash"/>
    <x v="4"/>
    <n v="19627.204081632652"/>
    <x v="7"/>
    <x v="0"/>
    <n v="5888.1612244897951"/>
    <n v="0.3000000000000001"/>
  </r>
  <r>
    <s v="ORD1001"/>
    <d v="2023-09-20T00:00:00"/>
    <x v="0"/>
    <x v="0"/>
    <x v="0"/>
    <s v="Electronics"/>
    <n v="6"/>
    <n v="4212.0557872340423"/>
    <n v="1002.870425531915"/>
    <n v="0"/>
    <s v="Cash"/>
    <x v="3"/>
    <n v="6017.2225531914901"/>
    <x v="9"/>
    <x v="0"/>
    <n v="1805.1667659574478"/>
    <n v="0.3"/>
  </r>
  <r>
    <s v="ORD1018"/>
    <d v="2023-02-22T00:00:00"/>
    <x v="4"/>
    <x v="1"/>
    <x v="4"/>
    <s v="Electronics"/>
    <n v="8"/>
    <n v="6193.7466666666633"/>
    <n v="1106.0261904761899"/>
    <n v="0"/>
    <s v="Unknown"/>
    <x v="3"/>
    <n v="8848.2095238095189"/>
    <x v="0"/>
    <x v="0"/>
    <n v="2654.4628571428557"/>
    <n v="0.3"/>
  </r>
  <r>
    <s v="ORD1049"/>
    <d v="2023-10-28T00:00:00"/>
    <x v="3"/>
    <x v="3"/>
    <x v="4"/>
    <s v="Electronics"/>
    <n v="3"/>
    <n v="2322.6549999999988"/>
    <n v="1106.0261904761899"/>
    <n v="0.24"/>
    <s v="Card"/>
    <x v="3"/>
    <n v="2521.7397142857126"/>
    <x v="6"/>
    <x v="0"/>
    <n v="199.08471428571374"/>
    <n v="7.8947368421052655E-2"/>
  </r>
  <r>
    <s v="ORD910"/>
    <d v="2023-08-25T00:00:00"/>
    <x v="0"/>
    <x v="1"/>
    <x v="3"/>
    <s v="Electronics"/>
    <n v="0"/>
    <n v="0"/>
    <n v="1079.5765957446808"/>
    <n v="0"/>
    <s v="Cash"/>
    <x v="2"/>
    <n v="0"/>
    <x v="3"/>
    <x v="0"/>
    <n v="0"/>
    <n v="0"/>
  </r>
  <r>
    <s v="ORD970"/>
    <d v="2023-05-24T00:00:00"/>
    <x v="5"/>
    <x v="1"/>
    <x v="4"/>
    <s v="Electronics"/>
    <n v="0"/>
    <n v="0"/>
    <n v="1106.0261904761899"/>
    <n v="0"/>
    <s v="Transfer"/>
    <x v="3"/>
    <n v="0"/>
    <x v="7"/>
    <x v="0"/>
    <n v="0"/>
    <n v="0"/>
  </r>
  <r>
    <s v="ORD922"/>
    <d v="2023-05-24T00:00:00"/>
    <x v="5"/>
    <x v="1"/>
    <x v="2"/>
    <s v="Groceries"/>
    <n v="17"/>
    <n v="11147.882136363636"/>
    <n v="936.79681818181825"/>
    <n v="0"/>
    <s v="Unknown"/>
    <x v="4"/>
    <n v="15925.54590909091"/>
    <x v="7"/>
    <x v="0"/>
    <n v="4777.6637727272737"/>
    <n v="0.30000000000000004"/>
  </r>
  <r>
    <s v="ORD1022"/>
    <d v="2023-10-06T00:00:00"/>
    <x v="5"/>
    <x v="4"/>
    <x v="3"/>
    <s v="Electronics"/>
    <n v="0"/>
    <n v="0"/>
    <n v="548.16999999999996"/>
    <n v="0.1"/>
    <s v="Cash"/>
    <x v="4"/>
    <n v="0"/>
    <x v="6"/>
    <x v="0"/>
    <n v="0"/>
    <n v="0"/>
  </r>
  <r>
    <s v="ORD914"/>
    <d v="2023-08-30T00:00:00"/>
    <x v="1"/>
    <x v="3"/>
    <x v="3"/>
    <s v="Electronics"/>
    <n v="6"/>
    <n v="2113.6079999999997"/>
    <n v="503.24"/>
    <n v="0"/>
    <s v="Cash"/>
    <x v="2"/>
    <n v="3019.44"/>
    <x v="3"/>
    <x v="0"/>
    <n v="905.83200000000033"/>
    <n v="0.3000000000000001"/>
  </r>
  <r>
    <s v="ORD1047"/>
    <d v="2023-07-18T00:00:00"/>
    <x v="1"/>
    <x v="3"/>
    <x v="6"/>
    <s v="Electronics"/>
    <n v="6"/>
    <n v="4036.4377627118638"/>
    <n v="961.05661016949136"/>
    <n v="0"/>
    <s v="Cash"/>
    <x v="4"/>
    <n v="5766.3396610169484"/>
    <x v="4"/>
    <x v="0"/>
    <n v="1729.9018983050846"/>
    <n v="0.3"/>
  </r>
  <r>
    <s v="ORD1045"/>
    <d v="2023-10-16T00:00:00"/>
    <x v="4"/>
    <x v="2"/>
    <x v="1"/>
    <s v="Electronics"/>
    <n v="0"/>
    <n v="0"/>
    <n v="359.36"/>
    <n v="0.03"/>
    <s v="Pos"/>
    <x v="2"/>
    <n v="0"/>
    <x v="6"/>
    <x v="0"/>
    <n v="0"/>
    <n v="0"/>
  </r>
  <r>
    <s v="ORD905"/>
    <d v="2023-09-27T00:00:00"/>
    <x v="5"/>
    <x v="1"/>
    <x v="0"/>
    <s v="Electronics"/>
    <n v="7"/>
    <n v="3371.7389999999996"/>
    <n v="688.11"/>
    <n v="0"/>
    <s v="Cash"/>
    <x v="3"/>
    <n v="4816.7700000000004"/>
    <x v="9"/>
    <x v="0"/>
    <n v="1445.0310000000009"/>
    <n v="0.30000000000000004"/>
  </r>
  <r>
    <s v="ORD937"/>
    <d v="2023-10-28T00:00:00"/>
    <x v="4"/>
    <x v="3"/>
    <x v="4"/>
    <s v="Electronics"/>
    <n v="12"/>
    <n v="9290.6199999999953"/>
    <n v="1106.0261904761899"/>
    <n v="0.12"/>
    <s v="Card"/>
    <x v="4"/>
    <n v="11679.636571428564"/>
    <x v="6"/>
    <x v="0"/>
    <n v="2389.0165714285686"/>
    <n v="0.20454545454545459"/>
  </r>
  <r>
    <s v="ORD982"/>
    <d v="2023-03-11T00:00:00"/>
    <x v="4"/>
    <x v="0"/>
    <x v="2"/>
    <s v="Groceries"/>
    <n v="11"/>
    <n v="7213.3355000000001"/>
    <n v="936.79681818181825"/>
    <n v="0"/>
    <s v="Card"/>
    <x v="2"/>
    <n v="10304.765000000001"/>
    <x v="5"/>
    <x v="0"/>
    <n v="3091.4295000000011"/>
    <n v="0.30000000000000004"/>
  </r>
  <r>
    <s v="ORD1070"/>
    <d v="2023-10-29T00:00:00"/>
    <x v="4"/>
    <x v="5"/>
    <x v="0"/>
    <s v="Electronics"/>
    <n v="5"/>
    <n v="3510.0464893617022"/>
    <n v="1002.870425531915"/>
    <n v="0"/>
    <s v="Pos"/>
    <x v="3"/>
    <n v="5014.3521276595748"/>
    <x v="6"/>
    <x v="0"/>
    <n v="1504.3056382978725"/>
    <n v="0.30000000000000004"/>
  </r>
  <r>
    <s v="ORD946"/>
    <d v="2023-11-05T00:00:00"/>
    <x v="1"/>
    <x v="3"/>
    <x v="3"/>
    <s v="Electronics"/>
    <n v="19"/>
    <n v="24924.332999999999"/>
    <n v="1874.01"/>
    <n v="0.1"/>
    <s v="Cash"/>
    <x v="4"/>
    <n v="32045.571000000004"/>
    <x v="2"/>
    <x v="0"/>
    <n v="7121.2380000000048"/>
    <n v="0.22222222222222235"/>
  </r>
  <r>
    <s v="ORD981"/>
    <d v="2023-03-27T00:00:00"/>
    <x v="0"/>
    <x v="3"/>
    <x v="5"/>
    <s v="Home Appliances"/>
    <n v="15"/>
    <n v="5646.5849999999991"/>
    <n v="537.77"/>
    <n v="0"/>
    <s v="Card"/>
    <x v="3"/>
    <n v="8066.5499999999993"/>
    <x v="5"/>
    <x v="0"/>
    <n v="2419.9650000000001"/>
    <n v="0.30000000000000004"/>
  </r>
  <r>
    <s v="ORD1084"/>
    <d v="2023-01-01T00:00:00"/>
    <x v="0"/>
    <x v="5"/>
    <x v="2"/>
    <s v="Groceries"/>
    <n v="0"/>
    <n v="0"/>
    <n v="936.79681818181825"/>
    <n v="0"/>
    <s v="Cash"/>
    <x v="1"/>
    <n v="0"/>
    <x v="1"/>
    <x v="0"/>
    <n v="0"/>
    <n v="0"/>
  </r>
  <r>
    <s v="ORD1047"/>
    <d v="2023-11-30T00:00:00"/>
    <x v="2"/>
    <x v="1"/>
    <x v="2"/>
    <s v="Groceries"/>
    <n v="0"/>
    <n v="0"/>
    <n v="936.79681818181825"/>
    <n v="0.28999999999999998"/>
    <s v="Card"/>
    <x v="2"/>
    <n v="0"/>
    <x v="2"/>
    <x v="0"/>
    <n v="0"/>
    <n v="0"/>
  </r>
  <r>
    <s v="ORD996"/>
    <d v="2023-03-24T00:00:00"/>
    <x v="0"/>
    <x v="2"/>
    <x v="4"/>
    <s v="Electronics"/>
    <n v="0"/>
    <n v="0"/>
    <n v="1106.0261904761899"/>
    <n v="0"/>
    <s v="Cash"/>
    <x v="0"/>
    <n v="0"/>
    <x v="5"/>
    <x v="0"/>
    <n v="0"/>
    <n v="0"/>
  </r>
  <r>
    <s v="ORD1011"/>
    <d v="2023-03-22T00:00:00"/>
    <x v="0"/>
    <x v="1"/>
    <x v="0"/>
    <s v="Electronics"/>
    <n v="0"/>
    <n v="0"/>
    <n v="1002.870425531915"/>
    <n v="0"/>
    <s v="Card"/>
    <x v="4"/>
    <n v="0"/>
    <x v="5"/>
    <x v="0"/>
    <n v="0"/>
    <n v="0"/>
  </r>
  <r>
    <s v="ORD976"/>
    <d v="2023-05-02T00:00:00"/>
    <x v="0"/>
    <x v="1"/>
    <x v="2"/>
    <s v="Groceries"/>
    <n v="0"/>
    <n v="0"/>
    <n v="936.79681818181825"/>
    <n v="0"/>
    <s v="Card"/>
    <x v="0"/>
    <n v="0"/>
    <x v="7"/>
    <x v="0"/>
    <n v="0"/>
    <n v="0"/>
  </r>
  <r>
    <s v="ORD1022"/>
    <d v="2023-04-13T00:00:00"/>
    <x v="0"/>
    <x v="1"/>
    <x v="1"/>
    <s v="Electronics"/>
    <n v="10"/>
    <n v="6666.869999999999"/>
    <n v="952.41"/>
    <n v="0"/>
    <s v="Transfer"/>
    <x v="1"/>
    <n v="9524.1"/>
    <x v="8"/>
    <x v="0"/>
    <n v="2857.2300000000014"/>
    <n v="0.30000000000000004"/>
  </r>
  <r>
    <s v="ORD1069"/>
    <d v="2023-05-16T00:00:00"/>
    <x v="0"/>
    <x v="0"/>
    <x v="3"/>
    <s v="Electronics"/>
    <n v="0"/>
    <n v="0"/>
    <n v="1079.5765957446808"/>
    <n v="0.06"/>
    <s v="Card"/>
    <x v="1"/>
    <n v="0"/>
    <x v="7"/>
    <x v="0"/>
    <n v="0"/>
    <n v="0"/>
  </r>
  <r>
    <s v="ORD1019"/>
    <d v="2023-05-15T00:00:00"/>
    <x v="2"/>
    <x v="3"/>
    <x v="0"/>
    <s v="Electronics"/>
    <n v="2"/>
    <n v="1404.0185957446809"/>
    <n v="1002.870425531915"/>
    <n v="0"/>
    <s v="Card"/>
    <x v="0"/>
    <n v="2005.74085106383"/>
    <x v="7"/>
    <x v="0"/>
    <n v="601.7222553191491"/>
    <n v="0.30000000000000004"/>
  </r>
  <r>
    <s v="ORD1005"/>
    <d v="2024-01-23T00:00:00"/>
    <x v="2"/>
    <x v="2"/>
    <x v="4"/>
    <s v="Electronics"/>
    <n v="0"/>
    <n v="0"/>
    <n v="1106.0261904761899"/>
    <n v="0"/>
    <s v="Pos"/>
    <x v="2"/>
    <n v="0"/>
    <x v="1"/>
    <x v="1"/>
    <n v="0"/>
    <n v="0"/>
  </r>
  <r>
    <s v="ORD1021"/>
    <d v="2023-06-03T00:00:00"/>
    <x v="0"/>
    <x v="5"/>
    <x v="6"/>
    <s v="Electronics"/>
    <n v="0"/>
    <n v="0"/>
    <n v="961.05661016949136"/>
    <n v="0"/>
    <s v="Cash"/>
    <x v="3"/>
    <n v="0"/>
    <x v="11"/>
    <x v="0"/>
    <n v="0"/>
    <n v="0"/>
  </r>
  <r>
    <s v="ORD1093"/>
    <d v="2023-08-18T00:00:00"/>
    <x v="4"/>
    <x v="1"/>
    <x v="1"/>
    <s v="Electronics"/>
    <n v="5"/>
    <n v="3434.7607142857141"/>
    <n v="981.36020408163256"/>
    <n v="0"/>
    <s v="Cash"/>
    <x v="0"/>
    <n v="4906.8010204081629"/>
    <x v="3"/>
    <x v="0"/>
    <n v="1472.0403061224488"/>
    <n v="0.3000000000000001"/>
  </r>
  <r>
    <s v="ORD966"/>
    <d v="2023-06-13T00:00:00"/>
    <x v="0"/>
    <x v="1"/>
    <x v="2"/>
    <s v="Groceries"/>
    <n v="0"/>
    <n v="0"/>
    <n v="936.79681818181825"/>
    <n v="0.16"/>
    <s v="Unknown"/>
    <x v="0"/>
    <n v="0"/>
    <x v="11"/>
    <x v="0"/>
    <n v="0"/>
    <n v="0"/>
  </r>
  <r>
    <s v="ORD1050"/>
    <d v="2023-09-25T00:00:00"/>
    <x v="5"/>
    <x v="1"/>
    <x v="2"/>
    <s v="Groceries"/>
    <n v="0"/>
    <n v="0"/>
    <n v="1179.99"/>
    <n v="0"/>
    <s v="Cash"/>
    <x v="4"/>
    <n v="0"/>
    <x v="9"/>
    <x v="0"/>
    <n v="0"/>
    <n v="0"/>
  </r>
  <r>
    <s v="ORD1037"/>
    <d v="2023-06-26T00:00:00"/>
    <x v="5"/>
    <x v="4"/>
    <x v="2"/>
    <s v="Groceries"/>
    <n v="0"/>
    <n v="0"/>
    <n v="951.36"/>
    <n v="0.08"/>
    <s v="Pos"/>
    <x v="0"/>
    <n v="0"/>
    <x v="11"/>
    <x v="0"/>
    <n v="0"/>
    <n v="0"/>
  </r>
  <r>
    <s v="ORD1074"/>
    <d v="2023-12-22T00:00:00"/>
    <x v="5"/>
    <x v="1"/>
    <x v="2"/>
    <s v="Groceries"/>
    <n v="8"/>
    <n v="5246.0621818181817"/>
    <n v="936.79681818181825"/>
    <n v="0.27"/>
    <s v="Card"/>
    <x v="4"/>
    <n v="5470.8934181818186"/>
    <x v="10"/>
    <x v="0"/>
    <n v="224.83123636363689"/>
    <n v="4.1095890410958999E-2"/>
  </r>
  <r>
    <s v="ORD979"/>
    <d v="2023-05-24T00:00:00"/>
    <x v="5"/>
    <x v="3"/>
    <x v="5"/>
    <s v="Home Appliances"/>
    <n v="8"/>
    <n v="5696.9288510638289"/>
    <n v="1017.3087234042553"/>
    <n v="0"/>
    <s v="Card"/>
    <x v="1"/>
    <n v="8138.4697872340421"/>
    <x v="7"/>
    <x v="0"/>
    <n v="2441.5409361702132"/>
    <n v="0.30000000000000004"/>
  </r>
  <r>
    <s v="ORD1054"/>
    <d v="2023-11-27T00:00:00"/>
    <x v="0"/>
    <x v="1"/>
    <x v="2"/>
    <s v="Groceries"/>
    <n v="0"/>
    <n v="0"/>
    <n v="936.79681818181825"/>
    <n v="0.26"/>
    <s v="Pos"/>
    <x v="2"/>
    <n v="0"/>
    <x v="2"/>
    <x v="0"/>
    <n v="0"/>
    <n v="0"/>
  </r>
  <r>
    <s v="ORD916"/>
    <d v="2023-06-09T00:00:00"/>
    <x v="5"/>
    <x v="1"/>
    <x v="6"/>
    <s v="Electronics"/>
    <n v="19"/>
    <n v="4731.3419999999996"/>
    <n v="355.74"/>
    <n v="0.25"/>
    <s v="Cash"/>
    <x v="1"/>
    <n v="5069.2950000000001"/>
    <x v="11"/>
    <x v="0"/>
    <n v="337.95300000000043"/>
    <n v="6.6666666666666749E-2"/>
  </r>
  <r>
    <s v="ORD912"/>
    <d v="2023-07-04T00:00:00"/>
    <x v="2"/>
    <x v="4"/>
    <x v="0"/>
    <s v="Electronics"/>
    <n v="0"/>
    <n v="0"/>
    <n v="1274.47"/>
    <n v="0.2"/>
    <s v="Card"/>
    <x v="1"/>
    <n v="0"/>
    <x v="4"/>
    <x v="0"/>
    <n v="0"/>
    <n v="0"/>
  </r>
  <r>
    <s v="ORD1052"/>
    <d v="2023-08-17T00:00:00"/>
    <x v="4"/>
    <x v="3"/>
    <x v="2"/>
    <s v="Groceries"/>
    <n v="0"/>
    <n v="0"/>
    <n v="936.79681818181825"/>
    <n v="0"/>
    <s v="Cash"/>
    <x v="4"/>
    <n v="0"/>
    <x v="3"/>
    <x v="0"/>
    <n v="0"/>
    <n v="0"/>
  </r>
  <r>
    <s v="ORD907"/>
    <d v="2023-07-17T00:00:00"/>
    <x v="0"/>
    <x v="1"/>
    <x v="6"/>
    <s v="Electronics"/>
    <n v="7"/>
    <n v="4709.1773898305073"/>
    <n v="961.05661016949136"/>
    <n v="0"/>
    <s v="Transfer"/>
    <x v="0"/>
    <n v="6727.3962711864397"/>
    <x v="4"/>
    <x v="0"/>
    <n v="2018.2188813559324"/>
    <n v="0.30000000000000004"/>
  </r>
  <r>
    <s v="ORD905"/>
    <d v="2024-02-04T00:00:00"/>
    <x v="0"/>
    <x v="5"/>
    <x v="1"/>
    <s v="Electronics"/>
    <n v="20"/>
    <n v="13739.042857142857"/>
    <n v="981.36020408163256"/>
    <n v="0"/>
    <s v="Unknown"/>
    <x v="4"/>
    <n v="19627.204081632652"/>
    <x v="0"/>
    <x v="1"/>
    <n v="5888.1612244897951"/>
    <n v="0.3000000000000001"/>
  </r>
  <r>
    <s v="ORD1008"/>
    <d v="2023-07-12T00:00:00"/>
    <x v="1"/>
    <x v="5"/>
    <x v="0"/>
    <s v="Electronics"/>
    <n v="0"/>
    <n v="0"/>
    <n v="1002.870425531915"/>
    <n v="0.12"/>
    <s v="Cash"/>
    <x v="0"/>
    <n v="0"/>
    <x v="4"/>
    <x v="0"/>
    <n v="0"/>
    <n v="0"/>
  </r>
  <r>
    <s v="ORD1069"/>
    <d v="2023-07-11T00:00:00"/>
    <x v="3"/>
    <x v="4"/>
    <x v="5"/>
    <s v="Home Appliances"/>
    <n v="16"/>
    <n v="11393.857702127658"/>
    <n v="1017.3087234042553"/>
    <n v="0"/>
    <s v="Card"/>
    <x v="4"/>
    <n v="16276.939574468084"/>
    <x v="4"/>
    <x v="0"/>
    <n v="4883.0818723404263"/>
    <n v="0.30000000000000004"/>
  </r>
  <r>
    <s v="ORD948"/>
    <d v="2023-03-18T00:00:00"/>
    <x v="2"/>
    <x v="1"/>
    <x v="6"/>
    <s v="Electronics"/>
    <n v="0"/>
    <n v="0"/>
    <n v="645.98"/>
    <n v="0"/>
    <s v="Transfer"/>
    <x v="4"/>
    <n v="0"/>
    <x v="5"/>
    <x v="0"/>
    <n v="0"/>
    <n v="0"/>
  </r>
  <r>
    <s v="ORD966"/>
    <d v="2023-08-03T00:00:00"/>
    <x v="5"/>
    <x v="5"/>
    <x v="5"/>
    <s v="Home Appliances"/>
    <n v="0"/>
    <n v="0"/>
    <n v="1989.56"/>
    <n v="0"/>
    <s v="Cash"/>
    <x v="0"/>
    <n v="0"/>
    <x v="3"/>
    <x v="0"/>
    <n v="0"/>
    <n v="0"/>
  </r>
  <r>
    <s v="ORD1063"/>
    <d v="2023-09-01T00:00:00"/>
    <x v="1"/>
    <x v="2"/>
    <x v="0"/>
    <s v="Electronics"/>
    <n v="18"/>
    <n v="12636.167361702128"/>
    <n v="1002.870425531915"/>
    <n v="0"/>
    <s v="Unknown"/>
    <x v="0"/>
    <n v="18051.667659574468"/>
    <x v="9"/>
    <x v="0"/>
    <n v="5415.5002978723405"/>
    <n v="0.3"/>
  </r>
  <r>
    <s v="ORD1095"/>
    <d v="2023-04-04T00:00:00"/>
    <x v="1"/>
    <x v="0"/>
    <x v="4"/>
    <s v="Electronics"/>
    <n v="12"/>
    <n v="9290.6199999999953"/>
    <n v="1106.0261904761899"/>
    <n v="0"/>
    <s v="Card"/>
    <x v="4"/>
    <n v="13272.314285714278"/>
    <x v="8"/>
    <x v="0"/>
    <n v="3981.6942857142822"/>
    <n v="0.30000000000000004"/>
  </r>
  <r>
    <s v="ORD1049"/>
    <d v="2023-05-31T00:00:00"/>
    <x v="5"/>
    <x v="3"/>
    <x v="4"/>
    <s v="Electronics"/>
    <n v="0"/>
    <n v="0"/>
    <n v="1106.0261904761899"/>
    <n v="0.02"/>
    <s v="Pos"/>
    <x v="3"/>
    <n v="0"/>
    <x v="7"/>
    <x v="0"/>
    <n v="0"/>
    <n v="0"/>
  </r>
  <r>
    <s v="ORD1074"/>
    <d v="2023-07-15T00:00:00"/>
    <x v="3"/>
    <x v="5"/>
    <x v="4"/>
    <s v="Electronics"/>
    <n v="5"/>
    <n v="3871.0916666666644"/>
    <n v="1106.0261904761899"/>
    <n v="0"/>
    <s v="Cash"/>
    <x v="4"/>
    <n v="5530.1309523809496"/>
    <x v="4"/>
    <x v="0"/>
    <n v="1659.0392857142851"/>
    <n v="0.30000000000000004"/>
  </r>
  <r>
    <s v="ORD1083"/>
    <d v="2023-04-03T00:00:00"/>
    <x v="0"/>
    <x v="5"/>
    <x v="0"/>
    <s v="Electronics"/>
    <n v="0"/>
    <n v="0"/>
    <n v="1002.870425531915"/>
    <n v="0.08"/>
    <s v="Pos"/>
    <x v="2"/>
    <n v="0"/>
    <x v="8"/>
    <x v="0"/>
    <n v="0"/>
    <n v="0"/>
  </r>
  <r>
    <s v="ORD1025"/>
    <d v="2024-01-26T00:00:00"/>
    <x v="0"/>
    <x v="1"/>
    <x v="3"/>
    <s v="Electronics"/>
    <n v="0"/>
    <n v="0"/>
    <n v="1079.5765957446808"/>
    <n v="0.11"/>
    <s v="Pos"/>
    <x v="2"/>
    <n v="0"/>
    <x v="1"/>
    <x v="1"/>
    <n v="0"/>
    <n v="0"/>
  </r>
  <r>
    <s v="ORD1087"/>
    <d v="2023-07-11T00:00:00"/>
    <x v="0"/>
    <x v="4"/>
    <x v="6"/>
    <s v="Electronics"/>
    <n v="7"/>
    <n v="4709.1773898305073"/>
    <n v="961.05661016949136"/>
    <n v="0.22"/>
    <s v="Unknown"/>
    <x v="4"/>
    <n v="5247.3690915254228"/>
    <x v="4"/>
    <x v="0"/>
    <n v="538.19170169491554"/>
    <n v="0.10256410256410263"/>
  </r>
  <r>
    <s v="ORD979"/>
    <d v="2023-03-08T00:00:00"/>
    <x v="0"/>
    <x v="5"/>
    <x v="3"/>
    <s v="Electronics"/>
    <n v="10"/>
    <n v="979.43999999999983"/>
    <n v="139.91999999999999"/>
    <n v="0"/>
    <s v="Transfer"/>
    <x v="0"/>
    <n v="1399.1999999999998"/>
    <x v="5"/>
    <x v="0"/>
    <n v="419.76"/>
    <n v="0.30000000000000004"/>
  </r>
  <r>
    <s v="ORD1052"/>
    <d v="2023-09-26T00:00:00"/>
    <x v="1"/>
    <x v="5"/>
    <x v="5"/>
    <s v="Home Appliances"/>
    <n v="0"/>
    <n v="0"/>
    <n v="724.91"/>
    <n v="0"/>
    <s v="Cash"/>
    <x v="2"/>
    <n v="0"/>
    <x v="9"/>
    <x v="0"/>
    <n v="0"/>
    <n v="0"/>
  </r>
  <r>
    <s v="ORD957"/>
    <d v="2024-01-08T00:00:00"/>
    <x v="4"/>
    <x v="1"/>
    <x v="5"/>
    <s v="Home Appliances"/>
    <n v="0"/>
    <n v="0"/>
    <n v="1017.3087234042553"/>
    <n v="0.21"/>
    <s v="Transfer"/>
    <x v="4"/>
    <n v="0"/>
    <x v="1"/>
    <x v="1"/>
    <n v="0"/>
    <n v="0"/>
  </r>
  <r>
    <s v="ORD1097"/>
    <d v="2023-10-01T00:00:00"/>
    <x v="0"/>
    <x v="2"/>
    <x v="4"/>
    <s v="Electronics"/>
    <n v="1"/>
    <n v="774.21833333333291"/>
    <n v="1106.0261904761899"/>
    <n v="0.13"/>
    <s v="Pos"/>
    <x v="4"/>
    <n v="962.24278571428522"/>
    <x v="6"/>
    <x v="0"/>
    <n v="188.02445238095231"/>
    <n v="0.19540229885057475"/>
  </r>
  <r>
    <s v="ORD1021"/>
    <d v="2023-12-26T00:00:00"/>
    <x v="4"/>
    <x v="1"/>
    <x v="5"/>
    <s v="Home Appliances"/>
    <n v="0"/>
    <n v="0"/>
    <n v="1017.3087234042553"/>
    <n v="0"/>
    <s v="Pos"/>
    <x v="2"/>
    <n v="0"/>
    <x v="10"/>
    <x v="0"/>
    <n v="0"/>
    <n v="0"/>
  </r>
  <r>
    <s v="ORD1007"/>
    <d v="2023-02-23T00:00:00"/>
    <x v="0"/>
    <x v="4"/>
    <x v="4"/>
    <s v="Electronics"/>
    <n v="16"/>
    <n v="12387.493333333327"/>
    <n v="1106.0261904761899"/>
    <n v="0.25"/>
    <s v="Card"/>
    <x v="1"/>
    <n v="13272.314285714278"/>
    <x v="0"/>
    <x v="0"/>
    <n v="884.82095238095098"/>
    <n v="6.6666666666666596E-2"/>
  </r>
  <r>
    <s v="ORD975"/>
    <d v="2023-03-24T00:00:00"/>
    <x v="0"/>
    <x v="2"/>
    <x v="2"/>
    <s v="Groceries"/>
    <n v="0"/>
    <n v="0"/>
    <n v="476.67"/>
    <n v="0.2"/>
    <s v="Pos"/>
    <x v="1"/>
    <n v="0"/>
    <x v="5"/>
    <x v="0"/>
    <n v="0"/>
    <n v="0"/>
  </r>
  <r>
    <s v="ORD938"/>
    <d v="2023-02-16T00:00:00"/>
    <x v="0"/>
    <x v="0"/>
    <x v="5"/>
    <s v="Home Appliances"/>
    <n v="0"/>
    <n v="0"/>
    <n v="1017.3087234042553"/>
    <n v="0.08"/>
    <s v="Cash"/>
    <x v="2"/>
    <n v="0"/>
    <x v="0"/>
    <x v="0"/>
    <n v="0"/>
    <n v="0"/>
  </r>
  <r>
    <s v="ORD910"/>
    <d v="2023-05-29T00:00:00"/>
    <x v="1"/>
    <x v="3"/>
    <x v="5"/>
    <s v="Home Appliances"/>
    <n v="0"/>
    <n v="0"/>
    <n v="240.64"/>
    <n v="0"/>
    <s v="Unknown"/>
    <x v="2"/>
    <n v="0"/>
    <x v="7"/>
    <x v="0"/>
    <n v="0"/>
    <n v="0"/>
  </r>
  <r>
    <s v="ORD984"/>
    <d v="2023-07-03T00:00:00"/>
    <x v="5"/>
    <x v="2"/>
    <x v="0"/>
    <s v="Electronics"/>
    <n v="0"/>
    <n v="0"/>
    <n v="1002.870425531915"/>
    <n v="0"/>
    <s v="Card"/>
    <x v="1"/>
    <n v="0"/>
    <x v="4"/>
    <x v="0"/>
    <n v="0"/>
    <n v="0"/>
  </r>
  <r>
    <s v="ORD1076"/>
    <d v="2023-09-02T00:00:00"/>
    <x v="5"/>
    <x v="0"/>
    <x v="6"/>
    <s v="Electronics"/>
    <n v="4"/>
    <n v="3907.0639999999999"/>
    <n v="1395.38"/>
    <n v="0.28999999999999998"/>
    <s v="Cash"/>
    <x v="1"/>
    <n v="3962.8792000000003"/>
    <x v="9"/>
    <x v="0"/>
    <n v="55.815200000000459"/>
    <n v="1.4084507042253636E-2"/>
  </r>
  <r>
    <s v="ORD1051"/>
    <d v="2023-09-05T00:00:00"/>
    <x v="5"/>
    <x v="1"/>
    <x v="3"/>
    <s v="Electronics"/>
    <n v="0"/>
    <n v="0"/>
    <n v="1079.5765957446808"/>
    <n v="0"/>
    <s v="Cash"/>
    <x v="1"/>
    <n v="0"/>
    <x v="9"/>
    <x v="0"/>
    <n v="0"/>
    <n v="0"/>
  </r>
  <r>
    <s v="ORD1024"/>
    <d v="2023-02-27T00:00:00"/>
    <x v="5"/>
    <x v="5"/>
    <x v="4"/>
    <s v="Electronics"/>
    <n v="0"/>
    <n v="0"/>
    <n v="1106.0261904761899"/>
    <n v="0"/>
    <s v="Unknown"/>
    <x v="0"/>
    <n v="0"/>
    <x v="0"/>
    <x v="0"/>
    <n v="0"/>
    <n v="0"/>
  </r>
  <r>
    <s v="ORD1085"/>
    <d v="2023-10-17T00:00:00"/>
    <x v="2"/>
    <x v="0"/>
    <x v="6"/>
    <s v="Electronics"/>
    <n v="0"/>
    <n v="0"/>
    <n v="961.05661016949136"/>
    <n v="0"/>
    <s v="Unknown"/>
    <x v="2"/>
    <n v="0"/>
    <x v="6"/>
    <x v="0"/>
    <n v="0"/>
    <n v="0"/>
  </r>
  <r>
    <s v="ORD1023"/>
    <d v="2023-06-27T00:00:00"/>
    <x v="5"/>
    <x v="1"/>
    <x v="6"/>
    <s v="Electronics"/>
    <n v="20"/>
    <n v="464.38"/>
    <n v="33.17"/>
    <n v="0"/>
    <s v="Transfer"/>
    <x v="2"/>
    <n v="663.40000000000009"/>
    <x v="11"/>
    <x v="0"/>
    <n v="199.0200000000001"/>
    <n v="0.30000000000000004"/>
  </r>
  <r>
    <s v="ORD919"/>
    <d v="2024-01-20T00:00:00"/>
    <x v="5"/>
    <x v="4"/>
    <x v="1"/>
    <s v="Electronics"/>
    <n v="9"/>
    <n v="6182.5692857142849"/>
    <n v="981.36020408163256"/>
    <n v="0"/>
    <s v="Cash"/>
    <x v="3"/>
    <n v="8832.2418367346927"/>
    <x v="1"/>
    <x v="1"/>
    <n v="2649.6725510204078"/>
    <n v="0.3"/>
  </r>
  <r>
    <s v="ORD1017"/>
    <d v="2023-08-16T00:00:00"/>
    <x v="5"/>
    <x v="1"/>
    <x v="6"/>
    <s v="Electronics"/>
    <n v="0"/>
    <n v="0"/>
    <n v="961.05661016949136"/>
    <n v="0.22"/>
    <s v="Cash"/>
    <x v="1"/>
    <n v="0"/>
    <x v="3"/>
    <x v="0"/>
    <n v="0"/>
    <n v="0"/>
  </r>
  <r>
    <s v="ORD1005"/>
    <d v="2023-01-19T00:00:00"/>
    <x v="0"/>
    <x v="3"/>
    <x v="4"/>
    <s v="Electronics"/>
    <n v="0"/>
    <n v="0"/>
    <n v="1106.0261904761899"/>
    <n v="0"/>
    <s v="Unknown"/>
    <x v="1"/>
    <n v="0"/>
    <x v="1"/>
    <x v="0"/>
    <n v="0"/>
    <n v="0"/>
  </r>
  <r>
    <s v="ORD987"/>
    <d v="2023-07-06T00:00:00"/>
    <x v="0"/>
    <x v="3"/>
    <x v="1"/>
    <s v="Electronics"/>
    <n v="0"/>
    <n v="0"/>
    <n v="981.36020408163256"/>
    <n v="0"/>
    <s v="Card"/>
    <x v="1"/>
    <n v="0"/>
    <x v="4"/>
    <x v="0"/>
    <n v="0"/>
    <n v="0"/>
  </r>
  <r>
    <s v="ORD929"/>
    <d v="2023-02-19T00:00:00"/>
    <x v="2"/>
    <x v="1"/>
    <x v="0"/>
    <s v="Electronics"/>
    <n v="0"/>
    <n v="0"/>
    <n v="1002.870425531915"/>
    <n v="0.03"/>
    <s v="Transfer"/>
    <x v="2"/>
    <n v="0"/>
    <x v="0"/>
    <x v="0"/>
    <n v="0"/>
    <n v="0"/>
  </r>
  <r>
    <s v="ORD1083"/>
    <d v="2024-01-16T00:00:00"/>
    <x v="5"/>
    <x v="1"/>
    <x v="0"/>
    <s v="Electronics"/>
    <n v="7"/>
    <n v="4914.0650851063829"/>
    <n v="1002.870425531915"/>
    <n v="0.06"/>
    <s v="Unknown"/>
    <x v="4"/>
    <n v="6598.8873999999996"/>
    <x v="1"/>
    <x v="1"/>
    <n v="1684.8223148936167"/>
    <n v="0.25531914893617019"/>
  </r>
  <r>
    <s v="ORD927"/>
    <d v="2024-01-23T00:00:00"/>
    <x v="5"/>
    <x v="1"/>
    <x v="5"/>
    <s v="Home Appliances"/>
    <n v="0"/>
    <n v="0"/>
    <n v="1017.3087234042553"/>
    <n v="0.28999999999999998"/>
    <s v="Transfer"/>
    <x v="3"/>
    <n v="0"/>
    <x v="1"/>
    <x v="1"/>
    <n v="0"/>
    <n v="0"/>
  </r>
  <r>
    <s v="ORD1035"/>
    <d v="2024-01-12T00:00:00"/>
    <x v="0"/>
    <x v="2"/>
    <x v="2"/>
    <s v="Groceries"/>
    <n v="0"/>
    <n v="0"/>
    <n v="1564.35"/>
    <n v="0.21"/>
    <s v="Unknown"/>
    <x v="2"/>
    <n v="0"/>
    <x v="1"/>
    <x v="1"/>
    <n v="0"/>
    <n v="0"/>
  </r>
  <r>
    <s v="ORD926"/>
    <d v="2023-07-18T00:00:00"/>
    <x v="1"/>
    <x v="2"/>
    <x v="2"/>
    <s v="Groceries"/>
    <n v="0"/>
    <n v="0"/>
    <n v="936.79681818181825"/>
    <n v="0"/>
    <s v="Card"/>
    <x v="1"/>
    <n v="0"/>
    <x v="4"/>
    <x v="0"/>
    <n v="0"/>
    <n v="0"/>
  </r>
  <r>
    <s v="ORD934"/>
    <d v="2023-03-12T00:00:00"/>
    <x v="5"/>
    <x v="2"/>
    <x v="5"/>
    <s v="Home Appliances"/>
    <n v="0"/>
    <n v="0"/>
    <n v="1017.3087234042553"/>
    <n v="0"/>
    <s v="Unknown"/>
    <x v="2"/>
    <n v="0"/>
    <x v="5"/>
    <x v="0"/>
    <n v="0"/>
    <n v="0"/>
  </r>
  <r>
    <s v="ORD951"/>
    <d v="2023-04-18T00:00:00"/>
    <x v="3"/>
    <x v="0"/>
    <x v="0"/>
    <s v="Electronics"/>
    <n v="0"/>
    <n v="0"/>
    <n v="1002.870425531915"/>
    <n v="0.1"/>
    <s v="Card"/>
    <x v="0"/>
    <n v="0"/>
    <x v="8"/>
    <x v="0"/>
    <n v="0"/>
    <n v="0"/>
  </r>
  <r>
    <s v="ORD1022"/>
    <d v="2023-10-26T00:00:00"/>
    <x v="5"/>
    <x v="0"/>
    <x v="5"/>
    <s v="Home Appliances"/>
    <n v="0"/>
    <n v="0"/>
    <n v="1017.3087234042553"/>
    <n v="0"/>
    <s v="Cash"/>
    <x v="3"/>
    <n v="0"/>
    <x v="6"/>
    <x v="0"/>
    <n v="0"/>
    <n v="0"/>
  </r>
  <r>
    <s v="ORD1071"/>
    <d v="2023-01-29T00:00:00"/>
    <x v="2"/>
    <x v="4"/>
    <x v="6"/>
    <s v="Electronics"/>
    <n v="0"/>
    <n v="0"/>
    <n v="508.62"/>
    <n v="0"/>
    <s v="Cash"/>
    <x v="0"/>
    <n v="0"/>
    <x v="1"/>
    <x v="0"/>
    <n v="0"/>
    <n v="0"/>
  </r>
  <r>
    <s v="ORD908"/>
    <d v="2023-07-03T00:00:00"/>
    <x v="5"/>
    <x v="1"/>
    <x v="3"/>
    <s v="Electronics"/>
    <n v="0"/>
    <n v="0"/>
    <n v="1079.5765957446808"/>
    <n v="0"/>
    <s v="Card"/>
    <x v="3"/>
    <n v="0"/>
    <x v="4"/>
    <x v="0"/>
    <n v="0"/>
    <n v="0"/>
  </r>
  <r>
    <s v="ORD997"/>
    <d v="2023-07-18T00:00:00"/>
    <x v="5"/>
    <x v="3"/>
    <x v="5"/>
    <s v="Home Appliances"/>
    <n v="18"/>
    <n v="12818.089914893615"/>
    <n v="1017.3087234042553"/>
    <n v="0"/>
    <s v="Cash"/>
    <x v="4"/>
    <n v="18311.557021276596"/>
    <x v="4"/>
    <x v="0"/>
    <n v="5493.467106382981"/>
    <n v="0.30000000000000004"/>
  </r>
  <r>
    <s v="ORD1093"/>
    <d v="2023-10-29T00:00:00"/>
    <x v="2"/>
    <x v="3"/>
    <x v="5"/>
    <s v="Home Appliances"/>
    <n v="0"/>
    <n v="0"/>
    <n v="1017.3087234042553"/>
    <n v="0.02"/>
    <s v="Unknown"/>
    <x v="0"/>
    <n v="0"/>
    <x v="6"/>
    <x v="0"/>
    <n v="0"/>
    <n v="0"/>
  </r>
  <r>
    <s v="ORD930"/>
    <d v="2023-07-13T00:00:00"/>
    <x v="0"/>
    <x v="5"/>
    <x v="0"/>
    <s v="Electronics"/>
    <n v="9"/>
    <n v="6318.0836808510639"/>
    <n v="1002.870425531915"/>
    <n v="0"/>
    <s v="Unknown"/>
    <x v="2"/>
    <n v="9025.8338297872342"/>
    <x v="4"/>
    <x v="0"/>
    <n v="2707.7501489361703"/>
    <n v="0.3"/>
  </r>
  <r>
    <s v="ORD910"/>
    <d v="2023-03-20T00:00:00"/>
    <x v="1"/>
    <x v="2"/>
    <x v="4"/>
    <s v="Electronics"/>
    <n v="0"/>
    <n v="0"/>
    <n v="1106.0261904761899"/>
    <n v="0"/>
    <s v="Card"/>
    <x v="0"/>
    <n v="0"/>
    <x v="5"/>
    <x v="0"/>
    <n v="0"/>
    <n v="0"/>
  </r>
  <r>
    <s v="ORD956"/>
    <d v="2023-04-05T00:00:00"/>
    <x v="0"/>
    <x v="3"/>
    <x v="3"/>
    <s v="Electronics"/>
    <n v="0"/>
    <n v="0"/>
    <n v="1078.7"/>
    <n v="0.1"/>
    <s v="Unknown"/>
    <x v="4"/>
    <n v="0"/>
    <x v="8"/>
    <x v="0"/>
    <n v="0"/>
    <n v="0"/>
  </r>
  <r>
    <s v="ORD984"/>
    <d v="2023-07-04T00:00:00"/>
    <x v="3"/>
    <x v="1"/>
    <x v="6"/>
    <s v="Electronics"/>
    <n v="0"/>
    <n v="0"/>
    <n v="961.05661016949136"/>
    <n v="0"/>
    <s v="Card"/>
    <x v="1"/>
    <n v="0"/>
    <x v="4"/>
    <x v="0"/>
    <n v="0"/>
    <n v="0"/>
  </r>
  <r>
    <s v="ORD961"/>
    <d v="2023-11-25T00:00:00"/>
    <x v="2"/>
    <x v="1"/>
    <x v="5"/>
    <s v="Home Appliances"/>
    <n v="13"/>
    <n v="9257.509382978722"/>
    <n v="1017.3087234042553"/>
    <n v="0.22"/>
    <s v="Pos"/>
    <x v="4"/>
    <n v="10315.510455319149"/>
    <x v="2"/>
    <x v="0"/>
    <n v="1058.0010723404266"/>
    <n v="0.10256410256410267"/>
  </r>
  <r>
    <s v="ORD1031"/>
    <d v="2023-09-18T00:00:00"/>
    <x v="5"/>
    <x v="5"/>
    <x v="4"/>
    <s v="Electronics"/>
    <n v="0"/>
    <n v="0"/>
    <n v="1032.6500000000001"/>
    <n v="0"/>
    <s v="Pos"/>
    <x v="3"/>
    <n v="0"/>
    <x v="9"/>
    <x v="0"/>
    <n v="0"/>
    <n v="0"/>
  </r>
  <r>
    <s v="ORD1060"/>
    <d v="2023-02-03T00:00:00"/>
    <x v="2"/>
    <x v="0"/>
    <x v="5"/>
    <s v="Home Appliances"/>
    <n v="14"/>
    <n v="9969.6254893617006"/>
    <n v="1017.3087234042553"/>
    <n v="0"/>
    <s v="Transfer"/>
    <x v="3"/>
    <n v="14242.322127659574"/>
    <x v="0"/>
    <x v="0"/>
    <n v="4272.6966382978735"/>
    <n v="0.3000000000000001"/>
  </r>
  <r>
    <s v="ORD1091"/>
    <d v="2023-12-18T00:00:00"/>
    <x v="4"/>
    <x v="1"/>
    <x v="2"/>
    <s v="Groceries"/>
    <n v="2"/>
    <n v="218.06399999999996"/>
    <n v="155.76"/>
    <n v="0"/>
    <s v="Cash"/>
    <x v="0"/>
    <n v="311.52"/>
    <x v="10"/>
    <x v="0"/>
    <n v="93.456000000000017"/>
    <n v="0.3000000000000001"/>
  </r>
  <r>
    <s v="ORD958"/>
    <d v="2023-05-13T00:00:00"/>
    <x v="5"/>
    <x v="5"/>
    <x v="2"/>
    <s v="Groceries"/>
    <n v="0"/>
    <n v="0"/>
    <n v="936.79681818181825"/>
    <n v="0.04"/>
    <s v="Unknown"/>
    <x v="0"/>
    <n v="0"/>
    <x v="7"/>
    <x v="0"/>
    <n v="0"/>
    <n v="0"/>
  </r>
  <r>
    <s v="ORD916"/>
    <d v="2024-01-23T00:00:00"/>
    <x v="0"/>
    <x v="0"/>
    <x v="6"/>
    <s v="Electronics"/>
    <n v="0"/>
    <n v="0"/>
    <n v="961.05661016949136"/>
    <n v="0.09"/>
    <s v="Card"/>
    <x v="1"/>
    <n v="0"/>
    <x v="1"/>
    <x v="1"/>
    <n v="0"/>
    <n v="0"/>
  </r>
  <r>
    <s v="ORD997"/>
    <d v="2023-07-22T00:00:00"/>
    <x v="0"/>
    <x v="5"/>
    <x v="1"/>
    <s v="Electronics"/>
    <n v="8"/>
    <n v="5495.6171428571424"/>
    <n v="981.36020408163256"/>
    <n v="0"/>
    <s v="Cash"/>
    <x v="4"/>
    <n v="7850.8816326530605"/>
    <x v="4"/>
    <x v="0"/>
    <n v="2355.2644897959181"/>
    <n v="0.3"/>
  </r>
  <r>
    <s v="ORD1073"/>
    <d v="2024-01-09T00:00:00"/>
    <x v="1"/>
    <x v="1"/>
    <x v="3"/>
    <s v="Electronics"/>
    <n v="5"/>
    <n v="3778.5180851063824"/>
    <n v="1079.5765957446808"/>
    <n v="0"/>
    <s v="Pos"/>
    <x v="3"/>
    <n v="5397.8829787234044"/>
    <x v="1"/>
    <x v="1"/>
    <n v="1619.3648936170221"/>
    <n v="0.30000000000000004"/>
  </r>
  <r>
    <s v="ORD978"/>
    <d v="2023-04-18T00:00:00"/>
    <x v="1"/>
    <x v="1"/>
    <x v="2"/>
    <s v="Groceries"/>
    <n v="5"/>
    <n v="3278.7888636363637"/>
    <n v="936.79681818181825"/>
    <n v="0.25"/>
    <s v="Cash"/>
    <x v="2"/>
    <n v="3512.9880681818181"/>
    <x v="8"/>
    <x v="0"/>
    <n v="234.19920454545445"/>
    <n v="6.6666666666666777E-2"/>
  </r>
  <r>
    <s v="ORD1071"/>
    <d v="2023-10-18T00:00:00"/>
    <x v="0"/>
    <x v="3"/>
    <x v="6"/>
    <s v="Electronics"/>
    <n v="0"/>
    <n v="0"/>
    <n v="961.05661016949136"/>
    <n v="0"/>
    <s v="Cash"/>
    <x v="2"/>
    <n v="0"/>
    <x v="6"/>
    <x v="0"/>
    <n v="0"/>
    <n v="0"/>
  </r>
  <r>
    <s v="ORD1085"/>
    <d v="2023-10-25T00:00:00"/>
    <x v="5"/>
    <x v="4"/>
    <x v="0"/>
    <s v="Electronics"/>
    <n v="8"/>
    <n v="3233.5519999999997"/>
    <n v="577.41999999999996"/>
    <n v="0"/>
    <s v="Transfer"/>
    <x v="1"/>
    <n v="4619.3599999999997"/>
    <x v="6"/>
    <x v="0"/>
    <n v="1385.808"/>
    <n v="0.30000000000000004"/>
  </r>
  <r>
    <s v="ORD984"/>
    <d v="2023-11-12T00:00:00"/>
    <x v="3"/>
    <x v="0"/>
    <x v="3"/>
    <s v="Electronics"/>
    <n v="0"/>
    <n v="0"/>
    <n v="1079.5765957446808"/>
    <n v="0.28999999999999998"/>
    <s v="Cash"/>
    <x v="4"/>
    <n v="0"/>
    <x v="2"/>
    <x v="0"/>
    <n v="0"/>
    <n v="0"/>
  </r>
  <r>
    <s v="ORD963"/>
    <d v="2023-04-24T00:00:00"/>
    <x v="5"/>
    <x v="4"/>
    <x v="6"/>
    <s v="Electronics"/>
    <n v="0"/>
    <n v="0"/>
    <n v="961.05661016949136"/>
    <n v="0"/>
    <s v="Card"/>
    <x v="1"/>
    <n v="0"/>
    <x v="8"/>
    <x v="0"/>
    <n v="0"/>
    <n v="0"/>
  </r>
  <r>
    <s v="ORD1041"/>
    <d v="2023-02-25T00:00:00"/>
    <x v="4"/>
    <x v="0"/>
    <x v="3"/>
    <s v="Electronics"/>
    <n v="9"/>
    <n v="11237.184000000001"/>
    <n v="1783.68"/>
    <n v="0"/>
    <s v="Cash"/>
    <x v="3"/>
    <n v="16053.12"/>
    <x v="0"/>
    <x v="0"/>
    <n v="4815.9359999999997"/>
    <n v="0.3000000000000001"/>
  </r>
  <r>
    <s v="ORD904"/>
    <d v="2023-09-17T00:00:00"/>
    <x v="0"/>
    <x v="3"/>
    <x v="3"/>
    <s v="Electronics"/>
    <n v="0"/>
    <n v="0"/>
    <n v="433.39"/>
    <n v="0"/>
    <s v="Pos"/>
    <x v="1"/>
    <n v="0"/>
    <x v="9"/>
    <x v="0"/>
    <n v="0"/>
    <n v="0"/>
  </r>
  <r>
    <s v="ORD1067"/>
    <d v="2024-02-01T00:00:00"/>
    <x v="4"/>
    <x v="4"/>
    <x v="2"/>
    <s v="Groceries"/>
    <n v="0"/>
    <n v="0"/>
    <n v="1715.76"/>
    <n v="0"/>
    <s v="Cash"/>
    <x v="1"/>
    <n v="0"/>
    <x v="0"/>
    <x v="1"/>
    <n v="0"/>
    <n v="0"/>
  </r>
  <r>
    <s v="ORD993"/>
    <d v="2023-09-15T00:00:00"/>
    <x v="0"/>
    <x v="0"/>
    <x v="1"/>
    <s v="Electronics"/>
    <n v="0"/>
    <n v="0"/>
    <n v="289.33999999999997"/>
    <n v="0"/>
    <s v="Unknown"/>
    <x v="2"/>
    <n v="0"/>
    <x v="9"/>
    <x v="0"/>
    <n v="0"/>
    <n v="0"/>
  </r>
  <r>
    <s v="ORD1088"/>
    <d v="2024-01-10T00:00:00"/>
    <x v="5"/>
    <x v="4"/>
    <x v="4"/>
    <s v="Electronics"/>
    <n v="16"/>
    <n v="12387.493333333327"/>
    <n v="1106.0261904761899"/>
    <n v="0"/>
    <s v="Cash"/>
    <x v="0"/>
    <n v="17696.419047619038"/>
    <x v="1"/>
    <x v="1"/>
    <n v="5308.9257142857114"/>
    <n v="0.3"/>
  </r>
  <r>
    <s v="ORD992"/>
    <d v="2023-07-18T00:00:00"/>
    <x v="5"/>
    <x v="5"/>
    <x v="4"/>
    <s v="Electronics"/>
    <n v="11"/>
    <n v="8516.4016666666612"/>
    <n v="1106.0261904761899"/>
    <n v="0"/>
    <s v="Unknown"/>
    <x v="4"/>
    <n v="12166.288095238089"/>
    <x v="4"/>
    <x v="0"/>
    <n v="3649.886428571428"/>
    <n v="0.3000000000000001"/>
  </r>
  <r>
    <s v="ORD1048"/>
    <d v="2023-10-06T00:00:00"/>
    <x v="4"/>
    <x v="5"/>
    <x v="5"/>
    <s v="Home Appliances"/>
    <n v="0"/>
    <n v="0"/>
    <n v="1310.1400000000001"/>
    <n v="0"/>
    <s v="Cash"/>
    <x v="0"/>
    <n v="0"/>
    <x v="6"/>
    <x v="0"/>
    <n v="0"/>
    <n v="0"/>
  </r>
  <r>
    <s v="ORD1003"/>
    <d v="2023-06-30T00:00:00"/>
    <x v="1"/>
    <x v="5"/>
    <x v="6"/>
    <s v="Electronics"/>
    <n v="20"/>
    <n v="14121.239999999998"/>
    <n v="1008.66"/>
    <n v="0.13"/>
    <s v="Cash"/>
    <x v="0"/>
    <n v="17550.684000000001"/>
    <x v="11"/>
    <x v="0"/>
    <n v="3429.4440000000031"/>
    <n v="0.19540229885057478"/>
  </r>
  <r>
    <s v="ORD1064"/>
    <d v="2023-05-24T00:00:00"/>
    <x v="2"/>
    <x v="1"/>
    <x v="1"/>
    <s v="Electronics"/>
    <n v="0"/>
    <n v="0"/>
    <n v="1437.43"/>
    <n v="0"/>
    <s v="Card"/>
    <x v="3"/>
    <n v="0"/>
    <x v="7"/>
    <x v="0"/>
    <n v="0"/>
    <n v="0"/>
  </r>
  <r>
    <s v="ORD1023"/>
    <d v="2023-12-12T00:00:00"/>
    <x v="5"/>
    <x v="5"/>
    <x v="1"/>
    <s v="Electronics"/>
    <n v="0"/>
    <n v="0"/>
    <n v="1668.4"/>
    <n v="7.0000000000000007E-2"/>
    <s v="Pos"/>
    <x v="0"/>
    <n v="0"/>
    <x v="10"/>
    <x v="0"/>
    <n v="0"/>
    <n v="0"/>
  </r>
  <r>
    <s v="ORD941"/>
    <d v="2023-03-10T00:00:00"/>
    <x v="0"/>
    <x v="2"/>
    <x v="1"/>
    <s v="Electronics"/>
    <n v="0"/>
    <n v="0"/>
    <n v="981.36020408163256"/>
    <n v="0"/>
    <s v="Pos"/>
    <x v="3"/>
    <n v="0"/>
    <x v="5"/>
    <x v="0"/>
    <n v="0"/>
    <n v="0"/>
  </r>
  <r>
    <s v="ORD1084"/>
    <d v="2024-01-08T00:00:00"/>
    <x v="3"/>
    <x v="1"/>
    <x v="1"/>
    <s v="Electronics"/>
    <n v="0"/>
    <n v="0"/>
    <n v="1735.93"/>
    <n v="0"/>
    <s v="Pos"/>
    <x v="2"/>
    <n v="0"/>
    <x v="1"/>
    <x v="1"/>
    <n v="0"/>
    <n v="0"/>
  </r>
  <r>
    <s v="ORD1049"/>
    <d v="2024-01-28T00:00:00"/>
    <x v="4"/>
    <x v="2"/>
    <x v="5"/>
    <s v="Home Appliances"/>
    <n v="9"/>
    <n v="6409.0449574468075"/>
    <n v="1017.3087234042553"/>
    <n v="0"/>
    <s v="Pos"/>
    <x v="3"/>
    <n v="9155.778510638298"/>
    <x v="1"/>
    <x v="1"/>
    <n v="2746.7335531914905"/>
    <n v="0.30000000000000004"/>
  </r>
  <r>
    <s v="ORD958"/>
    <d v="2023-07-13T00:00:00"/>
    <x v="5"/>
    <x v="1"/>
    <x v="4"/>
    <s v="Electronics"/>
    <n v="0"/>
    <n v="0"/>
    <n v="1106.0261904761899"/>
    <n v="0.21"/>
    <s v="Pos"/>
    <x v="3"/>
    <n v="0"/>
    <x v="4"/>
    <x v="0"/>
    <n v="0"/>
    <n v="0"/>
  </r>
  <r>
    <s v="ORD945"/>
    <d v="2023-09-01T00:00:00"/>
    <x v="0"/>
    <x v="3"/>
    <x v="3"/>
    <s v="Electronics"/>
    <n v="4"/>
    <n v="2715.0479999999998"/>
    <n v="969.66"/>
    <n v="0"/>
    <s v="Cash"/>
    <x v="1"/>
    <n v="3878.64"/>
    <x v="9"/>
    <x v="0"/>
    <n v="1163.5920000000001"/>
    <n v="0.30000000000000004"/>
  </r>
  <r>
    <s v="ORD1033"/>
    <d v="2023-08-04T00:00:00"/>
    <x v="1"/>
    <x v="3"/>
    <x v="4"/>
    <s v="Electronics"/>
    <n v="14"/>
    <n v="10839.05666666666"/>
    <n v="1106.0261904761899"/>
    <n v="0"/>
    <s v="Card"/>
    <x v="0"/>
    <n v="15484.366666666658"/>
    <x v="3"/>
    <x v="0"/>
    <n v="4645.3099999999977"/>
    <n v="0.30000000000000004"/>
  </r>
  <r>
    <s v="ORD1089"/>
    <d v="2024-01-25T00:00:00"/>
    <x v="0"/>
    <x v="5"/>
    <x v="1"/>
    <s v="Electronics"/>
    <n v="16"/>
    <n v="20395.983999999997"/>
    <n v="1821.07"/>
    <n v="0"/>
    <s v="Transfer"/>
    <x v="4"/>
    <n v="29137.119999999999"/>
    <x v="1"/>
    <x v="1"/>
    <n v="8741.1360000000022"/>
    <n v="0.3000000000000001"/>
  </r>
  <r>
    <s v="ORD948"/>
    <d v="2023-01-03T00:00:00"/>
    <x v="0"/>
    <x v="2"/>
    <x v="3"/>
    <s v="Electronics"/>
    <n v="17"/>
    <n v="9000.0889999999981"/>
    <n v="756.31"/>
    <n v="0"/>
    <s v="Transfer"/>
    <x v="4"/>
    <n v="12857.269999999999"/>
    <x v="1"/>
    <x v="0"/>
    <n v="3857.1810000000005"/>
    <n v="0.30000000000000004"/>
  </r>
  <r>
    <s v="ORD927"/>
    <d v="2023-03-21T00:00:00"/>
    <x v="5"/>
    <x v="0"/>
    <x v="3"/>
    <s v="Electronics"/>
    <n v="0"/>
    <n v="0"/>
    <n v="1079.5765957446808"/>
    <n v="0"/>
    <s v="Transfer"/>
    <x v="2"/>
    <n v="0"/>
    <x v="5"/>
    <x v="0"/>
    <n v="0"/>
    <n v="0"/>
  </r>
  <r>
    <s v="ORD1005"/>
    <d v="2023-10-10T00:00:00"/>
    <x v="5"/>
    <x v="1"/>
    <x v="0"/>
    <s v="Electronics"/>
    <n v="0"/>
    <n v="0"/>
    <n v="1002.870425531915"/>
    <n v="0"/>
    <s v="Transfer"/>
    <x v="2"/>
    <n v="0"/>
    <x v="6"/>
    <x v="0"/>
    <n v="0"/>
    <n v="0"/>
  </r>
  <r>
    <s v="ORD1068"/>
    <d v="2023-03-02T00:00:00"/>
    <x v="2"/>
    <x v="5"/>
    <x v="6"/>
    <s v="Electronics"/>
    <n v="4"/>
    <n v="2690.9585084745759"/>
    <n v="961.05661016949136"/>
    <n v="0"/>
    <s v="Unknown"/>
    <x v="3"/>
    <n v="3844.2264406779655"/>
    <x v="5"/>
    <x v="0"/>
    <n v="1153.2679322033896"/>
    <n v="0.3"/>
  </r>
  <r>
    <s v="ORD941"/>
    <d v="2023-07-19T00:00:00"/>
    <x v="0"/>
    <x v="3"/>
    <x v="4"/>
    <s v="Electronics"/>
    <n v="0"/>
    <n v="0"/>
    <n v="876.4"/>
    <n v="0"/>
    <s v="Cash"/>
    <x v="0"/>
    <n v="0"/>
    <x v="4"/>
    <x v="0"/>
    <n v="0"/>
    <n v="0"/>
  </r>
  <r>
    <s v="ORD909"/>
    <d v="2024-01-06T00:00:00"/>
    <x v="5"/>
    <x v="5"/>
    <x v="3"/>
    <s v="Electronics"/>
    <n v="0"/>
    <n v="0"/>
    <n v="1927.42"/>
    <n v="0.28000000000000003"/>
    <s v="Unknown"/>
    <x v="1"/>
    <n v="0"/>
    <x v="1"/>
    <x v="1"/>
    <n v="0"/>
    <n v="0"/>
  </r>
  <r>
    <s v="ORD1012"/>
    <d v="2023-01-06T00:00:00"/>
    <x v="2"/>
    <x v="3"/>
    <x v="5"/>
    <s v="Home Appliances"/>
    <n v="10"/>
    <n v="7121.1610638297861"/>
    <n v="1017.3087234042553"/>
    <n v="0"/>
    <s v="Cash"/>
    <x v="0"/>
    <n v="10173.087234042552"/>
    <x v="1"/>
    <x v="0"/>
    <n v="3051.926170212766"/>
    <n v="0.30000000000000004"/>
  </r>
  <r>
    <s v="ORD943"/>
    <d v="2023-12-12T00:00:00"/>
    <x v="0"/>
    <x v="4"/>
    <x v="1"/>
    <s v="Electronics"/>
    <n v="6"/>
    <n v="4121.7128571428566"/>
    <n v="981.36020408163256"/>
    <n v="0"/>
    <s v="Transfer"/>
    <x v="0"/>
    <n v="5888.1612244897951"/>
    <x v="10"/>
    <x v="0"/>
    <n v="1766.4483673469385"/>
    <n v="0.3"/>
  </r>
  <r>
    <s v="ORD951"/>
    <d v="2023-09-23T00:00:00"/>
    <x v="0"/>
    <x v="0"/>
    <x v="5"/>
    <s v="Home Appliances"/>
    <n v="0"/>
    <n v="0"/>
    <n v="1017.3087234042553"/>
    <n v="0"/>
    <s v="Card"/>
    <x v="4"/>
    <n v="0"/>
    <x v="9"/>
    <x v="0"/>
    <n v="0"/>
    <n v="0"/>
  </r>
  <r>
    <s v="ORD957"/>
    <d v="2023-11-07T00:00:00"/>
    <x v="2"/>
    <x v="5"/>
    <x v="2"/>
    <s v="Groceries"/>
    <n v="0"/>
    <n v="0"/>
    <n v="936.79681818181825"/>
    <n v="0.03"/>
    <s v="Pos"/>
    <x v="4"/>
    <n v="0"/>
    <x v="2"/>
    <x v="0"/>
    <n v="0"/>
    <n v="0"/>
  </r>
  <r>
    <s v="ORD987"/>
    <d v="2023-03-01T00:00:00"/>
    <x v="3"/>
    <x v="2"/>
    <x v="6"/>
    <s v="Electronics"/>
    <n v="0"/>
    <n v="0"/>
    <n v="961.05661016949136"/>
    <n v="0.17"/>
    <s v="Card"/>
    <x v="1"/>
    <n v="0"/>
    <x v="5"/>
    <x v="0"/>
    <n v="0"/>
    <n v="0"/>
  </r>
  <r>
    <s v="ORD1074"/>
    <d v="2023-08-24T00:00:00"/>
    <x v="0"/>
    <x v="5"/>
    <x v="4"/>
    <s v="Electronics"/>
    <n v="0"/>
    <n v="0"/>
    <n v="1270.99"/>
    <n v="0.2"/>
    <s v="Card"/>
    <x v="1"/>
    <n v="0"/>
    <x v="3"/>
    <x v="0"/>
    <n v="0"/>
    <n v="0"/>
  </r>
  <r>
    <s v="ORD990"/>
    <d v="2023-09-22T00:00:00"/>
    <x v="0"/>
    <x v="0"/>
    <x v="6"/>
    <s v="Electronics"/>
    <n v="0"/>
    <n v="0"/>
    <n v="961.05661016949136"/>
    <n v="0"/>
    <s v="Cash"/>
    <x v="0"/>
    <n v="0"/>
    <x v="9"/>
    <x v="0"/>
    <n v="0"/>
    <n v="0"/>
  </r>
  <r>
    <s v="ORD945"/>
    <d v="2023-09-01T00:00:00"/>
    <x v="1"/>
    <x v="4"/>
    <x v="1"/>
    <s v="Electronics"/>
    <n v="9"/>
    <n v="6182.5692857142849"/>
    <n v="981.36020408163256"/>
    <n v="0.28000000000000003"/>
    <s v="Transfer"/>
    <x v="2"/>
    <n v="6359.2141224489787"/>
    <x v="9"/>
    <x v="0"/>
    <n v="176.64483673469385"/>
    <n v="2.7777777777777776E-2"/>
  </r>
  <r>
    <s v="ORD960"/>
    <d v="2024-01-12T00:00:00"/>
    <x v="2"/>
    <x v="3"/>
    <x v="0"/>
    <s v="Electronics"/>
    <n v="8"/>
    <n v="5616.0743829787234"/>
    <n v="1002.870425531915"/>
    <n v="0.11"/>
    <s v="Cash"/>
    <x v="3"/>
    <n v="7140.4374297872346"/>
    <x v="1"/>
    <x v="1"/>
    <n v="1524.3630468085112"/>
    <n v="0.21348314606741578"/>
  </r>
  <r>
    <s v="ORD1073"/>
    <d v="2023-12-06T00:00:00"/>
    <x v="5"/>
    <x v="2"/>
    <x v="4"/>
    <s v="Electronics"/>
    <n v="0"/>
    <n v="0"/>
    <n v="1106.0261904761899"/>
    <n v="0"/>
    <s v="Card"/>
    <x v="1"/>
    <n v="0"/>
    <x v="10"/>
    <x v="0"/>
    <n v="0"/>
    <n v="0"/>
  </r>
  <r>
    <s v="ORD946"/>
    <d v="2024-01-27T00:00:00"/>
    <x v="3"/>
    <x v="5"/>
    <x v="1"/>
    <s v="Electronics"/>
    <n v="5"/>
    <n v="3434.7607142857141"/>
    <n v="981.36020408163256"/>
    <n v="0"/>
    <s v="Cash"/>
    <x v="0"/>
    <n v="4906.8010204081629"/>
    <x v="1"/>
    <x v="1"/>
    <n v="1472.0403061224488"/>
    <n v="0.3000000000000001"/>
  </r>
  <r>
    <s v="ORD988"/>
    <d v="2023-07-21T00:00:00"/>
    <x v="4"/>
    <x v="5"/>
    <x v="4"/>
    <s v="Electronics"/>
    <n v="0"/>
    <n v="0"/>
    <n v="1381.53"/>
    <n v="0"/>
    <s v="Pos"/>
    <x v="3"/>
    <n v="0"/>
    <x v="4"/>
    <x v="0"/>
    <n v="0"/>
    <n v="0"/>
  </r>
  <r>
    <s v="ORD983"/>
    <d v="2023-07-05T00:00:00"/>
    <x v="3"/>
    <x v="1"/>
    <x v="3"/>
    <s v="Electronics"/>
    <n v="0"/>
    <n v="0"/>
    <n v="1079.5765957446808"/>
    <n v="0.1"/>
    <s v="Transfer"/>
    <x v="1"/>
    <n v="0"/>
    <x v="4"/>
    <x v="0"/>
    <n v="0"/>
    <n v="0"/>
  </r>
  <r>
    <s v="ORD953"/>
    <d v="2023-08-03T00:00:00"/>
    <x v="1"/>
    <x v="4"/>
    <x v="6"/>
    <s v="Electronics"/>
    <n v="0"/>
    <n v="0"/>
    <n v="367.98"/>
    <n v="0"/>
    <s v="Cash"/>
    <x v="3"/>
    <n v="0"/>
    <x v="3"/>
    <x v="0"/>
    <n v="0"/>
    <n v="0"/>
  </r>
  <r>
    <s v="ORD1084"/>
    <d v="2023-05-19T00:00:00"/>
    <x v="2"/>
    <x v="2"/>
    <x v="2"/>
    <s v="Groceries"/>
    <n v="7"/>
    <n v="4590.3044090909088"/>
    <n v="936.79681818181825"/>
    <n v="0.04"/>
    <s v="Cash"/>
    <x v="1"/>
    <n v="6295.2746181818193"/>
    <x v="7"/>
    <x v="0"/>
    <n v="1704.9702090909104"/>
    <n v="0.27083333333333337"/>
  </r>
  <r>
    <s v="ORD1027"/>
    <d v="2023-03-10T00:00:00"/>
    <x v="1"/>
    <x v="3"/>
    <x v="2"/>
    <s v="Groceries"/>
    <n v="0"/>
    <n v="0"/>
    <n v="1718.42"/>
    <n v="0"/>
    <s v="Cash"/>
    <x v="3"/>
    <n v="0"/>
    <x v="5"/>
    <x v="0"/>
    <n v="0"/>
    <n v="0"/>
  </r>
  <r>
    <s v="ORD955"/>
    <d v="2023-05-11T00:00:00"/>
    <x v="5"/>
    <x v="3"/>
    <x v="5"/>
    <s v="Home Appliances"/>
    <n v="0"/>
    <n v="0"/>
    <n v="1017.3087234042553"/>
    <n v="0"/>
    <s v="Card"/>
    <x v="4"/>
    <n v="0"/>
    <x v="7"/>
    <x v="0"/>
    <n v="0"/>
    <n v="0"/>
  </r>
  <r>
    <s v="ORD905"/>
    <d v="2023-07-30T00:00:00"/>
    <x v="0"/>
    <x v="4"/>
    <x v="6"/>
    <s v="Electronics"/>
    <n v="0"/>
    <n v="0"/>
    <n v="961.05661016949136"/>
    <n v="0"/>
    <s v="Card"/>
    <x v="4"/>
    <n v="0"/>
    <x v="4"/>
    <x v="0"/>
    <n v="0"/>
    <n v="0"/>
  </r>
  <r>
    <s v="ORD1072"/>
    <d v="2023-09-19T00:00:00"/>
    <x v="5"/>
    <x v="3"/>
    <x v="5"/>
    <s v="Home Appliances"/>
    <n v="0"/>
    <n v="0"/>
    <n v="1017.3087234042553"/>
    <n v="0.19"/>
    <s v="Cash"/>
    <x v="4"/>
    <n v="0"/>
    <x v="9"/>
    <x v="0"/>
    <n v="0"/>
    <n v="0"/>
  </r>
  <r>
    <s v="ORD1007"/>
    <d v="2023-11-20T00:00:00"/>
    <x v="5"/>
    <x v="3"/>
    <x v="4"/>
    <s v="Electronics"/>
    <n v="0"/>
    <n v="0"/>
    <n v="1106.0261904761899"/>
    <n v="0"/>
    <s v="Card"/>
    <x v="0"/>
    <n v="0"/>
    <x v="2"/>
    <x v="0"/>
    <n v="0"/>
    <n v="0"/>
  </r>
  <r>
    <s v="ORD1065"/>
    <d v="2023-07-22T00:00:00"/>
    <x v="3"/>
    <x v="5"/>
    <x v="6"/>
    <s v="Electronics"/>
    <n v="0"/>
    <n v="0"/>
    <n v="961.05661016949136"/>
    <n v="0.05"/>
    <s v="Cash"/>
    <x v="2"/>
    <n v="0"/>
    <x v="4"/>
    <x v="0"/>
    <n v="0"/>
    <n v="0"/>
  </r>
  <r>
    <s v="ORD1069"/>
    <d v="2023-05-09T00:00:00"/>
    <x v="0"/>
    <x v="1"/>
    <x v="1"/>
    <s v="Electronics"/>
    <n v="4"/>
    <n v="2747.8085714285712"/>
    <n v="981.36020408163256"/>
    <n v="0.16"/>
    <s v="Transfer"/>
    <x v="0"/>
    <n v="3297.3702857142853"/>
    <x v="7"/>
    <x v="0"/>
    <n v="549.56171428571406"/>
    <n v="0.16666666666666663"/>
  </r>
  <r>
    <s v="ORD1095"/>
    <d v="2023-02-12T00:00:00"/>
    <x v="0"/>
    <x v="4"/>
    <x v="3"/>
    <s v="Electronics"/>
    <n v="0"/>
    <n v="0"/>
    <n v="1079.5765957446808"/>
    <n v="0.09"/>
    <s v="Unknown"/>
    <x v="4"/>
    <n v="0"/>
    <x v="0"/>
    <x v="0"/>
    <n v="0"/>
    <n v="0"/>
  </r>
  <r>
    <s v="ORD1013"/>
    <d v="2023-11-17T00:00:00"/>
    <x v="4"/>
    <x v="1"/>
    <x v="3"/>
    <s v="Electronics"/>
    <n v="1"/>
    <n v="755.7036170212765"/>
    <n v="1079.5765957446808"/>
    <n v="0"/>
    <s v="Pos"/>
    <x v="4"/>
    <n v="1079.5765957446808"/>
    <x v="2"/>
    <x v="0"/>
    <n v="323.87297872340434"/>
    <n v="0.3000000000000001"/>
  </r>
  <r>
    <s v="ORD1040"/>
    <d v="2023-08-16T00:00:00"/>
    <x v="4"/>
    <x v="0"/>
    <x v="3"/>
    <s v="Electronics"/>
    <n v="0"/>
    <n v="0"/>
    <n v="1079.5765957446808"/>
    <n v="0"/>
    <s v="Transfer"/>
    <x v="0"/>
    <n v="0"/>
    <x v="3"/>
    <x v="0"/>
    <n v="0"/>
    <n v="0"/>
  </r>
  <r>
    <s v="ORD1063"/>
    <d v="2023-11-24T00:00:00"/>
    <x v="3"/>
    <x v="4"/>
    <x v="2"/>
    <s v="Groceries"/>
    <n v="8"/>
    <n v="5246.0621818181817"/>
    <n v="936.79681818181825"/>
    <n v="0.12"/>
    <s v="Card"/>
    <x v="3"/>
    <n v="6595.0496000000003"/>
    <x v="2"/>
    <x v="0"/>
    <n v="1348.9874181818186"/>
    <n v="0.20454545454545461"/>
  </r>
  <r>
    <s v="ORD900"/>
    <d v="2023-09-25T00:00:00"/>
    <x v="4"/>
    <x v="4"/>
    <x v="0"/>
    <s v="Electronics"/>
    <n v="18"/>
    <n v="12636.167361702128"/>
    <n v="1002.870425531915"/>
    <n v="0"/>
    <s v="Card"/>
    <x v="3"/>
    <n v="18051.667659574468"/>
    <x v="9"/>
    <x v="0"/>
    <n v="5415.5002978723405"/>
    <n v="0.3"/>
  </r>
  <r>
    <s v="ORD1096"/>
    <d v="2023-08-09T00:00:00"/>
    <x v="3"/>
    <x v="2"/>
    <x v="1"/>
    <s v="Electronics"/>
    <n v="0"/>
    <n v="0"/>
    <n v="981.36020408163256"/>
    <n v="0.13"/>
    <s v="Cash"/>
    <x v="1"/>
    <n v="0"/>
    <x v="3"/>
    <x v="0"/>
    <n v="0"/>
    <n v="0"/>
  </r>
  <r>
    <s v="ORD996"/>
    <d v="2023-04-23T00:00:00"/>
    <x v="3"/>
    <x v="1"/>
    <x v="2"/>
    <s v="Groceries"/>
    <n v="0"/>
    <n v="0"/>
    <n v="936.79681818181825"/>
    <n v="0"/>
    <s v="Unknown"/>
    <x v="0"/>
    <n v="0"/>
    <x v="8"/>
    <x v="0"/>
    <n v="0"/>
    <n v="0"/>
  </r>
  <r>
    <s v="ORD968"/>
    <d v="2023-07-31T00:00:00"/>
    <x v="2"/>
    <x v="3"/>
    <x v="4"/>
    <s v="Electronics"/>
    <n v="0"/>
    <n v="0"/>
    <n v="1106.0261904761899"/>
    <n v="0"/>
    <s v="Unknown"/>
    <x v="0"/>
    <n v="0"/>
    <x v="4"/>
    <x v="0"/>
    <n v="0"/>
    <n v="0"/>
  </r>
  <r>
    <s v="ORD1025"/>
    <d v="2023-04-07T00:00:00"/>
    <x v="1"/>
    <x v="1"/>
    <x v="1"/>
    <s v="Electronics"/>
    <n v="18"/>
    <n v="4788.2519999999995"/>
    <n v="380.02"/>
    <n v="0.08"/>
    <s v="Unknown"/>
    <x v="1"/>
    <n v="6293.1311999999998"/>
    <x v="8"/>
    <x v="0"/>
    <n v="1504.8792000000003"/>
    <n v="0.23913043478260876"/>
  </r>
  <r>
    <s v="ORD1086"/>
    <d v="2023-01-05T00:00:00"/>
    <x v="2"/>
    <x v="1"/>
    <x v="1"/>
    <s v="Electronics"/>
    <n v="16"/>
    <n v="10991.234285714285"/>
    <n v="981.36020408163256"/>
    <n v="0"/>
    <s v="Card"/>
    <x v="1"/>
    <n v="15701.763265306121"/>
    <x v="1"/>
    <x v="0"/>
    <n v="4710.5289795918361"/>
    <n v="0.3"/>
  </r>
  <r>
    <s v="ORD1078"/>
    <d v="2023-01-17T00:00:00"/>
    <x v="1"/>
    <x v="1"/>
    <x v="6"/>
    <s v="Electronics"/>
    <n v="0"/>
    <n v="0"/>
    <n v="1553.55"/>
    <n v="0.16"/>
    <s v="Cash"/>
    <x v="4"/>
    <n v="0"/>
    <x v="1"/>
    <x v="0"/>
    <n v="0"/>
    <n v="0"/>
  </r>
  <r>
    <s v="ORD997"/>
    <d v="2023-01-07T00:00:00"/>
    <x v="0"/>
    <x v="3"/>
    <x v="5"/>
    <s v="Home Appliances"/>
    <n v="0"/>
    <n v="0"/>
    <n v="501.85"/>
    <n v="0"/>
    <s v="Cash"/>
    <x v="0"/>
    <n v="0"/>
    <x v="1"/>
    <x v="0"/>
    <n v="0"/>
    <n v="0"/>
  </r>
  <r>
    <s v="ORD1070"/>
    <d v="2023-04-17T00:00:00"/>
    <x v="5"/>
    <x v="5"/>
    <x v="5"/>
    <s v="Home Appliances"/>
    <n v="11"/>
    <n v="9717.7079999999987"/>
    <n v="1262.04"/>
    <n v="0"/>
    <s v="Pos"/>
    <x v="3"/>
    <n v="13882.439999999999"/>
    <x v="8"/>
    <x v="0"/>
    <n v="4164.732"/>
    <n v="0.30000000000000004"/>
  </r>
  <r>
    <s v="ORD964"/>
    <d v="2023-09-04T00:00:00"/>
    <x v="3"/>
    <x v="1"/>
    <x v="0"/>
    <s v="Electronics"/>
    <n v="7"/>
    <n v="4914.0650851063829"/>
    <n v="1002.870425531915"/>
    <n v="0.1"/>
    <s v="Card"/>
    <x v="0"/>
    <n v="6318.0836808510639"/>
    <x v="9"/>
    <x v="0"/>
    <n v="1404.0185957446811"/>
    <n v="0.22222222222222227"/>
  </r>
  <r>
    <s v="ORD930"/>
    <d v="2023-07-22T00:00:00"/>
    <x v="2"/>
    <x v="1"/>
    <x v="4"/>
    <s v="Electronics"/>
    <n v="0"/>
    <n v="0"/>
    <n v="1106.0261904761899"/>
    <n v="0.23"/>
    <s v="Cash"/>
    <x v="1"/>
    <n v="0"/>
    <x v="4"/>
    <x v="0"/>
    <n v="0"/>
    <n v="0"/>
  </r>
  <r>
    <s v="ORD923"/>
    <d v="2023-12-18T00:00:00"/>
    <x v="1"/>
    <x v="3"/>
    <x v="5"/>
    <s v="Home Appliances"/>
    <n v="0"/>
    <n v="0"/>
    <n v="1017.3087234042553"/>
    <n v="0.16"/>
    <s v="Cash"/>
    <x v="1"/>
    <n v="0"/>
    <x v="10"/>
    <x v="0"/>
    <n v="0"/>
    <n v="0"/>
  </r>
  <r>
    <s v="ORD959"/>
    <d v="2023-06-12T00:00:00"/>
    <x v="1"/>
    <x v="3"/>
    <x v="2"/>
    <s v="Groceries"/>
    <n v="0"/>
    <n v="0"/>
    <n v="936.79681818181825"/>
    <n v="0.04"/>
    <s v="Transfer"/>
    <x v="1"/>
    <n v="0"/>
    <x v="11"/>
    <x v="0"/>
    <n v="0"/>
    <n v="0"/>
  </r>
  <r>
    <s v="ORD1043"/>
    <d v="2023-05-31T00:00:00"/>
    <x v="5"/>
    <x v="1"/>
    <x v="3"/>
    <s v="Electronics"/>
    <n v="0"/>
    <n v="0"/>
    <n v="1079.5765957446808"/>
    <n v="0"/>
    <s v="Pos"/>
    <x v="2"/>
    <n v="0"/>
    <x v="7"/>
    <x v="0"/>
    <n v="0"/>
    <n v="0"/>
  </r>
  <r>
    <s v="ORD917"/>
    <d v="2023-09-29T00:00:00"/>
    <x v="4"/>
    <x v="5"/>
    <x v="0"/>
    <s v="Electronics"/>
    <n v="0"/>
    <n v="0"/>
    <n v="1002.870425531915"/>
    <n v="0"/>
    <s v="Cash"/>
    <x v="3"/>
    <n v="0"/>
    <x v="9"/>
    <x v="0"/>
    <n v="0"/>
    <n v="0"/>
  </r>
  <r>
    <s v="ORD1058"/>
    <d v="2023-07-06T00:00:00"/>
    <x v="2"/>
    <x v="4"/>
    <x v="5"/>
    <s v="Home Appliances"/>
    <n v="0"/>
    <n v="0"/>
    <n v="1017.3087234042553"/>
    <n v="0"/>
    <s v="Cash"/>
    <x v="0"/>
    <n v="0"/>
    <x v="4"/>
    <x v="0"/>
    <n v="0"/>
    <n v="0"/>
  </r>
  <r>
    <s v="ORD972"/>
    <d v="2023-06-15T00:00:00"/>
    <x v="5"/>
    <x v="0"/>
    <x v="0"/>
    <s v="Electronics"/>
    <n v="0"/>
    <n v="0"/>
    <n v="1321.19"/>
    <n v="0.25"/>
    <s v="Cash"/>
    <x v="3"/>
    <n v="0"/>
    <x v="11"/>
    <x v="0"/>
    <n v="0"/>
    <n v="0"/>
  </r>
  <r>
    <s v="ORD951"/>
    <d v="2023-02-24T00:00:00"/>
    <x v="5"/>
    <x v="1"/>
    <x v="4"/>
    <s v="Electronics"/>
    <n v="0"/>
    <n v="0"/>
    <n v="1106.0261904761899"/>
    <n v="0"/>
    <s v="Unknown"/>
    <x v="0"/>
    <n v="0"/>
    <x v="0"/>
    <x v="0"/>
    <n v="0"/>
    <n v="0"/>
  </r>
  <r>
    <s v="ORD965"/>
    <d v="2023-01-26T00:00:00"/>
    <x v="1"/>
    <x v="1"/>
    <x v="3"/>
    <s v="Electronics"/>
    <n v="1"/>
    <n v="920.45799999999997"/>
    <n v="1314.94"/>
    <n v="0"/>
    <s v="Cash"/>
    <x v="4"/>
    <n v="1314.94"/>
    <x v="1"/>
    <x v="0"/>
    <n v="394.48200000000008"/>
    <n v="0.30000000000000004"/>
  </r>
  <r>
    <s v="ORD1042"/>
    <d v="2024-01-16T00:00:00"/>
    <x v="5"/>
    <x v="3"/>
    <x v="0"/>
    <s v="Electronics"/>
    <n v="0"/>
    <n v="0"/>
    <n v="1002.870425531915"/>
    <n v="0"/>
    <s v="Cash"/>
    <x v="2"/>
    <n v="0"/>
    <x v="1"/>
    <x v="1"/>
    <n v="0"/>
    <n v="0"/>
  </r>
  <r>
    <s v="ORD1032"/>
    <d v="2023-02-19T00:00:00"/>
    <x v="0"/>
    <x v="0"/>
    <x v="1"/>
    <s v="Electronics"/>
    <n v="13"/>
    <n v="8930.3778571428556"/>
    <n v="981.36020408163256"/>
    <n v="0"/>
    <s v="Cash"/>
    <x v="0"/>
    <n v="12757.682653061223"/>
    <x v="0"/>
    <x v="0"/>
    <n v="3827.3047959183677"/>
    <n v="0.30000000000000004"/>
  </r>
  <r>
    <s v="ORD1091"/>
    <d v="2023-10-13T00:00:00"/>
    <x v="5"/>
    <x v="0"/>
    <x v="4"/>
    <s v="Electronics"/>
    <n v="0"/>
    <n v="0"/>
    <n v="1106.0261904761899"/>
    <n v="0.13"/>
    <s v="Cash"/>
    <x v="2"/>
    <n v="0"/>
    <x v="6"/>
    <x v="0"/>
    <n v="0"/>
    <n v="0"/>
  </r>
  <r>
    <s v="ORD1040"/>
    <d v="2023-07-25T00:00:00"/>
    <x v="1"/>
    <x v="0"/>
    <x v="1"/>
    <s v="Electronics"/>
    <n v="0"/>
    <n v="0"/>
    <n v="981.36020408163256"/>
    <n v="0"/>
    <s v="Card"/>
    <x v="1"/>
    <n v="0"/>
    <x v="4"/>
    <x v="0"/>
    <n v="0"/>
    <n v="0"/>
  </r>
  <r>
    <s v="ORD1095"/>
    <d v="2023-11-21T00:00:00"/>
    <x v="5"/>
    <x v="3"/>
    <x v="5"/>
    <s v="Home Appliances"/>
    <n v="20"/>
    <n v="15829.24"/>
    <n v="1130.6600000000001"/>
    <n v="0"/>
    <s v="Unknown"/>
    <x v="4"/>
    <n v="22613.200000000001"/>
    <x v="2"/>
    <x v="0"/>
    <n v="6783.9600000000009"/>
    <n v="0.30000000000000004"/>
  </r>
  <r>
    <s v="ORD992"/>
    <d v="2023-08-20T00:00:00"/>
    <x v="5"/>
    <x v="5"/>
    <x v="4"/>
    <s v="Electronics"/>
    <n v="0"/>
    <n v="0"/>
    <n v="42.44"/>
    <n v="0"/>
    <s v="Cash"/>
    <x v="4"/>
    <n v="0"/>
    <x v="3"/>
    <x v="0"/>
    <n v="0"/>
    <n v="0"/>
  </r>
  <r>
    <s v="ORD956"/>
    <d v="2023-04-20T00:00:00"/>
    <x v="1"/>
    <x v="1"/>
    <x v="6"/>
    <s v="Electronics"/>
    <n v="0"/>
    <n v="0"/>
    <n v="961.05661016949136"/>
    <n v="0.05"/>
    <s v="Transfer"/>
    <x v="4"/>
    <n v="0"/>
    <x v="8"/>
    <x v="0"/>
    <n v="0"/>
    <n v="0"/>
  </r>
  <r>
    <s v="ORD939"/>
    <d v="2023-03-12T00:00:00"/>
    <x v="3"/>
    <x v="4"/>
    <x v="3"/>
    <s v="Electronics"/>
    <n v="0"/>
    <n v="0"/>
    <n v="1624.04"/>
    <n v="0"/>
    <s v="Cash"/>
    <x v="3"/>
    <n v="0"/>
    <x v="5"/>
    <x v="0"/>
    <n v="0"/>
    <n v="0"/>
  </r>
  <r>
    <s v="ORD1085"/>
    <d v="2023-06-16T00:00:00"/>
    <x v="5"/>
    <x v="1"/>
    <x v="2"/>
    <s v="Groceries"/>
    <n v="0"/>
    <n v="0"/>
    <n v="1288.0899999999999"/>
    <n v="0"/>
    <s v="Transfer"/>
    <x v="3"/>
    <n v="0"/>
    <x v="11"/>
    <x v="0"/>
    <n v="0"/>
    <n v="0"/>
  </r>
  <r>
    <s v="ORD1099"/>
    <d v="2023-01-29T00:00:00"/>
    <x v="1"/>
    <x v="4"/>
    <x v="6"/>
    <s v="Electronics"/>
    <n v="14"/>
    <n v="17060.624"/>
    <n v="1740.88"/>
    <n v="0"/>
    <s v="Cash"/>
    <x v="1"/>
    <n v="24372.32"/>
    <x v="1"/>
    <x v="0"/>
    <n v="7311.6959999999999"/>
    <n v="0.3"/>
  </r>
  <r>
    <s v="ORD913"/>
    <d v="2023-06-06T00:00:00"/>
    <x v="0"/>
    <x v="4"/>
    <x v="3"/>
    <s v="Electronics"/>
    <n v="0"/>
    <n v="0"/>
    <n v="1009.78"/>
    <n v="0"/>
    <s v="Unknown"/>
    <x v="1"/>
    <n v="0"/>
    <x v="11"/>
    <x v="0"/>
    <n v="0"/>
    <n v="0"/>
  </r>
  <r>
    <s v="ORD1014"/>
    <d v="2024-01-21T00:00:00"/>
    <x v="0"/>
    <x v="1"/>
    <x v="2"/>
    <s v="Groceries"/>
    <n v="13"/>
    <n v="2484.846"/>
    <n v="273.06"/>
    <n v="0"/>
    <s v="Cash"/>
    <x v="0"/>
    <n v="3549.78"/>
    <x v="1"/>
    <x v="1"/>
    <n v="1064.9340000000002"/>
    <n v="0.30000000000000004"/>
  </r>
  <r>
    <s v="ORD1002"/>
    <d v="2023-05-15T00:00:00"/>
    <x v="0"/>
    <x v="5"/>
    <x v="3"/>
    <s v="Electronics"/>
    <n v="5"/>
    <n v="3384.6399999999994"/>
    <n v="967.04"/>
    <n v="0"/>
    <s v="Pos"/>
    <x v="2"/>
    <n v="4835.2"/>
    <x v="7"/>
    <x v="0"/>
    <n v="1450.5600000000004"/>
    <n v="0.3"/>
  </r>
  <r>
    <s v="ORD1043"/>
    <d v="2023-11-12T00:00:00"/>
    <x v="2"/>
    <x v="1"/>
    <x v="4"/>
    <s v="Electronics"/>
    <n v="0"/>
    <n v="0"/>
    <n v="1106.0261904761899"/>
    <n v="0"/>
    <s v="Transfer"/>
    <x v="1"/>
    <n v="0"/>
    <x v="2"/>
    <x v="0"/>
    <n v="0"/>
    <n v="0"/>
  </r>
  <r>
    <s v="ORD993"/>
    <d v="2023-06-28T00:00:00"/>
    <x v="2"/>
    <x v="4"/>
    <x v="0"/>
    <s v="Electronics"/>
    <n v="0"/>
    <n v="0"/>
    <n v="1002.870425531915"/>
    <n v="0"/>
    <s v="Pos"/>
    <x v="2"/>
    <n v="0"/>
    <x v="11"/>
    <x v="0"/>
    <n v="0"/>
    <n v="0"/>
  </r>
  <r>
    <s v="ORD1012"/>
    <d v="2023-01-23T00:00:00"/>
    <x v="2"/>
    <x v="1"/>
    <x v="5"/>
    <s v="Home Appliances"/>
    <n v="0"/>
    <n v="0"/>
    <n v="1707"/>
    <n v="0.22"/>
    <s v="Pos"/>
    <x v="2"/>
    <n v="0"/>
    <x v="1"/>
    <x v="0"/>
    <n v="0"/>
    <n v="0"/>
  </r>
  <r>
    <s v="ORD973"/>
    <d v="2023-01-08T00:00:00"/>
    <x v="1"/>
    <x v="0"/>
    <x v="6"/>
    <s v="Electronics"/>
    <n v="0"/>
    <n v="0"/>
    <n v="961.05661016949136"/>
    <n v="0"/>
    <s v="Cash"/>
    <x v="2"/>
    <n v="0"/>
    <x v="1"/>
    <x v="0"/>
    <n v="0"/>
    <n v="0"/>
  </r>
  <r>
    <s v="ORD1039"/>
    <d v="2023-09-25T00:00:00"/>
    <x v="3"/>
    <x v="2"/>
    <x v="2"/>
    <s v="Groceries"/>
    <n v="0"/>
    <n v="0"/>
    <n v="1400.52"/>
    <n v="0"/>
    <s v="Pos"/>
    <x v="3"/>
    <n v="0"/>
    <x v="9"/>
    <x v="0"/>
    <n v="0"/>
    <n v="0"/>
  </r>
  <r>
    <s v="ORD965"/>
    <d v="2023-03-29T00:00:00"/>
    <x v="0"/>
    <x v="4"/>
    <x v="1"/>
    <s v="Electronics"/>
    <n v="9"/>
    <n v="5892.201"/>
    <n v="935.27"/>
    <n v="0"/>
    <s v="Card"/>
    <x v="4"/>
    <n v="8417.43"/>
    <x v="5"/>
    <x v="0"/>
    <n v="2525.2290000000003"/>
    <n v="0.30000000000000004"/>
  </r>
  <r>
    <s v="ORD927"/>
    <d v="2023-01-10T00:00:00"/>
    <x v="3"/>
    <x v="3"/>
    <x v="5"/>
    <s v="Home Appliances"/>
    <n v="0"/>
    <n v="0"/>
    <n v="1017.3087234042553"/>
    <n v="0"/>
    <s v="Transfer"/>
    <x v="0"/>
    <n v="0"/>
    <x v="1"/>
    <x v="0"/>
    <n v="0"/>
    <n v="0"/>
  </r>
  <r>
    <s v="ORD1036"/>
    <d v="2023-02-15T00:00:00"/>
    <x v="4"/>
    <x v="1"/>
    <x v="3"/>
    <s v="Electronics"/>
    <n v="0"/>
    <n v="0"/>
    <n v="52.76"/>
    <n v="0"/>
    <s v="Card"/>
    <x v="1"/>
    <n v="0"/>
    <x v="0"/>
    <x v="0"/>
    <n v="0"/>
    <n v="0"/>
  </r>
  <r>
    <s v="ORD1000"/>
    <d v="2024-01-17T00:00:00"/>
    <x v="4"/>
    <x v="1"/>
    <x v="0"/>
    <s v="Electronics"/>
    <n v="0"/>
    <n v="0"/>
    <n v="1002.870425531915"/>
    <n v="0.08"/>
    <s v="Unknown"/>
    <x v="4"/>
    <n v="0"/>
    <x v="1"/>
    <x v="1"/>
    <n v="0"/>
    <n v="0"/>
  </r>
  <r>
    <s v="ORD999"/>
    <d v="2023-01-16T00:00:00"/>
    <x v="3"/>
    <x v="1"/>
    <x v="1"/>
    <s v="Electronics"/>
    <n v="0"/>
    <n v="0"/>
    <n v="981.36020408163256"/>
    <n v="0"/>
    <s v="Pos"/>
    <x v="2"/>
    <n v="0"/>
    <x v="1"/>
    <x v="0"/>
    <n v="0"/>
    <n v="0"/>
  </r>
  <r>
    <s v="ORD1006"/>
    <d v="2023-05-04T00:00:00"/>
    <x v="4"/>
    <x v="5"/>
    <x v="0"/>
    <s v="Electronics"/>
    <n v="0"/>
    <n v="0"/>
    <n v="1089.05"/>
    <n v="0"/>
    <s v="Pos"/>
    <x v="2"/>
    <n v="0"/>
    <x v="7"/>
    <x v="0"/>
    <n v="0"/>
    <n v="0"/>
  </r>
  <r>
    <s v="ORD935"/>
    <d v="2023-06-08T00:00:00"/>
    <x v="4"/>
    <x v="5"/>
    <x v="6"/>
    <s v="Electronics"/>
    <n v="19"/>
    <n v="12782.052915254235"/>
    <n v="961.05661016949136"/>
    <n v="0"/>
    <s v="Cash"/>
    <x v="2"/>
    <n v="18260.075593220336"/>
    <x v="11"/>
    <x v="0"/>
    <n v="5478.0226779661007"/>
    <n v="0.3"/>
  </r>
  <r>
    <s v="ORD981"/>
    <d v="2023-03-16T00:00:00"/>
    <x v="0"/>
    <x v="3"/>
    <x v="0"/>
    <s v="Electronics"/>
    <n v="0"/>
    <n v="0"/>
    <n v="1002.870425531915"/>
    <n v="0"/>
    <s v="Cash"/>
    <x v="2"/>
    <n v="0"/>
    <x v="5"/>
    <x v="0"/>
    <n v="0"/>
    <n v="0"/>
  </r>
  <r>
    <s v="ORD927"/>
    <d v="2023-03-09T00:00:00"/>
    <x v="4"/>
    <x v="1"/>
    <x v="6"/>
    <s v="Electronics"/>
    <n v="0"/>
    <n v="0"/>
    <n v="961.05661016949136"/>
    <n v="7.0000000000000007E-2"/>
    <s v="Cash"/>
    <x v="3"/>
    <n v="0"/>
    <x v="5"/>
    <x v="0"/>
    <n v="0"/>
    <n v="0"/>
  </r>
  <r>
    <s v="ORD991"/>
    <d v="2023-02-10T00:00:00"/>
    <x v="5"/>
    <x v="1"/>
    <x v="3"/>
    <s v="Electronics"/>
    <n v="0"/>
    <n v="0"/>
    <n v="1302.6400000000001"/>
    <n v="0"/>
    <s v="Transfer"/>
    <x v="2"/>
    <n v="0"/>
    <x v="0"/>
    <x v="0"/>
    <n v="0"/>
    <n v="0"/>
  </r>
  <r>
    <s v="ORD941"/>
    <d v="2023-04-09T00:00:00"/>
    <x v="2"/>
    <x v="1"/>
    <x v="2"/>
    <s v="Groceries"/>
    <n v="0"/>
    <n v="0"/>
    <n v="936.79681818181825"/>
    <n v="0.3"/>
    <s v="Cash"/>
    <x v="2"/>
    <n v="0"/>
    <x v="8"/>
    <x v="0"/>
    <n v="0"/>
    <n v="0"/>
  </r>
  <r>
    <s v="ORD1012"/>
    <d v="2023-11-12T00:00:00"/>
    <x v="5"/>
    <x v="0"/>
    <x v="0"/>
    <s v="Electronics"/>
    <n v="0"/>
    <n v="0"/>
    <n v="815.68"/>
    <n v="0"/>
    <s v="Unknown"/>
    <x v="4"/>
    <n v="0"/>
    <x v="2"/>
    <x v="0"/>
    <n v="0"/>
    <n v="0"/>
  </r>
  <r>
    <s v="ORD1000"/>
    <d v="2023-11-10T00:00:00"/>
    <x v="0"/>
    <x v="2"/>
    <x v="4"/>
    <s v="Electronics"/>
    <n v="15"/>
    <n v="18446.189999999999"/>
    <n v="1756.78"/>
    <n v="0"/>
    <s v="Unknown"/>
    <x v="3"/>
    <n v="26351.7"/>
    <x v="2"/>
    <x v="0"/>
    <n v="7905.510000000002"/>
    <n v="0.30000000000000004"/>
  </r>
  <r>
    <s v="ORD1042"/>
    <d v="2023-07-18T00:00:00"/>
    <x v="0"/>
    <x v="1"/>
    <x v="0"/>
    <s v="Electronics"/>
    <n v="0"/>
    <n v="0"/>
    <n v="1002.870425531915"/>
    <n v="0"/>
    <s v="Card"/>
    <x v="0"/>
    <n v="0"/>
    <x v="4"/>
    <x v="0"/>
    <n v="0"/>
    <n v="0"/>
  </r>
  <r>
    <s v="ORD913"/>
    <d v="2023-12-20T00:00:00"/>
    <x v="4"/>
    <x v="5"/>
    <x v="6"/>
    <s v="Electronics"/>
    <n v="0"/>
    <n v="0"/>
    <n v="1006.31"/>
    <n v="0"/>
    <s v="Pos"/>
    <x v="2"/>
    <n v="0"/>
    <x v="10"/>
    <x v="0"/>
    <n v="0"/>
    <n v="0"/>
  </r>
  <r>
    <s v="ORD1000"/>
    <d v="2023-07-31T00:00:00"/>
    <x v="1"/>
    <x v="5"/>
    <x v="4"/>
    <s v="Electronics"/>
    <n v="0"/>
    <n v="0"/>
    <n v="1794.27"/>
    <n v="0.26"/>
    <s v="Card"/>
    <x v="4"/>
    <n v="0"/>
    <x v="4"/>
    <x v="0"/>
    <n v="0"/>
    <n v="0"/>
  </r>
  <r>
    <s v="ORD1077"/>
    <d v="2023-11-29T00:00:00"/>
    <x v="4"/>
    <x v="0"/>
    <x v="5"/>
    <s v="Home Appliances"/>
    <n v="3"/>
    <n v="2136.3483191489358"/>
    <n v="1017.3087234042553"/>
    <n v="0"/>
    <s v="Unknown"/>
    <x v="1"/>
    <n v="3051.926170212766"/>
    <x v="2"/>
    <x v="0"/>
    <n v="915.57785106383017"/>
    <n v="0.3"/>
  </r>
  <r>
    <s v="ORD1086"/>
    <d v="2023-09-19T00:00:00"/>
    <x v="4"/>
    <x v="5"/>
    <x v="3"/>
    <s v="Electronics"/>
    <n v="2"/>
    <n v="1511.407234042553"/>
    <n v="1079.5765957446808"/>
    <n v="0.26"/>
    <s v="Cash"/>
    <x v="2"/>
    <n v="1597.7733617021277"/>
    <x v="9"/>
    <x v="0"/>
    <n v="86.366127659574659"/>
    <n v="5.4054054054054175E-2"/>
  </r>
  <r>
    <s v="ORD945"/>
    <d v="2024-01-29T00:00:00"/>
    <x v="0"/>
    <x v="5"/>
    <x v="0"/>
    <s v="Electronics"/>
    <n v="0"/>
    <n v="0"/>
    <n v="1256.6400000000001"/>
    <n v="0.27"/>
    <s v="Cash"/>
    <x v="0"/>
    <n v="0"/>
    <x v="1"/>
    <x v="1"/>
    <n v="0"/>
    <n v="0"/>
  </r>
  <r>
    <s v="ORD1095"/>
    <d v="2023-05-10T00:00:00"/>
    <x v="0"/>
    <x v="5"/>
    <x v="2"/>
    <s v="Groceries"/>
    <n v="18"/>
    <n v="11803.639909090909"/>
    <n v="936.79681818181825"/>
    <n v="0"/>
    <s v="Unknown"/>
    <x v="1"/>
    <n v="16862.342727272728"/>
    <x v="7"/>
    <x v="0"/>
    <n v="5058.7028181818187"/>
    <n v="0.30000000000000004"/>
  </r>
  <r>
    <s v="ORD1016"/>
    <d v="2023-07-29T00:00:00"/>
    <x v="5"/>
    <x v="1"/>
    <x v="3"/>
    <s v="Electronics"/>
    <n v="1"/>
    <n v="755.7036170212765"/>
    <n v="1079.5765957446808"/>
    <n v="0"/>
    <s v="Cash"/>
    <x v="3"/>
    <n v="1079.5765957446808"/>
    <x v="4"/>
    <x v="0"/>
    <n v="323.87297872340434"/>
    <n v="0.3000000000000001"/>
  </r>
  <r>
    <s v="ORD947"/>
    <d v="2023-03-17T00:00:00"/>
    <x v="0"/>
    <x v="0"/>
    <x v="0"/>
    <s v="Electronics"/>
    <n v="5"/>
    <n v="3510.0464893617022"/>
    <n v="1002.870425531915"/>
    <n v="0.09"/>
    <s v="Cash"/>
    <x v="3"/>
    <n v="4563.0604361702135"/>
    <x v="5"/>
    <x v="0"/>
    <n v="1053.0139468085113"/>
    <n v="0.23076923076923087"/>
  </r>
  <r>
    <s v="ORD1006"/>
    <d v="2023-04-02T00:00:00"/>
    <x v="4"/>
    <x v="0"/>
    <x v="0"/>
    <s v="Electronics"/>
    <n v="0"/>
    <n v="0"/>
    <n v="1576.74"/>
    <n v="0"/>
    <s v="Pos"/>
    <x v="4"/>
    <n v="0"/>
    <x v="8"/>
    <x v="0"/>
    <n v="0"/>
    <n v="0"/>
  </r>
  <r>
    <s v="ORD909"/>
    <d v="2023-02-17T00:00:00"/>
    <x v="3"/>
    <x v="4"/>
    <x v="0"/>
    <s v="Electronics"/>
    <n v="0"/>
    <n v="0"/>
    <n v="1688.19"/>
    <n v="0.09"/>
    <s v="Cash"/>
    <x v="4"/>
    <n v="0"/>
    <x v="0"/>
    <x v="0"/>
    <n v="0"/>
    <n v="0"/>
  </r>
  <r>
    <s v="ORD984"/>
    <d v="2023-09-27T00:00:00"/>
    <x v="5"/>
    <x v="2"/>
    <x v="1"/>
    <s v="Electronics"/>
    <n v="20"/>
    <n v="13739.042857142857"/>
    <n v="981.36020408163256"/>
    <n v="0"/>
    <s v="Cash"/>
    <x v="1"/>
    <n v="19627.204081632652"/>
    <x v="9"/>
    <x v="0"/>
    <n v="5888.1612244897951"/>
    <n v="0.3000000000000001"/>
  </r>
  <r>
    <s v="ORD1085"/>
    <d v="2023-12-19T00:00:00"/>
    <x v="3"/>
    <x v="5"/>
    <x v="3"/>
    <s v="Electronics"/>
    <n v="0"/>
    <n v="0"/>
    <n v="1079.5765957446808"/>
    <n v="0.11"/>
    <s v="Pos"/>
    <x v="0"/>
    <n v="0"/>
    <x v="10"/>
    <x v="0"/>
    <n v="0"/>
    <n v="0"/>
  </r>
  <r>
    <s v="ORD1027"/>
    <d v="2023-09-24T00:00:00"/>
    <x v="5"/>
    <x v="5"/>
    <x v="6"/>
    <s v="Electronics"/>
    <n v="20"/>
    <n v="19881.259999999998"/>
    <n v="1420.09"/>
    <n v="0"/>
    <s v="Transfer"/>
    <x v="3"/>
    <n v="28401.8"/>
    <x v="9"/>
    <x v="0"/>
    <n v="8520.5400000000009"/>
    <n v="0.30000000000000004"/>
  </r>
  <r>
    <s v="ORD1088"/>
    <d v="2023-04-17T00:00:00"/>
    <x v="5"/>
    <x v="5"/>
    <x v="4"/>
    <s v="Electronics"/>
    <n v="0"/>
    <n v="0"/>
    <n v="1614.03"/>
    <n v="0"/>
    <s v="Unknown"/>
    <x v="4"/>
    <n v="0"/>
    <x v="8"/>
    <x v="0"/>
    <n v="0"/>
    <n v="0"/>
  </r>
  <r>
    <s v="ORD965"/>
    <d v="2023-02-04T00:00:00"/>
    <x v="3"/>
    <x v="4"/>
    <x v="3"/>
    <s v="Electronics"/>
    <n v="11"/>
    <n v="8312.7397872340407"/>
    <n v="1079.5765957446808"/>
    <n v="0"/>
    <s v="Pos"/>
    <x v="0"/>
    <n v="11875.342553191489"/>
    <x v="0"/>
    <x v="0"/>
    <n v="3562.6027659574484"/>
    <n v="0.3"/>
  </r>
  <r>
    <s v="ORD907"/>
    <d v="2023-03-31T00:00:00"/>
    <x v="2"/>
    <x v="4"/>
    <x v="6"/>
    <s v="Electronics"/>
    <n v="0"/>
    <n v="0"/>
    <n v="961.05661016949136"/>
    <n v="0.04"/>
    <s v="Unknown"/>
    <x v="1"/>
    <n v="0"/>
    <x v="5"/>
    <x v="0"/>
    <n v="0"/>
    <n v="0"/>
  </r>
  <r>
    <s v="ORD1037"/>
    <d v="2023-06-21T00:00:00"/>
    <x v="5"/>
    <x v="3"/>
    <x v="6"/>
    <s v="Electronics"/>
    <n v="0"/>
    <n v="0"/>
    <n v="961.05661016949136"/>
    <n v="0"/>
    <s v="Pos"/>
    <x v="3"/>
    <n v="0"/>
    <x v="11"/>
    <x v="0"/>
    <n v="0"/>
    <n v="0"/>
  </r>
  <r>
    <s v="ORD953"/>
    <d v="2023-10-23T00:00:00"/>
    <x v="1"/>
    <x v="3"/>
    <x v="6"/>
    <s v="Electronics"/>
    <n v="3"/>
    <n v="1193.0519999999999"/>
    <n v="568.12"/>
    <n v="0"/>
    <s v="Unknown"/>
    <x v="0"/>
    <n v="1704.3600000000001"/>
    <x v="6"/>
    <x v="0"/>
    <n v="511.30800000000022"/>
    <n v="0.3000000000000001"/>
  </r>
  <r>
    <s v="ORD942"/>
    <d v="2023-10-20T00:00:00"/>
    <x v="5"/>
    <x v="1"/>
    <x v="3"/>
    <s v="Electronics"/>
    <n v="0"/>
    <n v="0"/>
    <n v="1079.5765957446808"/>
    <n v="0"/>
    <s v="Cash"/>
    <x v="1"/>
    <n v="0"/>
    <x v="6"/>
    <x v="0"/>
    <n v="0"/>
    <n v="0"/>
  </r>
  <r>
    <s v="ORD960"/>
    <d v="2023-07-10T00:00:00"/>
    <x v="5"/>
    <x v="3"/>
    <x v="0"/>
    <s v="Electronics"/>
    <n v="0"/>
    <n v="0"/>
    <n v="1002.870425531915"/>
    <n v="0.24"/>
    <s v="Cash"/>
    <x v="1"/>
    <n v="0"/>
    <x v="4"/>
    <x v="0"/>
    <n v="0"/>
    <n v="0"/>
  </r>
  <r>
    <s v="ORD1029"/>
    <d v="2023-01-13T00:00:00"/>
    <x v="5"/>
    <x v="2"/>
    <x v="1"/>
    <s v="Electronics"/>
    <n v="0"/>
    <n v="0"/>
    <n v="981.36020408163256"/>
    <n v="0"/>
    <s v="Cash"/>
    <x v="3"/>
    <n v="0"/>
    <x v="1"/>
    <x v="0"/>
    <n v="0"/>
    <n v="0"/>
  </r>
  <r>
    <s v="ORD1032"/>
    <d v="2023-12-13T00:00:00"/>
    <x v="4"/>
    <x v="1"/>
    <x v="5"/>
    <s v="Home Appliances"/>
    <n v="0"/>
    <n v="0"/>
    <n v="1017.3087234042553"/>
    <n v="0"/>
    <s v="Cash"/>
    <x v="0"/>
    <n v="0"/>
    <x v="10"/>
    <x v="0"/>
    <n v="0"/>
    <n v="0"/>
  </r>
  <r>
    <s v="ORD922"/>
    <d v="2023-06-20T00:00:00"/>
    <x v="5"/>
    <x v="1"/>
    <x v="4"/>
    <s v="Electronics"/>
    <n v="10"/>
    <n v="7742.1833333333288"/>
    <n v="1106.0261904761899"/>
    <n v="0.19"/>
    <s v="Card"/>
    <x v="2"/>
    <n v="8958.8121428571394"/>
    <x v="11"/>
    <x v="0"/>
    <n v="1216.6288095238106"/>
    <n v="0.13580246913580263"/>
  </r>
  <r>
    <s v="ORD949"/>
    <d v="2023-05-27T00:00:00"/>
    <x v="3"/>
    <x v="2"/>
    <x v="0"/>
    <s v="Electronics"/>
    <n v="0"/>
    <n v="0"/>
    <n v="1002.870425531915"/>
    <n v="0"/>
    <s v="Pos"/>
    <x v="0"/>
    <n v="0"/>
    <x v="7"/>
    <x v="0"/>
    <n v="0"/>
    <n v="0"/>
  </r>
  <r>
    <s v="ORD926"/>
    <d v="2023-04-16T00:00:00"/>
    <x v="1"/>
    <x v="2"/>
    <x v="0"/>
    <s v="Electronics"/>
    <n v="0"/>
    <n v="0"/>
    <n v="1002.870425531915"/>
    <n v="7.0000000000000007E-2"/>
    <s v="Card"/>
    <x v="0"/>
    <n v="0"/>
    <x v="8"/>
    <x v="0"/>
    <n v="0"/>
    <n v="0"/>
  </r>
  <r>
    <s v="ORD986"/>
    <d v="2023-10-04T00:00:00"/>
    <x v="5"/>
    <x v="1"/>
    <x v="1"/>
    <s v="Electronics"/>
    <n v="0"/>
    <n v="0"/>
    <n v="981.36020408163256"/>
    <n v="0"/>
    <s v="Transfer"/>
    <x v="2"/>
    <n v="0"/>
    <x v="6"/>
    <x v="0"/>
    <n v="0"/>
    <n v="0"/>
  </r>
  <r>
    <s v="ORD1080"/>
    <d v="2023-11-02T00:00:00"/>
    <x v="5"/>
    <x v="2"/>
    <x v="0"/>
    <s v="Electronics"/>
    <n v="11"/>
    <n v="7722.102276595745"/>
    <n v="1002.870425531915"/>
    <n v="0.24"/>
    <s v="Transfer"/>
    <x v="0"/>
    <n v="8383.9967574468101"/>
    <x v="2"/>
    <x v="0"/>
    <n v="661.89448085106505"/>
    <n v="7.8947368421052766E-2"/>
  </r>
  <r>
    <s v="ORD933"/>
    <d v="2023-02-17T00:00:00"/>
    <x v="5"/>
    <x v="1"/>
    <x v="2"/>
    <s v="Groceries"/>
    <n v="0"/>
    <n v="0"/>
    <n v="471.07"/>
    <n v="0"/>
    <s v="Card"/>
    <x v="4"/>
    <n v="0"/>
    <x v="0"/>
    <x v="0"/>
    <n v="0"/>
    <n v="0"/>
  </r>
  <r>
    <s v="ORD1000"/>
    <d v="2023-04-04T00:00:00"/>
    <x v="1"/>
    <x v="3"/>
    <x v="6"/>
    <s v="Electronics"/>
    <n v="0"/>
    <n v="0"/>
    <n v="961.05661016949136"/>
    <n v="0"/>
    <s v="Transfer"/>
    <x v="2"/>
    <n v="0"/>
    <x v="8"/>
    <x v="0"/>
    <n v="0"/>
    <n v="0"/>
  </r>
  <r>
    <s v="ORD972"/>
    <d v="2024-01-29T00:00:00"/>
    <x v="1"/>
    <x v="2"/>
    <x v="3"/>
    <s v="Electronics"/>
    <n v="17"/>
    <n v="12846.9614893617"/>
    <n v="1079.5765957446808"/>
    <n v="0"/>
    <s v="Pos"/>
    <x v="3"/>
    <n v="18352.802127659575"/>
    <x v="1"/>
    <x v="1"/>
    <n v="5505.8406382978756"/>
    <n v="0.30000000000000004"/>
  </r>
  <r>
    <s v="ORD977"/>
    <d v="2023-09-30T00:00:00"/>
    <x v="5"/>
    <x v="5"/>
    <x v="3"/>
    <s v="Electronics"/>
    <n v="0"/>
    <n v="0"/>
    <n v="494.95"/>
    <n v="0"/>
    <s v="Cash"/>
    <x v="4"/>
    <n v="0"/>
    <x v="9"/>
    <x v="0"/>
    <n v="0"/>
    <n v="0"/>
  </r>
  <r>
    <s v="ORD953"/>
    <d v="2023-12-22T00:00:00"/>
    <x v="5"/>
    <x v="3"/>
    <x v="2"/>
    <s v="Groceries"/>
    <n v="0"/>
    <n v="0"/>
    <n v="1391.32"/>
    <n v="0.2"/>
    <s v="Unknown"/>
    <x v="0"/>
    <n v="0"/>
    <x v="10"/>
    <x v="0"/>
    <n v="0"/>
    <n v="0"/>
  </r>
  <r>
    <s v="ORD1024"/>
    <d v="2023-02-28T00:00:00"/>
    <x v="5"/>
    <x v="4"/>
    <x v="3"/>
    <s v="Electronics"/>
    <n v="15"/>
    <n v="11335.554255319148"/>
    <n v="1079.5765957446808"/>
    <n v="0.02"/>
    <s v="Unknown"/>
    <x v="0"/>
    <n v="15869.775957446809"/>
    <x v="0"/>
    <x v="0"/>
    <n v="4534.221702127661"/>
    <n v="0.28571428571428581"/>
  </r>
  <r>
    <s v="ORD1097"/>
    <d v="2023-07-14T00:00:00"/>
    <x v="1"/>
    <x v="5"/>
    <x v="5"/>
    <s v="Home Appliances"/>
    <n v="3"/>
    <n v="2136.3483191489358"/>
    <n v="1017.3087234042553"/>
    <n v="0"/>
    <s v="Cash"/>
    <x v="2"/>
    <n v="3051.926170212766"/>
    <x v="4"/>
    <x v="0"/>
    <n v="915.57785106383017"/>
    <n v="0.3"/>
  </r>
  <r>
    <s v="ORD1069"/>
    <d v="2023-03-18T00:00:00"/>
    <x v="5"/>
    <x v="2"/>
    <x v="0"/>
    <s v="Electronics"/>
    <n v="0"/>
    <n v="0"/>
    <n v="899.85"/>
    <n v="0"/>
    <s v="Card"/>
    <x v="0"/>
    <n v="0"/>
    <x v="5"/>
    <x v="0"/>
    <n v="0"/>
    <n v="0"/>
  </r>
  <r>
    <s v="ORD1073"/>
    <d v="2023-06-05T00:00:00"/>
    <x v="5"/>
    <x v="0"/>
    <x v="0"/>
    <s v="Electronics"/>
    <n v="19"/>
    <n v="13338.176659574468"/>
    <n v="1002.870425531915"/>
    <n v="0.12"/>
    <s v="Card"/>
    <x v="3"/>
    <n v="16767.99351489362"/>
    <x v="11"/>
    <x v="0"/>
    <n v="3429.8168553191517"/>
    <n v="0.20454545454545467"/>
  </r>
  <r>
    <s v="ORD994"/>
    <d v="2023-10-09T00:00:00"/>
    <x v="0"/>
    <x v="1"/>
    <x v="5"/>
    <s v="Home Appliances"/>
    <n v="12"/>
    <n v="14480.591999999999"/>
    <n v="1723.88"/>
    <n v="0"/>
    <s v="Pos"/>
    <x v="1"/>
    <n v="20686.560000000001"/>
    <x v="6"/>
    <x v="0"/>
    <n v="6205.9680000000026"/>
    <n v="0.30000000000000004"/>
  </r>
  <r>
    <s v="ORD1060"/>
    <d v="2023-06-12T00:00:00"/>
    <x v="5"/>
    <x v="5"/>
    <x v="2"/>
    <s v="Groceries"/>
    <n v="18"/>
    <n v="11803.639909090909"/>
    <n v="936.79681818181825"/>
    <n v="0"/>
    <s v="Transfer"/>
    <x v="4"/>
    <n v="16862.342727272728"/>
    <x v="11"/>
    <x v="0"/>
    <n v="5058.7028181818187"/>
    <n v="0.30000000000000004"/>
  </r>
  <r>
    <s v="ORD1006"/>
    <d v="2023-03-20T00:00:00"/>
    <x v="3"/>
    <x v="3"/>
    <x v="5"/>
    <s v="Home Appliances"/>
    <n v="5"/>
    <n v="534.69500000000005"/>
    <n v="152.77000000000001"/>
    <n v="0"/>
    <s v="Unknown"/>
    <x v="1"/>
    <n v="763.85"/>
    <x v="5"/>
    <x v="0"/>
    <n v="229.15499999999997"/>
    <n v="0.3000000000000001"/>
  </r>
  <r>
    <s v="ORD934"/>
    <d v="2023-02-13T00:00:00"/>
    <x v="4"/>
    <x v="0"/>
    <x v="6"/>
    <s v="Electronics"/>
    <n v="0"/>
    <n v="0"/>
    <n v="961.05661016949136"/>
    <n v="0"/>
    <s v="Pos"/>
    <x v="1"/>
    <n v="0"/>
    <x v="0"/>
    <x v="0"/>
    <n v="0"/>
    <n v="0"/>
  </r>
  <r>
    <s v="ORD1041"/>
    <d v="2023-08-19T00:00:00"/>
    <x v="5"/>
    <x v="4"/>
    <x v="1"/>
    <s v="Electronics"/>
    <n v="0"/>
    <n v="0"/>
    <n v="981.36020408163256"/>
    <n v="0.25"/>
    <s v="Unknown"/>
    <x v="0"/>
    <n v="0"/>
    <x v="3"/>
    <x v="0"/>
    <n v="0"/>
    <n v="0"/>
  </r>
  <r>
    <s v="ORD968"/>
    <d v="2023-07-30T00:00:00"/>
    <x v="1"/>
    <x v="1"/>
    <x v="4"/>
    <s v="Electronics"/>
    <n v="0"/>
    <n v="0"/>
    <n v="1106.0261904761899"/>
    <n v="0"/>
    <s v="Cash"/>
    <x v="2"/>
    <n v="0"/>
    <x v="4"/>
    <x v="0"/>
    <n v="0"/>
    <n v="0"/>
  </r>
  <r>
    <s v="ORD1086"/>
    <d v="2024-01-10T00:00:00"/>
    <x v="3"/>
    <x v="5"/>
    <x v="3"/>
    <s v="Electronics"/>
    <n v="0"/>
    <n v="0"/>
    <n v="1079.5765957446808"/>
    <n v="0"/>
    <s v="Unknown"/>
    <x v="3"/>
    <n v="0"/>
    <x v="1"/>
    <x v="1"/>
    <n v="0"/>
    <n v="0"/>
  </r>
  <r>
    <s v="ORD1075"/>
    <d v="2023-11-21T00:00:00"/>
    <x v="3"/>
    <x v="2"/>
    <x v="4"/>
    <s v="Electronics"/>
    <n v="18"/>
    <n v="13935.929999999993"/>
    <n v="1106.0261904761899"/>
    <n v="0"/>
    <s v="Unknown"/>
    <x v="4"/>
    <n v="19908.471428571418"/>
    <x v="2"/>
    <x v="0"/>
    <n v="5972.5414285714251"/>
    <n v="0.3000000000000001"/>
  </r>
  <r>
    <s v="ORD1007"/>
    <d v="2023-06-30T00:00:00"/>
    <x v="3"/>
    <x v="4"/>
    <x v="1"/>
    <s v="Electronics"/>
    <n v="0"/>
    <n v="0"/>
    <n v="981.36020408163256"/>
    <n v="0"/>
    <s v="Transfer"/>
    <x v="0"/>
    <n v="0"/>
    <x v="11"/>
    <x v="0"/>
    <n v="0"/>
    <n v="0"/>
  </r>
  <r>
    <s v="ORD943"/>
    <d v="2023-10-21T00:00:00"/>
    <x v="0"/>
    <x v="0"/>
    <x v="0"/>
    <s v="Electronics"/>
    <n v="0"/>
    <n v="0"/>
    <n v="974.67"/>
    <n v="0"/>
    <s v="Card"/>
    <x v="2"/>
    <n v="0"/>
    <x v="6"/>
    <x v="0"/>
    <n v="0"/>
    <n v="0"/>
  </r>
  <r>
    <s v="ORD1057"/>
    <d v="2023-05-24T00:00:00"/>
    <x v="3"/>
    <x v="3"/>
    <x v="0"/>
    <s v="Electronics"/>
    <n v="0"/>
    <n v="0"/>
    <n v="1002.870425531915"/>
    <n v="0"/>
    <s v="Transfer"/>
    <x v="4"/>
    <n v="0"/>
    <x v="7"/>
    <x v="0"/>
    <n v="0"/>
    <n v="0"/>
  </r>
  <r>
    <s v="ORD944"/>
    <d v="2023-05-14T00:00:00"/>
    <x v="2"/>
    <x v="5"/>
    <x v="1"/>
    <s v="Electronics"/>
    <n v="0"/>
    <n v="0"/>
    <n v="1968.3"/>
    <n v="0.18"/>
    <s v="Transfer"/>
    <x v="1"/>
    <n v="0"/>
    <x v="7"/>
    <x v="0"/>
    <n v="0"/>
    <n v="0"/>
  </r>
  <r>
    <s v="ORD1097"/>
    <d v="2023-07-16T00:00:00"/>
    <x v="2"/>
    <x v="0"/>
    <x v="2"/>
    <s v="Groceries"/>
    <n v="0"/>
    <n v="0"/>
    <n v="936.79681818181825"/>
    <n v="0"/>
    <s v="Cash"/>
    <x v="3"/>
    <n v="0"/>
    <x v="4"/>
    <x v="0"/>
    <n v="0"/>
    <n v="0"/>
  </r>
  <r>
    <s v="ORD942"/>
    <d v="2023-08-26T00:00:00"/>
    <x v="5"/>
    <x v="5"/>
    <x v="0"/>
    <s v="Electronics"/>
    <n v="18"/>
    <n v="12636.167361702128"/>
    <n v="1002.870425531915"/>
    <n v="0"/>
    <s v="Cash"/>
    <x v="0"/>
    <n v="18051.667659574468"/>
    <x v="3"/>
    <x v="0"/>
    <n v="5415.5002978723405"/>
    <n v="0.3"/>
  </r>
  <r>
    <s v="ORD1011"/>
    <d v="2023-01-07T00:00:00"/>
    <x v="3"/>
    <x v="3"/>
    <x v="2"/>
    <s v="Groceries"/>
    <n v="0"/>
    <n v="0"/>
    <n v="1368.92"/>
    <n v="0"/>
    <s v="Unknown"/>
    <x v="4"/>
    <n v="0"/>
    <x v="1"/>
    <x v="0"/>
    <n v="0"/>
    <n v="0"/>
  </r>
  <r>
    <s v="ORD1010"/>
    <d v="2023-11-09T00:00:00"/>
    <x v="3"/>
    <x v="4"/>
    <x v="0"/>
    <s v="Electronics"/>
    <n v="0"/>
    <n v="0"/>
    <n v="1002.870425531915"/>
    <n v="0"/>
    <s v="Unknown"/>
    <x v="2"/>
    <n v="0"/>
    <x v="2"/>
    <x v="0"/>
    <n v="0"/>
    <n v="0"/>
  </r>
  <r>
    <s v="ORD1087"/>
    <d v="2023-12-11T00:00:00"/>
    <x v="2"/>
    <x v="2"/>
    <x v="0"/>
    <s v="Electronics"/>
    <n v="0"/>
    <n v="0"/>
    <n v="31.05"/>
    <n v="0.25"/>
    <s v="Transfer"/>
    <x v="3"/>
    <n v="0"/>
    <x v="10"/>
    <x v="0"/>
    <n v="0"/>
    <n v="0"/>
  </r>
  <r>
    <s v="ORD1034"/>
    <d v="2023-02-23T00:00:00"/>
    <x v="5"/>
    <x v="4"/>
    <x v="1"/>
    <s v="Electronics"/>
    <n v="9"/>
    <n v="6182.5692857142849"/>
    <n v="981.36020408163256"/>
    <n v="0"/>
    <s v="Unknown"/>
    <x v="2"/>
    <n v="8832.2418367346927"/>
    <x v="0"/>
    <x v="0"/>
    <n v="2649.6725510204078"/>
    <n v="0.3"/>
  </r>
  <r>
    <s v="ORD1053"/>
    <d v="2023-11-23T00:00:00"/>
    <x v="0"/>
    <x v="0"/>
    <x v="4"/>
    <s v="Electronics"/>
    <n v="20"/>
    <n v="15484.366666666658"/>
    <n v="1106.0261904761899"/>
    <n v="0.17"/>
    <s v="Cash"/>
    <x v="2"/>
    <n v="18360.034761904753"/>
    <x v="2"/>
    <x v="0"/>
    <n v="2875.6680952380957"/>
    <n v="0.15662650602409647"/>
  </r>
  <r>
    <s v="ORD964"/>
    <d v="2023-05-31T00:00:00"/>
    <x v="5"/>
    <x v="0"/>
    <x v="4"/>
    <s v="Electronics"/>
    <n v="0"/>
    <n v="0"/>
    <n v="1106.0261904761899"/>
    <n v="0"/>
    <s v="Card"/>
    <x v="2"/>
    <n v="0"/>
    <x v="7"/>
    <x v="0"/>
    <n v="0"/>
    <n v="0"/>
  </r>
  <r>
    <s v="ORD1099"/>
    <d v="2023-02-07T00:00:00"/>
    <x v="3"/>
    <x v="3"/>
    <x v="4"/>
    <s v="Electronics"/>
    <n v="0"/>
    <n v="0"/>
    <n v="1106.0261904761899"/>
    <n v="0"/>
    <s v="Cash"/>
    <x v="1"/>
    <n v="0"/>
    <x v="0"/>
    <x v="0"/>
    <n v="0"/>
    <n v="0"/>
  </r>
  <r>
    <s v="ORD917"/>
    <d v="2023-09-09T00:00:00"/>
    <x v="2"/>
    <x v="2"/>
    <x v="2"/>
    <s v="Groceries"/>
    <n v="16"/>
    <n v="10492.124363636363"/>
    <n v="936.79681818181825"/>
    <n v="0"/>
    <s v="Cash"/>
    <x v="1"/>
    <n v="14988.749090909092"/>
    <x v="9"/>
    <x v="0"/>
    <n v="4496.6247272727287"/>
    <n v="0.3000000000000001"/>
  </r>
  <r>
    <s v="ORD1083"/>
    <d v="2023-05-13T00:00:00"/>
    <x v="0"/>
    <x v="1"/>
    <x v="4"/>
    <s v="Electronics"/>
    <n v="0"/>
    <n v="0"/>
    <n v="1106.0261904761899"/>
    <n v="0"/>
    <s v="Cash"/>
    <x v="3"/>
    <n v="0"/>
    <x v="7"/>
    <x v="0"/>
    <n v="0"/>
    <n v="0"/>
  </r>
  <r>
    <s v="ORD909"/>
    <d v="2023-12-07T00:00:00"/>
    <x v="5"/>
    <x v="4"/>
    <x v="1"/>
    <s v="Electronics"/>
    <n v="0"/>
    <n v="0"/>
    <n v="981.36020408163256"/>
    <n v="0"/>
    <s v="Transfer"/>
    <x v="1"/>
    <n v="0"/>
    <x v="10"/>
    <x v="0"/>
    <n v="0"/>
    <n v="0"/>
  </r>
  <r>
    <s v="ORD1003"/>
    <d v="2024-01-08T00:00:00"/>
    <x v="0"/>
    <x v="2"/>
    <x v="1"/>
    <s v="Electronics"/>
    <n v="0"/>
    <n v="0"/>
    <n v="981.36020408163256"/>
    <n v="0"/>
    <s v="Card"/>
    <x v="4"/>
    <n v="0"/>
    <x v="1"/>
    <x v="1"/>
    <n v="0"/>
    <n v="0"/>
  </r>
  <r>
    <s v="ORD1074"/>
    <d v="2023-06-05T00:00:00"/>
    <x v="5"/>
    <x v="1"/>
    <x v="5"/>
    <s v="Home Appliances"/>
    <n v="0"/>
    <n v="0"/>
    <n v="1017.3087234042553"/>
    <n v="0"/>
    <s v="Card"/>
    <x v="2"/>
    <n v="0"/>
    <x v="11"/>
    <x v="0"/>
    <n v="0"/>
    <n v="0"/>
  </r>
  <r>
    <s v="ORD945"/>
    <d v="2023-10-11T00:00:00"/>
    <x v="0"/>
    <x v="5"/>
    <x v="5"/>
    <s v="Home Appliances"/>
    <n v="0"/>
    <n v="0"/>
    <n v="786.31"/>
    <n v="0"/>
    <s v="Transfer"/>
    <x v="3"/>
    <n v="0"/>
    <x v="6"/>
    <x v="0"/>
    <n v="0"/>
    <n v="0"/>
  </r>
  <r>
    <s v="ORD1061"/>
    <d v="2023-08-13T00:00:00"/>
    <x v="2"/>
    <x v="1"/>
    <x v="4"/>
    <s v="Electronics"/>
    <n v="0"/>
    <n v="0"/>
    <n v="1992.8"/>
    <n v="0.15"/>
    <s v="Pos"/>
    <x v="4"/>
    <n v="0"/>
    <x v="3"/>
    <x v="0"/>
    <n v="0"/>
    <n v="0"/>
  </r>
  <r>
    <s v="ORD1027"/>
    <d v="2023-10-01T00:00:00"/>
    <x v="5"/>
    <x v="1"/>
    <x v="4"/>
    <s v="Electronics"/>
    <n v="0"/>
    <n v="0"/>
    <n v="1577.68"/>
    <n v="0.12"/>
    <s v="Unknown"/>
    <x v="0"/>
    <n v="0"/>
    <x v="6"/>
    <x v="0"/>
    <n v="0"/>
    <n v="0"/>
  </r>
  <r>
    <s v="ORD1017"/>
    <d v="2023-12-14T00:00:00"/>
    <x v="4"/>
    <x v="0"/>
    <x v="3"/>
    <s v="Electronics"/>
    <n v="3"/>
    <n v="2267.1108510638296"/>
    <n v="1079.5765957446808"/>
    <n v="0"/>
    <s v="Pos"/>
    <x v="3"/>
    <n v="3238.7297872340423"/>
    <x v="10"/>
    <x v="0"/>
    <n v="971.61893617021269"/>
    <n v="0.3"/>
  </r>
  <r>
    <s v="ORD962"/>
    <d v="2023-12-26T00:00:00"/>
    <x v="4"/>
    <x v="1"/>
    <x v="1"/>
    <s v="Electronics"/>
    <n v="10"/>
    <n v="6424.6699999999983"/>
    <n v="917.81"/>
    <n v="0.25"/>
    <s v="Cash"/>
    <x v="3"/>
    <n v="6883.5749999999989"/>
    <x v="10"/>
    <x v="0"/>
    <n v="458.90500000000065"/>
    <n v="6.6666666666666777E-2"/>
  </r>
  <r>
    <s v="ORD1027"/>
    <d v="2023-11-01T00:00:00"/>
    <x v="2"/>
    <x v="1"/>
    <x v="6"/>
    <s v="Electronics"/>
    <n v="0"/>
    <n v="0"/>
    <n v="961.05661016949136"/>
    <n v="0"/>
    <s v="Cash"/>
    <x v="0"/>
    <n v="0"/>
    <x v="2"/>
    <x v="0"/>
    <n v="0"/>
    <n v="0"/>
  </r>
  <r>
    <s v="ORD1039"/>
    <d v="2023-03-12T00:00:00"/>
    <x v="1"/>
    <x v="3"/>
    <x v="6"/>
    <s v="Electronics"/>
    <n v="0"/>
    <n v="0"/>
    <n v="355.16"/>
    <n v="0.04"/>
    <s v="Transfer"/>
    <x v="2"/>
    <n v="0"/>
    <x v="5"/>
    <x v="0"/>
    <n v="0"/>
    <n v="0"/>
  </r>
  <r>
    <s v="ORD1078"/>
    <d v="2023-07-09T00:00:00"/>
    <x v="4"/>
    <x v="5"/>
    <x v="1"/>
    <s v="Electronics"/>
    <n v="2"/>
    <n v="1373.9042857142856"/>
    <n v="981.36020408163256"/>
    <n v="0.18"/>
    <s v="Cash"/>
    <x v="1"/>
    <n v="1609.4307346938774"/>
    <x v="4"/>
    <x v="0"/>
    <n v="235.52644897959181"/>
    <n v="0.14634146341463414"/>
  </r>
  <r>
    <s v="ORD920"/>
    <d v="2023-01-04T00:00:00"/>
    <x v="0"/>
    <x v="1"/>
    <x v="4"/>
    <s v="Electronics"/>
    <n v="0"/>
    <n v="0"/>
    <n v="1106.0261904761899"/>
    <n v="0.21"/>
    <s v="Cash"/>
    <x v="4"/>
    <n v="0"/>
    <x v="1"/>
    <x v="0"/>
    <n v="0"/>
    <n v="0"/>
  </r>
  <r>
    <s v="ORD1033"/>
    <d v="2023-08-19T00:00:00"/>
    <x v="5"/>
    <x v="1"/>
    <x v="1"/>
    <s v="Electronics"/>
    <n v="0"/>
    <n v="0"/>
    <n v="981.36020408163256"/>
    <n v="0.18"/>
    <s v="Unknown"/>
    <x v="4"/>
    <n v="0"/>
    <x v="3"/>
    <x v="0"/>
    <n v="0"/>
    <n v="0"/>
  </r>
  <r>
    <s v="ORD989"/>
    <d v="2023-08-03T00:00:00"/>
    <x v="0"/>
    <x v="2"/>
    <x v="1"/>
    <s v="Electronics"/>
    <n v="0"/>
    <n v="0"/>
    <n v="981.36020408163256"/>
    <n v="0"/>
    <s v="Pos"/>
    <x v="2"/>
    <n v="0"/>
    <x v="3"/>
    <x v="0"/>
    <n v="0"/>
    <n v="0"/>
  </r>
  <r>
    <s v="ORD1018"/>
    <d v="2024-01-30T00:00:00"/>
    <x v="2"/>
    <x v="4"/>
    <x v="4"/>
    <s v="Electronics"/>
    <n v="4"/>
    <n v="3096.8733333333316"/>
    <n v="1106.0261904761899"/>
    <n v="0.15"/>
    <s v="Unknown"/>
    <x v="3"/>
    <n v="3760.4890476190453"/>
    <x v="1"/>
    <x v="1"/>
    <n v="663.61571428571369"/>
    <n v="0.17647058823529407"/>
  </r>
  <r>
    <s v="ORD913"/>
    <d v="2023-11-27T00:00:00"/>
    <x v="1"/>
    <x v="4"/>
    <x v="1"/>
    <s v="Electronics"/>
    <n v="0"/>
    <n v="0"/>
    <n v="981.36020408163256"/>
    <n v="0"/>
    <s v="Cash"/>
    <x v="0"/>
    <n v="0"/>
    <x v="2"/>
    <x v="0"/>
    <n v="0"/>
    <n v="0"/>
  </r>
  <r>
    <s v="ORD945"/>
    <d v="2023-03-22T00:00:00"/>
    <x v="0"/>
    <x v="5"/>
    <x v="3"/>
    <s v="Electronics"/>
    <n v="3"/>
    <n v="2267.1108510638296"/>
    <n v="1079.5765957446808"/>
    <n v="0"/>
    <s v="Cash"/>
    <x v="4"/>
    <n v="3238.7297872340423"/>
    <x v="5"/>
    <x v="0"/>
    <n v="971.61893617021269"/>
    <n v="0.3"/>
  </r>
  <r>
    <s v="ORD958"/>
    <d v="2024-02-03T00:00:00"/>
    <x v="0"/>
    <x v="4"/>
    <x v="1"/>
    <s v="Electronics"/>
    <n v="0"/>
    <n v="0"/>
    <n v="831.06"/>
    <n v="0.11"/>
    <s v="Cash"/>
    <x v="1"/>
    <n v="0"/>
    <x v="0"/>
    <x v="1"/>
    <n v="0"/>
    <n v="0"/>
  </r>
  <r>
    <s v="ORD1049"/>
    <d v="2023-09-06T00:00:00"/>
    <x v="0"/>
    <x v="5"/>
    <x v="1"/>
    <s v="Electronics"/>
    <n v="0"/>
    <n v="0"/>
    <n v="981.36020408163256"/>
    <n v="0"/>
    <s v="Cash"/>
    <x v="4"/>
    <n v="0"/>
    <x v="9"/>
    <x v="0"/>
    <n v="0"/>
    <n v="0"/>
  </r>
  <r>
    <s v="ORD969"/>
    <d v="2023-04-14T00:00:00"/>
    <x v="1"/>
    <x v="1"/>
    <x v="4"/>
    <s v="Electronics"/>
    <n v="0"/>
    <n v="0"/>
    <n v="1106.0261904761899"/>
    <n v="0.14000000000000001"/>
    <s v="Card"/>
    <x v="2"/>
    <n v="0"/>
    <x v="8"/>
    <x v="0"/>
    <n v="0"/>
    <n v="0"/>
  </r>
  <r>
    <s v="ORD975"/>
    <d v="2023-11-06T00:00:00"/>
    <x v="4"/>
    <x v="3"/>
    <x v="6"/>
    <s v="Electronics"/>
    <n v="0"/>
    <n v="0"/>
    <n v="1940.57"/>
    <n v="0"/>
    <s v="Transfer"/>
    <x v="2"/>
    <n v="0"/>
    <x v="2"/>
    <x v="0"/>
    <n v="0"/>
    <n v="0"/>
  </r>
  <r>
    <s v="ORD1051"/>
    <d v="2023-08-31T00:00:00"/>
    <x v="5"/>
    <x v="4"/>
    <x v="4"/>
    <s v="Electronics"/>
    <n v="8"/>
    <n v="6193.7466666666633"/>
    <n v="1106.0261904761899"/>
    <n v="0"/>
    <s v="Cash"/>
    <x v="0"/>
    <n v="8848.2095238095189"/>
    <x v="3"/>
    <x v="0"/>
    <n v="2654.4628571428557"/>
    <n v="0.3"/>
  </r>
  <r>
    <s v="ORD901"/>
    <d v="2023-08-02T00:00:00"/>
    <x v="0"/>
    <x v="1"/>
    <x v="2"/>
    <s v="Groceries"/>
    <n v="0"/>
    <n v="0"/>
    <n v="936.79681818181825"/>
    <n v="0"/>
    <s v="Cash"/>
    <x v="1"/>
    <n v="0"/>
    <x v="3"/>
    <x v="0"/>
    <n v="0"/>
    <n v="0"/>
  </r>
  <r>
    <s v="ORD1026"/>
    <d v="2023-05-04T00:00:00"/>
    <x v="0"/>
    <x v="2"/>
    <x v="6"/>
    <s v="Electronics"/>
    <n v="14"/>
    <n v="9418.3547796610146"/>
    <n v="961.05661016949136"/>
    <n v="7.0000000000000007E-2"/>
    <s v="Cash"/>
    <x v="1"/>
    <n v="12512.957064406777"/>
    <x v="7"/>
    <x v="0"/>
    <n v="3094.6022847457625"/>
    <n v="0.24731182795698928"/>
  </r>
  <r>
    <s v="ORD1071"/>
    <d v="2023-06-06T00:00:00"/>
    <x v="4"/>
    <x v="0"/>
    <x v="2"/>
    <s v="Groceries"/>
    <n v="19"/>
    <n v="12459.397681818182"/>
    <n v="936.79681818181825"/>
    <n v="0"/>
    <s v="Transfer"/>
    <x v="2"/>
    <n v="17799.139545454545"/>
    <x v="11"/>
    <x v="0"/>
    <n v="5339.7418636363636"/>
    <n v="0.3"/>
  </r>
  <r>
    <s v="ORD994"/>
    <d v="2023-11-17T00:00:00"/>
    <x v="5"/>
    <x v="0"/>
    <x v="5"/>
    <s v="Home Appliances"/>
    <n v="0"/>
    <n v="0"/>
    <n v="1017.3087234042553"/>
    <n v="0"/>
    <s v="Transfer"/>
    <x v="4"/>
    <n v="0"/>
    <x v="2"/>
    <x v="0"/>
    <n v="0"/>
    <n v="0"/>
  </r>
  <r>
    <s v="ORD1078"/>
    <d v="2023-11-10T00:00:00"/>
    <x v="2"/>
    <x v="3"/>
    <x v="5"/>
    <s v="Home Appliances"/>
    <n v="0"/>
    <n v="0"/>
    <n v="1474.16"/>
    <n v="0"/>
    <s v="Card"/>
    <x v="3"/>
    <n v="0"/>
    <x v="2"/>
    <x v="0"/>
    <n v="0"/>
    <n v="0"/>
  </r>
  <r>
    <s v="ORD928"/>
    <d v="2023-07-16T00:00:00"/>
    <x v="1"/>
    <x v="5"/>
    <x v="3"/>
    <s v="Electronics"/>
    <n v="0"/>
    <n v="0"/>
    <n v="1079.5765957446808"/>
    <n v="0"/>
    <s v="Unknown"/>
    <x v="2"/>
    <n v="0"/>
    <x v="4"/>
    <x v="0"/>
    <n v="0"/>
    <n v="0"/>
  </r>
  <r>
    <s v="ORD935"/>
    <d v="2023-06-21T00:00:00"/>
    <x v="2"/>
    <x v="2"/>
    <x v="4"/>
    <s v="Electronics"/>
    <n v="0"/>
    <n v="0"/>
    <n v="1106.0261904761899"/>
    <n v="0"/>
    <s v="Card"/>
    <x v="4"/>
    <n v="0"/>
    <x v="11"/>
    <x v="0"/>
    <n v="0"/>
    <n v="0"/>
  </r>
  <r>
    <s v="ORD1028"/>
    <d v="2023-12-15T00:00:00"/>
    <x v="5"/>
    <x v="4"/>
    <x v="4"/>
    <s v="Electronics"/>
    <n v="0"/>
    <n v="0"/>
    <n v="1106.0261904761899"/>
    <n v="0.16"/>
    <s v="Transfer"/>
    <x v="0"/>
    <n v="0"/>
    <x v="10"/>
    <x v="0"/>
    <n v="0"/>
    <n v="0"/>
  </r>
  <r>
    <s v="ORD1073"/>
    <d v="2023-09-30T00:00:00"/>
    <x v="3"/>
    <x v="5"/>
    <x v="3"/>
    <s v="Electronics"/>
    <n v="3"/>
    <n v="2267.1108510638296"/>
    <n v="1079.5765957446808"/>
    <n v="0"/>
    <s v="Cash"/>
    <x v="4"/>
    <n v="3238.7297872340423"/>
    <x v="9"/>
    <x v="0"/>
    <n v="971.61893617021269"/>
    <n v="0.3"/>
  </r>
  <r>
    <s v="ORD919"/>
    <d v="2023-02-25T00:00:00"/>
    <x v="4"/>
    <x v="4"/>
    <x v="4"/>
    <s v="Electronics"/>
    <n v="16"/>
    <n v="12387.493333333327"/>
    <n v="1106.0261904761899"/>
    <n v="0.28999999999999998"/>
    <s v="Card"/>
    <x v="1"/>
    <n v="12564.457523809517"/>
    <x v="0"/>
    <x v="0"/>
    <n v="176.9641904761902"/>
    <n v="1.4084507042253508E-2"/>
  </r>
  <r>
    <s v="ORD1074"/>
    <d v="2023-10-05T00:00:00"/>
    <x v="4"/>
    <x v="5"/>
    <x v="0"/>
    <s v="Electronics"/>
    <n v="0"/>
    <n v="0"/>
    <n v="1002.870425531915"/>
    <n v="0.06"/>
    <s v="Cash"/>
    <x v="0"/>
    <n v="0"/>
    <x v="6"/>
    <x v="0"/>
    <n v="0"/>
    <n v="0"/>
  </r>
  <r>
    <s v="ORD1065"/>
    <d v="2023-06-21T00:00:00"/>
    <x v="5"/>
    <x v="2"/>
    <x v="0"/>
    <s v="Electronics"/>
    <n v="0"/>
    <n v="0"/>
    <n v="1002.870425531915"/>
    <n v="0"/>
    <s v="Transfer"/>
    <x v="4"/>
    <n v="0"/>
    <x v="11"/>
    <x v="0"/>
    <n v="0"/>
    <n v="0"/>
  </r>
  <r>
    <s v="ORD1045"/>
    <d v="2023-03-09T00:00:00"/>
    <x v="3"/>
    <x v="1"/>
    <x v="6"/>
    <s v="Electronics"/>
    <n v="0"/>
    <n v="0"/>
    <n v="961.05661016949136"/>
    <n v="0.23"/>
    <s v="Cash"/>
    <x v="4"/>
    <n v="0"/>
    <x v="5"/>
    <x v="0"/>
    <n v="0"/>
    <n v="0"/>
  </r>
  <r>
    <s v="ORD972"/>
    <d v="2023-08-22T00:00:00"/>
    <x v="4"/>
    <x v="2"/>
    <x v="1"/>
    <s v="Electronics"/>
    <n v="10"/>
    <n v="6869.5214285714283"/>
    <n v="981.36020408163256"/>
    <n v="0"/>
    <s v="Cash"/>
    <x v="2"/>
    <n v="9813.6020408163258"/>
    <x v="3"/>
    <x v="0"/>
    <n v="2944.0806122448976"/>
    <n v="0.3000000000000001"/>
  </r>
  <r>
    <s v="ORD960"/>
    <d v="2023-03-01T00:00:00"/>
    <x v="0"/>
    <x v="4"/>
    <x v="3"/>
    <s v="Electronics"/>
    <n v="0"/>
    <n v="0"/>
    <n v="745.65"/>
    <n v="0.17"/>
    <s v="Unknown"/>
    <x v="4"/>
    <n v="0"/>
    <x v="5"/>
    <x v="0"/>
    <n v="0"/>
    <n v="0"/>
  </r>
  <r>
    <s v="ORD988"/>
    <d v="2023-03-17T00:00:00"/>
    <x v="1"/>
    <x v="5"/>
    <x v="3"/>
    <s v="Electronics"/>
    <n v="0"/>
    <n v="0"/>
    <n v="251.77"/>
    <n v="0"/>
    <s v="Cash"/>
    <x v="1"/>
    <n v="0"/>
    <x v="5"/>
    <x v="0"/>
    <n v="0"/>
    <n v="0"/>
  </r>
  <r>
    <s v="ORD981"/>
    <d v="2023-03-21T00:00:00"/>
    <x v="0"/>
    <x v="0"/>
    <x v="3"/>
    <s v="Electronics"/>
    <n v="0"/>
    <n v="0"/>
    <n v="1079.5765957446808"/>
    <n v="0"/>
    <s v="Unknown"/>
    <x v="2"/>
    <n v="0"/>
    <x v="5"/>
    <x v="0"/>
    <n v="0"/>
    <n v="0"/>
  </r>
  <r>
    <s v="ORD1044"/>
    <d v="2024-01-09T00:00:00"/>
    <x v="5"/>
    <x v="4"/>
    <x v="5"/>
    <s v="Home Appliances"/>
    <n v="16"/>
    <n v="11393.857702127658"/>
    <n v="1017.3087234042553"/>
    <n v="0.04"/>
    <s v="Transfer"/>
    <x v="0"/>
    <n v="15625.861991489361"/>
    <x v="1"/>
    <x v="1"/>
    <n v="4232.0042893617028"/>
    <n v="0.27083333333333337"/>
  </r>
  <r>
    <s v="ORD956"/>
    <d v="2023-08-17T00:00:00"/>
    <x v="1"/>
    <x v="1"/>
    <x v="0"/>
    <s v="Electronics"/>
    <n v="0"/>
    <n v="0"/>
    <n v="1002.870425531915"/>
    <n v="0"/>
    <s v="Cash"/>
    <x v="3"/>
    <n v="0"/>
    <x v="3"/>
    <x v="0"/>
    <n v="0"/>
    <n v="0"/>
  </r>
  <r>
    <s v="ORD921"/>
    <d v="2023-10-03T00:00:00"/>
    <x v="5"/>
    <x v="0"/>
    <x v="5"/>
    <s v="Home Appliances"/>
    <n v="0"/>
    <n v="0"/>
    <n v="1017.3087234042553"/>
    <n v="0"/>
    <s v="Cash"/>
    <x v="4"/>
    <n v="0"/>
    <x v="6"/>
    <x v="0"/>
    <n v="0"/>
    <n v="0"/>
  </r>
  <r>
    <s v="ORD1001"/>
    <d v="2023-03-17T00:00:00"/>
    <x v="5"/>
    <x v="4"/>
    <x v="2"/>
    <s v="Groceries"/>
    <n v="0"/>
    <n v="0"/>
    <n v="936.79681818181825"/>
    <n v="0"/>
    <s v="Cash"/>
    <x v="2"/>
    <n v="0"/>
    <x v="5"/>
    <x v="0"/>
    <n v="0"/>
    <n v="0"/>
  </r>
  <r>
    <s v="ORD1086"/>
    <d v="2023-08-16T00:00:00"/>
    <x v="5"/>
    <x v="3"/>
    <x v="2"/>
    <s v="Groceries"/>
    <n v="0"/>
    <n v="0"/>
    <n v="936.79681818181825"/>
    <n v="0"/>
    <s v="Cash"/>
    <x v="0"/>
    <n v="0"/>
    <x v="3"/>
    <x v="0"/>
    <n v="0"/>
    <n v="0"/>
  </r>
  <r>
    <s v="ORD1053"/>
    <d v="2023-02-14T00:00:00"/>
    <x v="4"/>
    <x v="1"/>
    <x v="0"/>
    <s v="Electronics"/>
    <n v="0"/>
    <n v="0"/>
    <n v="1002.870425531915"/>
    <n v="0.23"/>
    <s v="Cash"/>
    <x v="1"/>
    <n v="0"/>
    <x v="0"/>
    <x v="0"/>
    <n v="0"/>
    <n v="0"/>
  </r>
  <r>
    <s v="ORD1063"/>
    <d v="2023-05-20T00:00:00"/>
    <x v="5"/>
    <x v="1"/>
    <x v="3"/>
    <s v="Electronics"/>
    <n v="19"/>
    <n v="14358.368723404254"/>
    <n v="1079.5765957446808"/>
    <n v="0"/>
    <s v="Cash"/>
    <x v="4"/>
    <n v="20511.955319148936"/>
    <x v="7"/>
    <x v="0"/>
    <n v="6153.5865957446822"/>
    <n v="0.30000000000000004"/>
  </r>
  <r>
    <s v="ORD1049"/>
    <d v="2023-06-05T00:00:00"/>
    <x v="5"/>
    <x v="2"/>
    <x v="5"/>
    <s v="Home Appliances"/>
    <n v="8"/>
    <n v="8873.3679999999986"/>
    <n v="1584.53"/>
    <n v="0"/>
    <s v="Unknown"/>
    <x v="1"/>
    <n v="12676.24"/>
    <x v="11"/>
    <x v="0"/>
    <n v="3802.8720000000012"/>
    <n v="0.3000000000000001"/>
  </r>
  <r>
    <s v="ORD931"/>
    <d v="2023-12-01T00:00:00"/>
    <x v="3"/>
    <x v="5"/>
    <x v="1"/>
    <s v="Electronics"/>
    <n v="8"/>
    <n v="5495.6171428571424"/>
    <n v="981.36020408163256"/>
    <n v="0.15"/>
    <s v="Pos"/>
    <x v="4"/>
    <n v="6673.2493877551015"/>
    <x v="10"/>
    <x v="0"/>
    <n v="1177.632244897959"/>
    <n v="0.1764705882352941"/>
  </r>
  <r>
    <s v="ORD1048"/>
    <d v="2023-09-04T00:00:00"/>
    <x v="5"/>
    <x v="3"/>
    <x v="0"/>
    <s v="Electronics"/>
    <n v="0"/>
    <n v="0"/>
    <n v="1002.870425531915"/>
    <n v="0"/>
    <s v="Cash"/>
    <x v="0"/>
    <n v="0"/>
    <x v="9"/>
    <x v="0"/>
    <n v="0"/>
    <n v="0"/>
  </r>
  <r>
    <s v="ORD914"/>
    <d v="2023-03-16T00:00:00"/>
    <x v="1"/>
    <x v="5"/>
    <x v="5"/>
    <s v="Home Appliances"/>
    <n v="12"/>
    <n v="8545.3932765957434"/>
    <n v="1017.3087234042553"/>
    <n v="0"/>
    <s v="Cash"/>
    <x v="4"/>
    <n v="12207.704680851064"/>
    <x v="5"/>
    <x v="0"/>
    <n v="3662.3114042553207"/>
    <n v="0.3"/>
  </r>
  <r>
    <s v="ORD974"/>
    <d v="2023-09-29T00:00:00"/>
    <x v="0"/>
    <x v="2"/>
    <x v="1"/>
    <s v="Electronics"/>
    <n v="0"/>
    <n v="0"/>
    <n v="981.36020408163256"/>
    <n v="0"/>
    <s v="Unknown"/>
    <x v="4"/>
    <n v="0"/>
    <x v="9"/>
    <x v="0"/>
    <n v="0"/>
    <n v="0"/>
  </r>
  <r>
    <s v="ORD969"/>
    <d v="2023-12-17T00:00:00"/>
    <x v="1"/>
    <x v="1"/>
    <x v="3"/>
    <s v="Electronics"/>
    <n v="12"/>
    <n v="9068.4434042553185"/>
    <n v="1079.5765957446808"/>
    <n v="0"/>
    <s v="Transfer"/>
    <x v="4"/>
    <n v="12954.919148936169"/>
    <x v="10"/>
    <x v="0"/>
    <n v="3886.4757446808508"/>
    <n v="0.3"/>
  </r>
  <r>
    <s v="ORD941"/>
    <d v="2023-02-22T00:00:00"/>
    <x v="2"/>
    <x v="1"/>
    <x v="3"/>
    <s v="Electronics"/>
    <n v="0"/>
    <n v="0"/>
    <n v="1079.5765957446808"/>
    <n v="0"/>
    <s v="Pos"/>
    <x v="3"/>
    <n v="0"/>
    <x v="0"/>
    <x v="0"/>
    <n v="0"/>
    <n v="0"/>
  </r>
  <r>
    <s v="ORD1006"/>
    <d v="2023-08-24T00:00:00"/>
    <x v="0"/>
    <x v="1"/>
    <x v="6"/>
    <s v="Electronics"/>
    <n v="0"/>
    <n v="0"/>
    <n v="961.05661016949136"/>
    <n v="0"/>
    <s v="Pos"/>
    <x v="0"/>
    <n v="0"/>
    <x v="3"/>
    <x v="0"/>
    <n v="0"/>
    <n v="0"/>
  </r>
  <r>
    <s v="ORD1095"/>
    <d v="2023-06-25T00:00:00"/>
    <x v="4"/>
    <x v="0"/>
    <x v="0"/>
    <s v="Electronics"/>
    <n v="4"/>
    <n v="2808.0371914893617"/>
    <n v="1002.870425531915"/>
    <n v="0.04"/>
    <s v="Card"/>
    <x v="2"/>
    <n v="3851.0224340425534"/>
    <x v="11"/>
    <x v="0"/>
    <n v="1042.9852425531917"/>
    <n v="0.27083333333333337"/>
  </r>
  <r>
    <s v="ORD953"/>
    <d v="2023-03-08T00:00:00"/>
    <x v="0"/>
    <x v="5"/>
    <x v="5"/>
    <s v="Home Appliances"/>
    <n v="3"/>
    <n v="2136.3483191489358"/>
    <n v="1017.3087234042553"/>
    <n v="0.01"/>
    <s v="Cash"/>
    <x v="0"/>
    <n v="3021.4069085106385"/>
    <x v="5"/>
    <x v="0"/>
    <n v="885.05858936170262"/>
    <n v="0.29292929292929293"/>
  </r>
  <r>
    <s v="ORD1051"/>
    <d v="2023-01-31T00:00:00"/>
    <x v="5"/>
    <x v="1"/>
    <x v="0"/>
    <s v="Electronics"/>
    <n v="0"/>
    <n v="0"/>
    <n v="1338.5"/>
    <n v="0"/>
    <s v="Cash"/>
    <x v="0"/>
    <n v="0"/>
    <x v="1"/>
    <x v="0"/>
    <n v="0"/>
    <n v="0"/>
  </r>
  <r>
    <s v="ORD951"/>
    <d v="2023-04-05T00:00:00"/>
    <x v="1"/>
    <x v="1"/>
    <x v="4"/>
    <s v="Electronics"/>
    <n v="0"/>
    <n v="0"/>
    <n v="702.19"/>
    <n v="0"/>
    <s v="Pos"/>
    <x v="2"/>
    <n v="0"/>
    <x v="8"/>
    <x v="0"/>
    <n v="0"/>
    <n v="0"/>
  </r>
  <r>
    <s v="ORD1029"/>
    <d v="2023-10-19T00:00:00"/>
    <x v="0"/>
    <x v="1"/>
    <x v="6"/>
    <s v="Electronics"/>
    <n v="0"/>
    <n v="0"/>
    <n v="441.83"/>
    <n v="0.28999999999999998"/>
    <s v="Pos"/>
    <x v="3"/>
    <n v="0"/>
    <x v="6"/>
    <x v="0"/>
    <n v="0"/>
    <n v="0"/>
  </r>
  <r>
    <s v="ORD1085"/>
    <d v="2023-02-20T00:00:00"/>
    <x v="2"/>
    <x v="2"/>
    <x v="6"/>
    <s v="Electronics"/>
    <n v="0"/>
    <n v="0"/>
    <n v="961.05661016949136"/>
    <n v="0.2"/>
    <s v="Cash"/>
    <x v="4"/>
    <n v="0"/>
    <x v="0"/>
    <x v="0"/>
    <n v="0"/>
    <n v="0"/>
  </r>
  <r>
    <s v="ORD997"/>
    <d v="2023-08-06T00:00:00"/>
    <x v="2"/>
    <x v="2"/>
    <x v="1"/>
    <s v="Electronics"/>
    <n v="0"/>
    <n v="0"/>
    <n v="255.99"/>
    <n v="0"/>
    <s v="Card"/>
    <x v="4"/>
    <n v="0"/>
    <x v="3"/>
    <x v="0"/>
    <n v="0"/>
    <n v="0"/>
  </r>
  <r>
    <s v="ORD1042"/>
    <d v="2024-01-05T00:00:00"/>
    <x v="0"/>
    <x v="1"/>
    <x v="0"/>
    <s v="Electronics"/>
    <n v="0"/>
    <n v="0"/>
    <n v="1002.870425531915"/>
    <n v="0"/>
    <s v="Transfer"/>
    <x v="2"/>
    <n v="0"/>
    <x v="1"/>
    <x v="1"/>
    <n v="0"/>
    <n v="0"/>
  </r>
  <r>
    <s v="ORD1041"/>
    <d v="2023-07-28T00:00:00"/>
    <x v="3"/>
    <x v="3"/>
    <x v="2"/>
    <s v="Groceries"/>
    <n v="0"/>
    <n v="0"/>
    <n v="936.79681818181825"/>
    <n v="0"/>
    <s v="Transfer"/>
    <x v="3"/>
    <n v="0"/>
    <x v="4"/>
    <x v="0"/>
    <n v="0"/>
    <n v="0"/>
  </r>
  <r>
    <s v="ORD1001"/>
    <d v="2023-08-13T00:00:00"/>
    <x v="0"/>
    <x v="1"/>
    <x v="1"/>
    <s v="Electronics"/>
    <n v="0"/>
    <n v="0"/>
    <n v="1185.21"/>
    <n v="0.22"/>
    <s v="Cash"/>
    <x v="4"/>
    <n v="0"/>
    <x v="3"/>
    <x v="0"/>
    <n v="0"/>
    <n v="0"/>
  </r>
  <r>
    <s v="ORD950"/>
    <d v="2023-06-23T00:00:00"/>
    <x v="2"/>
    <x v="2"/>
    <x v="6"/>
    <s v="Electronics"/>
    <n v="4"/>
    <n v="2690.9585084745759"/>
    <n v="961.05661016949136"/>
    <n v="0"/>
    <s v="Pos"/>
    <x v="0"/>
    <n v="3844.2264406779655"/>
    <x v="11"/>
    <x v="0"/>
    <n v="1153.2679322033896"/>
    <n v="0.3"/>
  </r>
  <r>
    <s v="ORD969"/>
    <d v="2024-01-23T00:00:00"/>
    <x v="5"/>
    <x v="4"/>
    <x v="2"/>
    <s v="Groceries"/>
    <n v="0"/>
    <n v="0"/>
    <n v="1027.71"/>
    <n v="0.23"/>
    <s v="Cash"/>
    <x v="4"/>
    <n v="0"/>
    <x v="1"/>
    <x v="1"/>
    <n v="0"/>
    <n v="0"/>
  </r>
  <r>
    <s v="ORD1025"/>
    <d v="2023-09-12T00:00:00"/>
    <x v="2"/>
    <x v="0"/>
    <x v="1"/>
    <s v="Electronics"/>
    <n v="0"/>
    <n v="0"/>
    <n v="115.18"/>
    <n v="0.15"/>
    <s v="Cash"/>
    <x v="1"/>
    <n v="0"/>
    <x v="9"/>
    <x v="0"/>
    <n v="0"/>
    <n v="0"/>
  </r>
  <r>
    <s v="ORD1054"/>
    <d v="2023-12-14T00:00:00"/>
    <x v="1"/>
    <x v="1"/>
    <x v="0"/>
    <s v="Electronics"/>
    <n v="20"/>
    <n v="14040.185957446809"/>
    <n v="1002.870425531915"/>
    <n v="0"/>
    <s v="Transfer"/>
    <x v="2"/>
    <n v="20057.408510638299"/>
    <x v="10"/>
    <x v="0"/>
    <n v="6017.2225531914901"/>
    <n v="0.30000000000000004"/>
  </r>
  <r>
    <s v="ORD975"/>
    <d v="2023-12-05T00:00:00"/>
    <x v="5"/>
    <x v="5"/>
    <x v="3"/>
    <s v="Electronics"/>
    <n v="0"/>
    <n v="0"/>
    <n v="1079.5765957446808"/>
    <n v="0.16"/>
    <s v="Transfer"/>
    <x v="3"/>
    <n v="0"/>
    <x v="10"/>
    <x v="0"/>
    <n v="0"/>
    <n v="0"/>
  </r>
  <r>
    <s v="ORD998"/>
    <d v="2023-08-19T00:00:00"/>
    <x v="1"/>
    <x v="3"/>
    <x v="2"/>
    <s v="Groceries"/>
    <n v="15"/>
    <n v="9836.3665909090905"/>
    <n v="936.79681818181825"/>
    <n v="0"/>
    <s v="Unknown"/>
    <x v="2"/>
    <n v="14051.952272727274"/>
    <x v="3"/>
    <x v="0"/>
    <n v="4215.5856818181837"/>
    <n v="0.3000000000000001"/>
  </r>
  <r>
    <s v="ORD1025"/>
    <d v="2023-08-09T00:00:00"/>
    <x v="4"/>
    <x v="4"/>
    <x v="5"/>
    <s v="Home Appliances"/>
    <n v="16"/>
    <n v="11393.857702127658"/>
    <n v="1017.3087234042553"/>
    <n v="0"/>
    <s v="Pos"/>
    <x v="0"/>
    <n v="16276.939574468084"/>
    <x v="3"/>
    <x v="0"/>
    <n v="4883.0818723404263"/>
    <n v="0.30000000000000004"/>
  </r>
  <r>
    <s v="ORD1020"/>
    <d v="2023-09-01T00:00:00"/>
    <x v="4"/>
    <x v="2"/>
    <x v="4"/>
    <s v="Electronics"/>
    <n v="0"/>
    <n v="0"/>
    <n v="1106.0261904761899"/>
    <n v="0"/>
    <s v="Card"/>
    <x v="4"/>
    <n v="0"/>
    <x v="9"/>
    <x v="0"/>
    <n v="0"/>
    <n v="0"/>
  </r>
  <r>
    <s v="ORD915"/>
    <d v="2023-01-15T00:00:00"/>
    <x v="0"/>
    <x v="1"/>
    <x v="6"/>
    <s v="Electronics"/>
    <n v="0"/>
    <n v="0"/>
    <n v="961.05661016949136"/>
    <n v="0.1"/>
    <s v="Transfer"/>
    <x v="4"/>
    <n v="0"/>
    <x v="1"/>
    <x v="0"/>
    <n v="0"/>
    <n v="0"/>
  </r>
  <r>
    <s v="ORD991"/>
    <d v="2023-07-30T00:00:00"/>
    <x v="1"/>
    <x v="1"/>
    <x v="5"/>
    <s v="Home Appliances"/>
    <n v="8"/>
    <n v="5696.9288510638289"/>
    <n v="1017.3087234042553"/>
    <n v="0"/>
    <s v="Cash"/>
    <x v="4"/>
    <n v="8138.4697872340421"/>
    <x v="4"/>
    <x v="0"/>
    <n v="2441.5409361702132"/>
    <n v="0.30000000000000004"/>
  </r>
  <r>
    <s v="ORD929"/>
    <d v="2023-06-22T00:00:00"/>
    <x v="4"/>
    <x v="1"/>
    <x v="3"/>
    <s v="Electronics"/>
    <n v="0"/>
    <n v="0"/>
    <n v="1079.5765957446808"/>
    <n v="0"/>
    <s v="Card"/>
    <x v="3"/>
    <n v="0"/>
    <x v="11"/>
    <x v="0"/>
    <n v="0"/>
    <n v="0"/>
  </r>
  <r>
    <s v="ORD1078"/>
    <d v="2023-08-29T00:00:00"/>
    <x v="0"/>
    <x v="4"/>
    <x v="2"/>
    <s v="Groceries"/>
    <n v="0"/>
    <n v="0"/>
    <n v="936.79681818181825"/>
    <n v="0"/>
    <s v="Cash"/>
    <x v="4"/>
    <n v="0"/>
    <x v="3"/>
    <x v="0"/>
    <n v="0"/>
    <n v="0"/>
  </r>
  <r>
    <s v="ORD1027"/>
    <d v="2023-09-15T00:00:00"/>
    <x v="1"/>
    <x v="1"/>
    <x v="3"/>
    <s v="Electronics"/>
    <n v="0"/>
    <n v="0"/>
    <n v="1079.5765957446808"/>
    <n v="0.25"/>
    <s v="Pos"/>
    <x v="2"/>
    <n v="0"/>
    <x v="9"/>
    <x v="0"/>
    <n v="0"/>
    <n v="0"/>
  </r>
  <r>
    <s v="ORD973"/>
    <d v="2023-05-16T00:00:00"/>
    <x v="0"/>
    <x v="4"/>
    <x v="3"/>
    <s v="Electronics"/>
    <n v="0"/>
    <n v="0"/>
    <n v="1488.35"/>
    <n v="0"/>
    <s v="Cash"/>
    <x v="0"/>
    <n v="0"/>
    <x v="7"/>
    <x v="0"/>
    <n v="0"/>
    <n v="0"/>
  </r>
  <r>
    <s v="ORD986"/>
    <d v="2023-05-20T00:00:00"/>
    <x v="0"/>
    <x v="2"/>
    <x v="6"/>
    <s v="Electronics"/>
    <n v="0"/>
    <n v="0"/>
    <n v="427.38"/>
    <n v="0"/>
    <s v="Pos"/>
    <x v="4"/>
    <n v="0"/>
    <x v="7"/>
    <x v="0"/>
    <n v="0"/>
    <n v="0"/>
  </r>
  <r>
    <s v="ORD1010"/>
    <d v="2023-12-06T00:00:00"/>
    <x v="1"/>
    <x v="1"/>
    <x v="2"/>
    <s v="Groceries"/>
    <n v="0"/>
    <n v="0"/>
    <n v="936.79681818181825"/>
    <n v="0.23"/>
    <s v="Cash"/>
    <x v="0"/>
    <n v="0"/>
    <x v="10"/>
    <x v="0"/>
    <n v="0"/>
    <n v="0"/>
  </r>
  <r>
    <s v="ORD947"/>
    <d v="2023-10-23T00:00:00"/>
    <x v="5"/>
    <x v="1"/>
    <x v="5"/>
    <s v="Home Appliances"/>
    <n v="0"/>
    <n v="0"/>
    <n v="1017.3087234042553"/>
    <n v="0"/>
    <s v="Pos"/>
    <x v="3"/>
    <n v="0"/>
    <x v="6"/>
    <x v="0"/>
    <n v="0"/>
    <n v="0"/>
  </r>
  <r>
    <s v="ORD1033"/>
    <d v="2023-04-13T00:00:00"/>
    <x v="1"/>
    <x v="5"/>
    <x v="1"/>
    <s v="Electronics"/>
    <n v="0"/>
    <n v="0"/>
    <n v="981.36020408163256"/>
    <n v="0"/>
    <s v="Card"/>
    <x v="3"/>
    <n v="0"/>
    <x v="8"/>
    <x v="0"/>
    <n v="0"/>
    <n v="0"/>
  </r>
  <r>
    <s v="ORD1062"/>
    <d v="2023-04-15T00:00:00"/>
    <x v="5"/>
    <x v="4"/>
    <x v="6"/>
    <s v="Electronics"/>
    <n v="0"/>
    <n v="0"/>
    <n v="1376.84"/>
    <n v="0.12"/>
    <s v="Cash"/>
    <x v="2"/>
    <n v="0"/>
    <x v="8"/>
    <x v="0"/>
    <n v="0"/>
    <n v="0"/>
  </r>
  <r>
    <s v="ORD907"/>
    <d v="2023-05-06T00:00:00"/>
    <x v="3"/>
    <x v="5"/>
    <x v="2"/>
    <s v="Groceries"/>
    <n v="0"/>
    <n v="0"/>
    <n v="1297.3699999999999"/>
    <n v="0"/>
    <s v="Cash"/>
    <x v="3"/>
    <n v="0"/>
    <x v="7"/>
    <x v="0"/>
    <n v="0"/>
    <n v="0"/>
  </r>
  <r>
    <s v="ORD966"/>
    <d v="2023-05-23T00:00:00"/>
    <x v="4"/>
    <x v="0"/>
    <x v="6"/>
    <s v="Electronics"/>
    <n v="16"/>
    <n v="1345.12"/>
    <n v="120.1"/>
    <n v="0"/>
    <s v="Cash"/>
    <x v="1"/>
    <n v="1921.6"/>
    <x v="7"/>
    <x v="0"/>
    <n v="576.48"/>
    <n v="0.30000000000000004"/>
  </r>
  <r>
    <s v="ORD993"/>
    <d v="2023-12-10T00:00:00"/>
    <x v="0"/>
    <x v="5"/>
    <x v="6"/>
    <s v="Electronics"/>
    <n v="8"/>
    <n v="5381.9170169491517"/>
    <n v="961.05661016949136"/>
    <n v="0"/>
    <s v="Unknown"/>
    <x v="0"/>
    <n v="7688.4528813559309"/>
    <x v="10"/>
    <x v="0"/>
    <n v="2306.5358644067792"/>
    <n v="0.3"/>
  </r>
  <r>
    <s v="ORD1098"/>
    <d v="2023-09-26T00:00:00"/>
    <x v="3"/>
    <x v="5"/>
    <x v="4"/>
    <s v="Electronics"/>
    <n v="20"/>
    <n v="15484.366666666658"/>
    <n v="1106.0261904761899"/>
    <n v="0"/>
    <s v="Unknown"/>
    <x v="1"/>
    <n v="22120.523809523798"/>
    <x v="9"/>
    <x v="0"/>
    <n v="6636.1571428571406"/>
    <n v="0.30000000000000004"/>
  </r>
  <r>
    <s v="ORD1091"/>
    <d v="2024-01-16T00:00:00"/>
    <x v="2"/>
    <x v="5"/>
    <x v="1"/>
    <s v="Electronics"/>
    <n v="4"/>
    <n v="2747.8085714285712"/>
    <n v="981.36020408163256"/>
    <n v="0"/>
    <s v="Pos"/>
    <x v="3"/>
    <n v="3925.4408163265302"/>
    <x v="1"/>
    <x v="1"/>
    <n v="1177.632244897959"/>
    <n v="0.3"/>
  </r>
  <r>
    <s v="ORD1025"/>
    <d v="2023-10-01T00:00:00"/>
    <x v="1"/>
    <x v="0"/>
    <x v="4"/>
    <s v="Electronics"/>
    <n v="0"/>
    <n v="0"/>
    <n v="954.96"/>
    <n v="0.28999999999999998"/>
    <s v="Card"/>
    <x v="1"/>
    <n v="0"/>
    <x v="6"/>
    <x v="0"/>
    <n v="0"/>
    <n v="0"/>
  </r>
  <r>
    <s v="ORD1083"/>
    <d v="2023-07-08T00:00:00"/>
    <x v="3"/>
    <x v="1"/>
    <x v="5"/>
    <s v="Home Appliances"/>
    <n v="0"/>
    <n v="0"/>
    <n v="1327.82"/>
    <n v="0"/>
    <s v="Cash"/>
    <x v="4"/>
    <n v="0"/>
    <x v="4"/>
    <x v="0"/>
    <n v="0"/>
    <n v="0"/>
  </r>
  <r>
    <s v="ORD1041"/>
    <d v="2023-07-16T00:00:00"/>
    <x v="3"/>
    <x v="0"/>
    <x v="5"/>
    <s v="Home Appliances"/>
    <n v="0"/>
    <n v="0"/>
    <n v="1017.3087234042553"/>
    <n v="0"/>
    <s v="Card"/>
    <x v="4"/>
    <n v="0"/>
    <x v="4"/>
    <x v="0"/>
    <n v="0"/>
    <n v="0"/>
  </r>
  <r>
    <s v="ORD923"/>
    <d v="2024-01-23T00:00:00"/>
    <x v="2"/>
    <x v="4"/>
    <x v="1"/>
    <s v="Electronics"/>
    <n v="0"/>
    <n v="0"/>
    <n v="981.36020408163256"/>
    <n v="0.12"/>
    <s v="Card"/>
    <x v="3"/>
    <n v="0"/>
    <x v="1"/>
    <x v="1"/>
    <n v="0"/>
    <n v="0"/>
  </r>
  <r>
    <s v="ORD1099"/>
    <d v="2023-09-09T00:00:00"/>
    <x v="5"/>
    <x v="0"/>
    <x v="2"/>
    <s v="Groceries"/>
    <n v="14"/>
    <n v="9180.6088181818177"/>
    <n v="936.79681818181825"/>
    <n v="0.08"/>
    <s v="Card"/>
    <x v="1"/>
    <n v="12065.943018181821"/>
    <x v="9"/>
    <x v="0"/>
    <n v="2885.334200000003"/>
    <n v="0.23913043478260873"/>
  </r>
  <r>
    <s v="ORD1054"/>
    <d v="2024-01-09T00:00:00"/>
    <x v="1"/>
    <x v="5"/>
    <x v="5"/>
    <s v="Home Appliances"/>
    <n v="0"/>
    <n v="0"/>
    <n v="1017.3087234042553"/>
    <n v="0"/>
    <s v="Cash"/>
    <x v="3"/>
    <n v="0"/>
    <x v="1"/>
    <x v="1"/>
    <n v="0"/>
    <n v="0"/>
  </r>
  <r>
    <s v="ORD1002"/>
    <d v="2023-04-13T00:00:00"/>
    <x v="3"/>
    <x v="4"/>
    <x v="3"/>
    <s v="Electronics"/>
    <n v="4"/>
    <n v="3022.814468085106"/>
    <n v="1079.5765957446808"/>
    <n v="0"/>
    <s v="Cash"/>
    <x v="0"/>
    <n v="4318.3063829787234"/>
    <x v="8"/>
    <x v="0"/>
    <n v="1295.4919148936174"/>
    <n v="0.3000000000000001"/>
  </r>
  <r>
    <s v="ORD1075"/>
    <d v="2023-07-30T00:00:00"/>
    <x v="1"/>
    <x v="5"/>
    <x v="2"/>
    <s v="Groceries"/>
    <n v="9"/>
    <n v="5901.8199545454545"/>
    <n v="936.79681818181825"/>
    <n v="0.24"/>
    <s v="Cash"/>
    <x v="1"/>
    <n v="6407.6902363636364"/>
    <x v="4"/>
    <x v="0"/>
    <n v="505.87028181818187"/>
    <n v="7.8947368421052641E-2"/>
  </r>
  <r>
    <s v="ORD994"/>
    <d v="2023-04-04T00:00:00"/>
    <x v="5"/>
    <x v="5"/>
    <x v="6"/>
    <s v="Electronics"/>
    <n v="8"/>
    <n v="5381.9170169491517"/>
    <n v="961.05661016949136"/>
    <n v="0"/>
    <s v="Cash"/>
    <x v="3"/>
    <n v="7688.4528813559309"/>
    <x v="8"/>
    <x v="0"/>
    <n v="2306.5358644067792"/>
    <n v="0.3"/>
  </r>
  <r>
    <s v="ORD1018"/>
    <d v="2023-04-12T00:00:00"/>
    <x v="3"/>
    <x v="0"/>
    <x v="6"/>
    <s v="Electronics"/>
    <n v="0"/>
    <n v="0"/>
    <n v="961.05661016949136"/>
    <n v="0.08"/>
    <s v="Card"/>
    <x v="2"/>
    <n v="0"/>
    <x v="8"/>
    <x v="0"/>
    <n v="0"/>
    <n v="0"/>
  </r>
  <r>
    <s v="ORD1045"/>
    <d v="2023-03-02T00:00:00"/>
    <x v="0"/>
    <x v="0"/>
    <x v="3"/>
    <s v="Electronics"/>
    <n v="0"/>
    <n v="0"/>
    <n v="993.36"/>
    <n v="0.21"/>
    <s v="Card"/>
    <x v="4"/>
    <n v="0"/>
    <x v="5"/>
    <x v="0"/>
    <n v="0"/>
    <n v="0"/>
  </r>
  <r>
    <s v="ORD1091"/>
    <d v="2023-09-11T00:00:00"/>
    <x v="5"/>
    <x v="1"/>
    <x v="2"/>
    <s v="Groceries"/>
    <n v="20"/>
    <n v="13115.155454545455"/>
    <n v="936.79681818181825"/>
    <n v="0.22"/>
    <s v="Transfer"/>
    <x v="2"/>
    <n v="14614.030363636364"/>
    <x v="9"/>
    <x v="0"/>
    <n v="1498.8749090909096"/>
    <n v="0.10256410256410271"/>
  </r>
  <r>
    <s v="ORD1004"/>
    <d v="2023-03-16T00:00:00"/>
    <x v="0"/>
    <x v="4"/>
    <x v="0"/>
    <s v="Electronics"/>
    <n v="0"/>
    <n v="0"/>
    <n v="1002.870425531915"/>
    <n v="0"/>
    <s v="Transfer"/>
    <x v="3"/>
    <n v="0"/>
    <x v="5"/>
    <x v="0"/>
    <n v="0"/>
    <n v="0"/>
  </r>
  <r>
    <s v="ORD902"/>
    <d v="2023-08-29T00:00:00"/>
    <x v="4"/>
    <x v="3"/>
    <x v="0"/>
    <s v="Electronics"/>
    <n v="0"/>
    <n v="0"/>
    <n v="1002.870425531915"/>
    <n v="0"/>
    <s v="Cash"/>
    <x v="3"/>
    <n v="0"/>
    <x v="3"/>
    <x v="0"/>
    <n v="0"/>
    <n v="0"/>
  </r>
  <r>
    <s v="ORD1042"/>
    <d v="2023-01-31T00:00:00"/>
    <x v="0"/>
    <x v="4"/>
    <x v="1"/>
    <s v="Electronics"/>
    <n v="0"/>
    <n v="0"/>
    <n v="981.36020408163256"/>
    <n v="0.21"/>
    <s v="Cash"/>
    <x v="4"/>
    <n v="0"/>
    <x v="1"/>
    <x v="0"/>
    <n v="0"/>
    <n v="0"/>
  </r>
  <r>
    <s v="ORD1029"/>
    <d v="2023-11-14T00:00:00"/>
    <x v="5"/>
    <x v="4"/>
    <x v="2"/>
    <s v="Groceries"/>
    <n v="0"/>
    <n v="0"/>
    <n v="91.84"/>
    <n v="0"/>
    <s v="Transfer"/>
    <x v="4"/>
    <n v="0"/>
    <x v="2"/>
    <x v="0"/>
    <n v="0"/>
    <n v="0"/>
  </r>
  <r>
    <s v="ORD1019"/>
    <d v="2023-03-09T00:00:00"/>
    <x v="0"/>
    <x v="4"/>
    <x v="5"/>
    <s v="Home Appliances"/>
    <n v="14"/>
    <n v="9969.6254893617006"/>
    <n v="1017.3087234042553"/>
    <n v="0.01"/>
    <s v="Transfer"/>
    <x v="4"/>
    <n v="14099.898906382978"/>
    <x v="5"/>
    <x v="0"/>
    <n v="4130.2734170212771"/>
    <n v="0.29292929292929298"/>
  </r>
  <r>
    <s v="ORD1091"/>
    <d v="2023-07-04T00:00:00"/>
    <x v="5"/>
    <x v="4"/>
    <x v="0"/>
    <s v="Electronics"/>
    <n v="0"/>
    <n v="0"/>
    <n v="632.89"/>
    <n v="0"/>
    <s v="Cash"/>
    <x v="0"/>
    <n v="0"/>
    <x v="4"/>
    <x v="0"/>
    <n v="0"/>
    <n v="0"/>
  </r>
  <r>
    <s v="ORD1068"/>
    <d v="2023-11-22T00:00:00"/>
    <x v="5"/>
    <x v="1"/>
    <x v="1"/>
    <s v="Electronics"/>
    <n v="2"/>
    <n v="1373.9042857142856"/>
    <n v="981.36020408163256"/>
    <n v="0"/>
    <s v="Transfer"/>
    <x v="1"/>
    <n v="1962.7204081632651"/>
    <x v="2"/>
    <x v="0"/>
    <n v="588.81612244897951"/>
    <n v="0.3"/>
  </r>
  <r>
    <s v="ORD929"/>
    <d v="2023-09-11T00:00:00"/>
    <x v="0"/>
    <x v="5"/>
    <x v="0"/>
    <s v="Electronics"/>
    <n v="0"/>
    <n v="0"/>
    <n v="1002.870425531915"/>
    <n v="0.26"/>
    <s v="Card"/>
    <x v="3"/>
    <n v="0"/>
    <x v="9"/>
    <x v="0"/>
    <n v="0"/>
    <n v="0"/>
  </r>
  <r>
    <s v="ORD952"/>
    <d v="2023-05-26T00:00:00"/>
    <x v="4"/>
    <x v="3"/>
    <x v="1"/>
    <s v="Electronics"/>
    <n v="0"/>
    <n v="0"/>
    <n v="981.36020408163256"/>
    <n v="0.06"/>
    <s v="Pos"/>
    <x v="0"/>
    <n v="0"/>
    <x v="7"/>
    <x v="0"/>
    <n v="0"/>
    <n v="0"/>
  </r>
  <r>
    <s v="ORD946"/>
    <d v="2023-08-02T00:00:00"/>
    <x v="0"/>
    <x v="1"/>
    <x v="6"/>
    <s v="Electronics"/>
    <n v="0"/>
    <n v="0"/>
    <n v="961.05661016949136"/>
    <n v="0.28999999999999998"/>
    <s v="Transfer"/>
    <x v="4"/>
    <n v="0"/>
    <x v="3"/>
    <x v="0"/>
    <n v="0"/>
    <n v="0"/>
  </r>
  <r>
    <s v="ORD1051"/>
    <d v="2023-02-24T00:00:00"/>
    <x v="1"/>
    <x v="1"/>
    <x v="4"/>
    <s v="Electronics"/>
    <n v="0"/>
    <n v="0"/>
    <n v="1106.0261904761899"/>
    <n v="0"/>
    <s v="Pos"/>
    <x v="3"/>
    <n v="0"/>
    <x v="0"/>
    <x v="0"/>
    <n v="0"/>
    <n v="0"/>
  </r>
  <r>
    <s v="ORD984"/>
    <d v="2023-01-23T00:00:00"/>
    <x v="5"/>
    <x v="4"/>
    <x v="5"/>
    <s v="Home Appliances"/>
    <n v="5"/>
    <n v="3560.5805319148931"/>
    <n v="1017.3087234042553"/>
    <n v="0.08"/>
    <s v="Unknown"/>
    <x v="3"/>
    <n v="4679.6201276595739"/>
    <x v="1"/>
    <x v="0"/>
    <n v="1119.0395957446808"/>
    <n v="0.23913043478260873"/>
  </r>
  <r>
    <s v="ORD1040"/>
    <d v="2023-11-05T00:00:00"/>
    <x v="5"/>
    <x v="1"/>
    <x v="2"/>
    <s v="Groceries"/>
    <n v="6"/>
    <n v="3934.546636363636"/>
    <n v="936.79681818181825"/>
    <n v="0.03"/>
    <s v="Cash"/>
    <x v="1"/>
    <n v="5452.1574818181825"/>
    <x v="2"/>
    <x v="0"/>
    <n v="1517.6108454545465"/>
    <n v="0.27835051546391759"/>
  </r>
  <r>
    <s v="ORD1099"/>
    <d v="2023-07-26T00:00:00"/>
    <x v="3"/>
    <x v="0"/>
    <x v="6"/>
    <s v="Electronics"/>
    <n v="0"/>
    <n v="0"/>
    <n v="961.05661016949136"/>
    <n v="0"/>
    <s v="Unknown"/>
    <x v="0"/>
    <n v="0"/>
    <x v="4"/>
    <x v="0"/>
    <n v="0"/>
    <n v="0"/>
  </r>
  <r>
    <s v="ORD933"/>
    <d v="2023-07-03T00:00:00"/>
    <x v="0"/>
    <x v="3"/>
    <x v="0"/>
    <s v="Electronics"/>
    <n v="0"/>
    <n v="0"/>
    <n v="1002.870425531915"/>
    <n v="0"/>
    <s v="Pos"/>
    <x v="1"/>
    <n v="0"/>
    <x v="4"/>
    <x v="0"/>
    <n v="0"/>
    <n v="0"/>
  </r>
  <r>
    <s v="ORD923"/>
    <d v="2024-01-23T00:00:00"/>
    <x v="5"/>
    <x v="3"/>
    <x v="0"/>
    <s v="Electronics"/>
    <n v="0"/>
    <n v="0"/>
    <n v="1265.07"/>
    <n v="0"/>
    <s v="Transfer"/>
    <x v="2"/>
    <n v="0"/>
    <x v="1"/>
    <x v="1"/>
    <n v="0"/>
    <n v="0"/>
  </r>
  <r>
    <s v="ORD1065"/>
    <d v="2023-12-18T00:00:00"/>
    <x v="4"/>
    <x v="5"/>
    <x v="3"/>
    <s v="Electronics"/>
    <n v="0"/>
    <n v="0"/>
    <n v="941.76"/>
    <n v="0"/>
    <s v="Card"/>
    <x v="2"/>
    <n v="0"/>
    <x v="10"/>
    <x v="0"/>
    <n v="0"/>
    <n v="0"/>
  </r>
  <r>
    <s v="ORD932"/>
    <d v="2023-12-17T00:00:00"/>
    <x v="3"/>
    <x v="3"/>
    <x v="1"/>
    <s v="Electronics"/>
    <n v="0"/>
    <n v="0"/>
    <n v="981.36020408163256"/>
    <n v="0.02"/>
    <s v="Pos"/>
    <x v="3"/>
    <n v="0"/>
    <x v="10"/>
    <x v="0"/>
    <n v="0"/>
    <n v="0"/>
  </r>
  <r>
    <s v="ORD1030"/>
    <d v="2023-08-06T00:00:00"/>
    <x v="5"/>
    <x v="1"/>
    <x v="2"/>
    <s v="Groceries"/>
    <n v="0"/>
    <n v="0"/>
    <n v="517.16999999999996"/>
    <n v="0.23"/>
    <s v="Cash"/>
    <x v="1"/>
    <n v="0"/>
    <x v="3"/>
    <x v="0"/>
    <n v="0"/>
    <n v="0"/>
  </r>
  <r>
    <s v="ORD945"/>
    <d v="2023-04-04T00:00:00"/>
    <x v="5"/>
    <x v="1"/>
    <x v="4"/>
    <s v="Electronics"/>
    <n v="0"/>
    <n v="0"/>
    <n v="1106.0261904761899"/>
    <n v="0"/>
    <s v="Pos"/>
    <x v="4"/>
    <n v="0"/>
    <x v="8"/>
    <x v="0"/>
    <n v="0"/>
    <n v="0"/>
  </r>
  <r>
    <s v="ORD987"/>
    <d v="2023-04-06T00:00:00"/>
    <x v="2"/>
    <x v="1"/>
    <x v="4"/>
    <s v="Electronics"/>
    <n v="0"/>
    <n v="0"/>
    <n v="1106.0261904761899"/>
    <n v="0"/>
    <s v="Cash"/>
    <x v="3"/>
    <n v="0"/>
    <x v="8"/>
    <x v="0"/>
    <n v="0"/>
    <n v="0"/>
  </r>
  <r>
    <s v="ORD943"/>
    <d v="2023-12-02T00:00:00"/>
    <x v="5"/>
    <x v="5"/>
    <x v="5"/>
    <s v="Home Appliances"/>
    <n v="0"/>
    <n v="0"/>
    <n v="1017.3087234042553"/>
    <n v="0"/>
    <s v="Card"/>
    <x v="1"/>
    <n v="0"/>
    <x v="10"/>
    <x v="0"/>
    <n v="0"/>
    <n v="0"/>
  </r>
  <r>
    <s v="ORD977"/>
    <d v="2023-02-14T00:00:00"/>
    <x v="4"/>
    <x v="1"/>
    <x v="4"/>
    <s v="Electronics"/>
    <n v="4"/>
    <n v="3906.2799999999993"/>
    <n v="1395.1"/>
    <n v="0.26"/>
    <s v="Transfer"/>
    <x v="2"/>
    <n v="4129.4960000000001"/>
    <x v="0"/>
    <x v="0"/>
    <n v="223.2160000000008"/>
    <n v="5.4054054054054244E-2"/>
  </r>
  <r>
    <s v="ORD1066"/>
    <d v="2023-05-04T00:00:00"/>
    <x v="5"/>
    <x v="3"/>
    <x v="5"/>
    <s v="Home Appliances"/>
    <n v="7"/>
    <n v="4984.8127446808503"/>
    <n v="1017.3087234042553"/>
    <n v="0"/>
    <s v="Cash"/>
    <x v="3"/>
    <n v="7121.1610638297871"/>
    <x v="7"/>
    <x v="0"/>
    <n v="2136.3483191489368"/>
    <n v="0.3000000000000001"/>
  </r>
  <r>
    <s v="ORD942"/>
    <d v="2023-03-20T00:00:00"/>
    <x v="5"/>
    <x v="5"/>
    <x v="2"/>
    <s v="Groceries"/>
    <n v="0"/>
    <n v="0"/>
    <n v="936.79681818181825"/>
    <n v="0"/>
    <s v="Cash"/>
    <x v="4"/>
    <n v="0"/>
    <x v="5"/>
    <x v="0"/>
    <n v="0"/>
    <n v="0"/>
  </r>
  <r>
    <s v="ORD902"/>
    <d v="2023-02-22T00:00:00"/>
    <x v="5"/>
    <x v="5"/>
    <x v="6"/>
    <s v="Electronics"/>
    <n v="0"/>
    <n v="0"/>
    <n v="961.05661016949136"/>
    <n v="0"/>
    <s v="Transfer"/>
    <x v="0"/>
    <n v="0"/>
    <x v="0"/>
    <x v="0"/>
    <n v="0"/>
    <n v="0"/>
  </r>
  <r>
    <s v="ORD1051"/>
    <d v="2024-01-07T00:00:00"/>
    <x v="5"/>
    <x v="1"/>
    <x v="5"/>
    <s v="Home Appliances"/>
    <n v="17"/>
    <n v="12105.973808510636"/>
    <n v="1017.3087234042553"/>
    <n v="0"/>
    <s v="Unknown"/>
    <x v="1"/>
    <n v="17294.248297872338"/>
    <x v="1"/>
    <x v="1"/>
    <n v="5188.2744893617019"/>
    <n v="0.30000000000000004"/>
  </r>
  <r>
    <s v="ORD1021"/>
    <d v="2023-03-01T00:00:00"/>
    <x v="5"/>
    <x v="2"/>
    <x v="5"/>
    <s v="Home Appliances"/>
    <n v="0"/>
    <n v="0"/>
    <n v="878.1"/>
    <n v="0.09"/>
    <s v="Transfer"/>
    <x v="4"/>
    <n v="0"/>
    <x v="5"/>
    <x v="0"/>
    <n v="0"/>
    <n v="0"/>
  </r>
  <r>
    <s v="ORD1012"/>
    <d v="2023-04-29T00:00:00"/>
    <x v="2"/>
    <x v="2"/>
    <x v="5"/>
    <s v="Home Appliances"/>
    <n v="0"/>
    <n v="0"/>
    <n v="1317.35"/>
    <n v="0"/>
    <s v="Unknown"/>
    <x v="1"/>
    <n v="0"/>
    <x v="8"/>
    <x v="0"/>
    <n v="0"/>
    <n v="0"/>
  </r>
  <r>
    <s v="ORD1006"/>
    <d v="2023-12-11T00:00:00"/>
    <x v="1"/>
    <x v="3"/>
    <x v="2"/>
    <s v="Groceries"/>
    <n v="20"/>
    <n v="13115.155454545455"/>
    <n v="936.79681818181825"/>
    <n v="0"/>
    <s v="Cash"/>
    <x v="2"/>
    <n v="18735.936363636363"/>
    <x v="10"/>
    <x v="0"/>
    <n v="5620.7809090909086"/>
    <n v="0.3000000000000001"/>
  </r>
  <r>
    <s v="ORD951"/>
    <d v="2023-03-22T00:00:00"/>
    <x v="5"/>
    <x v="1"/>
    <x v="6"/>
    <s v="Electronics"/>
    <n v="0"/>
    <n v="0"/>
    <n v="961.05661016949136"/>
    <n v="0.01"/>
    <s v="Card"/>
    <x v="4"/>
    <n v="0"/>
    <x v="5"/>
    <x v="0"/>
    <n v="0"/>
    <n v="0"/>
  </r>
  <r>
    <s v="ORD991"/>
    <d v="2023-12-13T00:00:00"/>
    <x v="4"/>
    <x v="1"/>
    <x v="6"/>
    <s v="Electronics"/>
    <n v="2"/>
    <n v="954.92599999999993"/>
    <n v="682.09"/>
    <n v="0.19"/>
    <s v="Pos"/>
    <x v="2"/>
    <n v="1104.9858000000002"/>
    <x v="10"/>
    <x v="0"/>
    <n v="150.05980000000022"/>
    <n v="0.13580246913580266"/>
  </r>
  <r>
    <s v="ORD1024"/>
    <d v="2023-05-13T00:00:00"/>
    <x v="1"/>
    <x v="3"/>
    <x v="0"/>
    <s v="Electronics"/>
    <n v="0"/>
    <n v="0"/>
    <n v="1002.870425531915"/>
    <n v="0"/>
    <s v="Unknown"/>
    <x v="3"/>
    <n v="0"/>
    <x v="7"/>
    <x v="0"/>
    <n v="0"/>
    <n v="0"/>
  </r>
  <r>
    <s v="ORD1080"/>
    <d v="2023-01-26T00:00:00"/>
    <x v="5"/>
    <x v="3"/>
    <x v="2"/>
    <s v="Groceries"/>
    <n v="0"/>
    <n v="0"/>
    <n v="1223.22"/>
    <n v="0.25"/>
    <s v="Pos"/>
    <x v="3"/>
    <n v="0"/>
    <x v="1"/>
    <x v="0"/>
    <n v="0"/>
    <n v="0"/>
  </r>
  <r>
    <s v="ORD942"/>
    <d v="2023-11-19T00:00:00"/>
    <x v="0"/>
    <x v="3"/>
    <x v="1"/>
    <s v="Electronics"/>
    <n v="0"/>
    <n v="0"/>
    <n v="981.36020408163256"/>
    <n v="0"/>
    <s v="Unknown"/>
    <x v="3"/>
    <n v="0"/>
    <x v="2"/>
    <x v="0"/>
    <n v="0"/>
    <n v="0"/>
  </r>
  <r>
    <s v="ORD939"/>
    <d v="2023-11-28T00:00:00"/>
    <x v="1"/>
    <x v="4"/>
    <x v="6"/>
    <s v="Electronics"/>
    <n v="4"/>
    <n v="2690.9585084745759"/>
    <n v="961.05661016949136"/>
    <n v="0.23"/>
    <s v="Cash"/>
    <x v="1"/>
    <n v="2960.0543593220336"/>
    <x v="2"/>
    <x v="0"/>
    <n v="269.09585084745777"/>
    <n v="9.0909090909090967E-2"/>
  </r>
  <r>
    <s v="ORD987"/>
    <d v="2023-05-27T00:00:00"/>
    <x v="4"/>
    <x v="1"/>
    <x v="0"/>
    <s v="Electronics"/>
    <n v="0"/>
    <n v="0"/>
    <n v="1262.5899999999999"/>
    <n v="0"/>
    <s v="Transfer"/>
    <x v="2"/>
    <n v="0"/>
    <x v="7"/>
    <x v="0"/>
    <n v="0"/>
    <n v="0"/>
  </r>
  <r>
    <s v="ORD935"/>
    <d v="2023-08-08T00:00:00"/>
    <x v="5"/>
    <x v="5"/>
    <x v="2"/>
    <s v="Groceries"/>
    <n v="12"/>
    <n v="7482.1319999999996"/>
    <n v="890.73"/>
    <n v="0"/>
    <s v="Cash"/>
    <x v="3"/>
    <n v="10688.76"/>
    <x v="3"/>
    <x v="0"/>
    <n v="3206.6280000000006"/>
    <n v="0.30000000000000004"/>
  </r>
  <r>
    <s v="ORD986"/>
    <d v="2023-06-11T00:00:00"/>
    <x v="5"/>
    <x v="3"/>
    <x v="1"/>
    <s v="Electronics"/>
    <n v="0"/>
    <n v="0"/>
    <n v="981.36020408163256"/>
    <n v="0.28000000000000003"/>
    <s v="Pos"/>
    <x v="3"/>
    <n v="0"/>
    <x v="11"/>
    <x v="0"/>
    <n v="0"/>
    <n v="0"/>
  </r>
  <r>
    <s v="ORD1061"/>
    <d v="2024-01-01T00:00:00"/>
    <x v="3"/>
    <x v="5"/>
    <x v="2"/>
    <s v="Groceries"/>
    <n v="0"/>
    <n v="0"/>
    <n v="936.79681818181825"/>
    <n v="0"/>
    <s v="Pos"/>
    <x v="0"/>
    <n v="0"/>
    <x v="1"/>
    <x v="1"/>
    <n v="0"/>
    <n v="0"/>
  </r>
  <r>
    <s v="ORD937"/>
    <d v="2023-12-25T00:00:00"/>
    <x v="5"/>
    <x v="5"/>
    <x v="5"/>
    <s v="Home Appliances"/>
    <n v="0"/>
    <n v="0"/>
    <n v="1017.3087234042553"/>
    <n v="0"/>
    <s v="Unknown"/>
    <x v="1"/>
    <n v="0"/>
    <x v="10"/>
    <x v="0"/>
    <n v="0"/>
    <n v="0"/>
  </r>
  <r>
    <s v="ORD1098"/>
    <d v="2023-04-12T00:00:00"/>
    <x v="3"/>
    <x v="1"/>
    <x v="4"/>
    <s v="Electronics"/>
    <n v="0"/>
    <n v="0"/>
    <n v="1106.0261904761899"/>
    <n v="0"/>
    <s v="Pos"/>
    <x v="4"/>
    <n v="0"/>
    <x v="8"/>
    <x v="0"/>
    <n v="0"/>
    <n v="0"/>
  </r>
  <r>
    <s v="ORD954"/>
    <d v="2023-02-17T00:00:00"/>
    <x v="3"/>
    <x v="2"/>
    <x v="0"/>
    <s v="Electronics"/>
    <n v="1"/>
    <n v="702.00929787234043"/>
    <n v="1002.870425531915"/>
    <n v="0.18"/>
    <s v="Card"/>
    <x v="1"/>
    <n v="822.35374893617029"/>
    <x v="0"/>
    <x v="0"/>
    <n v="120.34445106382987"/>
    <n v="0.14634146341463422"/>
  </r>
  <r>
    <s v="ORD1029"/>
    <d v="2023-02-26T00:00:00"/>
    <x v="0"/>
    <x v="3"/>
    <x v="0"/>
    <s v="Electronics"/>
    <n v="0"/>
    <n v="0"/>
    <n v="1002.870425531915"/>
    <n v="0"/>
    <s v="Card"/>
    <x v="0"/>
    <n v="0"/>
    <x v="0"/>
    <x v="0"/>
    <n v="0"/>
    <n v="0"/>
  </r>
  <r>
    <s v="ORD1088"/>
    <d v="2023-01-03T00:00:00"/>
    <x v="5"/>
    <x v="4"/>
    <x v="1"/>
    <s v="Electronics"/>
    <n v="0"/>
    <n v="0"/>
    <n v="981.36020408163256"/>
    <n v="0"/>
    <s v="Cash"/>
    <x v="4"/>
    <n v="0"/>
    <x v="1"/>
    <x v="0"/>
    <n v="0"/>
    <n v="0"/>
  </r>
  <r>
    <s v="ORD976"/>
    <d v="2023-05-26T00:00:00"/>
    <x v="4"/>
    <x v="0"/>
    <x v="2"/>
    <s v="Groceries"/>
    <n v="8"/>
    <n v="5246.0621818181817"/>
    <n v="936.79681818181825"/>
    <n v="0"/>
    <s v="Transfer"/>
    <x v="3"/>
    <n v="7494.374545454546"/>
    <x v="7"/>
    <x v="0"/>
    <n v="2248.3123636363644"/>
    <n v="0.3000000000000001"/>
  </r>
  <r>
    <s v="ORD937"/>
    <d v="2023-12-31T00:00:00"/>
    <x v="5"/>
    <x v="3"/>
    <x v="2"/>
    <s v="Groceries"/>
    <n v="3"/>
    <n v="1796.5919999999996"/>
    <n v="855.52"/>
    <n v="0"/>
    <s v="Cash"/>
    <x v="4"/>
    <n v="2566.56"/>
    <x v="10"/>
    <x v="0"/>
    <n v="769.9680000000003"/>
    <n v="0.30000000000000004"/>
  </r>
  <r>
    <s v="ORD1073"/>
    <d v="2023-09-27T00:00:00"/>
    <x v="5"/>
    <x v="2"/>
    <x v="3"/>
    <s v="Electronics"/>
    <n v="0"/>
    <n v="0"/>
    <n v="1079.5765957446808"/>
    <n v="0"/>
    <s v="Unknown"/>
    <x v="1"/>
    <n v="0"/>
    <x v="9"/>
    <x v="0"/>
    <n v="0"/>
    <n v="0"/>
  </r>
  <r>
    <s v="ORD1087"/>
    <d v="2023-08-02T00:00:00"/>
    <x v="4"/>
    <x v="1"/>
    <x v="3"/>
    <s v="Electronics"/>
    <n v="0"/>
    <n v="0"/>
    <n v="1079.5765957446808"/>
    <n v="0"/>
    <s v="Cash"/>
    <x v="2"/>
    <n v="0"/>
    <x v="3"/>
    <x v="0"/>
    <n v="0"/>
    <n v="0"/>
  </r>
  <r>
    <s v="ORD1016"/>
    <d v="2023-08-31T00:00:00"/>
    <x v="0"/>
    <x v="0"/>
    <x v="1"/>
    <s v="Electronics"/>
    <n v="12"/>
    <n v="8243.4257142857132"/>
    <n v="981.36020408163256"/>
    <n v="0"/>
    <s v="Pos"/>
    <x v="4"/>
    <n v="11776.32244897959"/>
    <x v="3"/>
    <x v="0"/>
    <n v="3532.8967346938771"/>
    <n v="0.3"/>
  </r>
  <r>
    <s v="ORD910"/>
    <d v="2023-09-25T00:00:00"/>
    <x v="4"/>
    <x v="1"/>
    <x v="0"/>
    <s v="Electronics"/>
    <n v="0"/>
    <n v="0"/>
    <n v="595.02"/>
    <n v="0.24"/>
    <s v="Pos"/>
    <x v="1"/>
    <n v="0"/>
    <x v="9"/>
    <x v="0"/>
    <n v="0"/>
    <n v="0"/>
  </r>
  <r>
    <s v="ORD912"/>
    <d v="2023-06-06T00:00:00"/>
    <x v="3"/>
    <x v="1"/>
    <x v="1"/>
    <s v="Electronics"/>
    <n v="1"/>
    <n v="769.71999999999991"/>
    <n v="1099.5999999999999"/>
    <n v="0"/>
    <s v="Transfer"/>
    <x v="0"/>
    <n v="1099.5999999999999"/>
    <x v="11"/>
    <x v="0"/>
    <n v="329.88"/>
    <n v="0.30000000000000004"/>
  </r>
  <r>
    <s v="ORD979"/>
    <d v="2023-10-17T00:00:00"/>
    <x v="5"/>
    <x v="4"/>
    <x v="6"/>
    <s v="Electronics"/>
    <n v="0"/>
    <n v="0"/>
    <n v="1669.03"/>
    <n v="0"/>
    <s v="Unknown"/>
    <x v="1"/>
    <n v="0"/>
    <x v="6"/>
    <x v="0"/>
    <n v="0"/>
    <n v="0"/>
  </r>
  <r>
    <s v="ORD1094"/>
    <d v="2023-08-19T00:00:00"/>
    <x v="5"/>
    <x v="1"/>
    <x v="6"/>
    <s v="Electronics"/>
    <n v="0"/>
    <n v="0"/>
    <n v="961.05661016949136"/>
    <n v="0"/>
    <s v="Card"/>
    <x v="0"/>
    <n v="0"/>
    <x v="3"/>
    <x v="0"/>
    <n v="0"/>
    <n v="0"/>
  </r>
  <r>
    <s v="ORD911"/>
    <d v="2023-12-10T00:00:00"/>
    <x v="5"/>
    <x v="0"/>
    <x v="0"/>
    <s v="Electronics"/>
    <n v="0"/>
    <n v="0"/>
    <n v="1002.870425531915"/>
    <n v="0"/>
    <s v="Card"/>
    <x v="0"/>
    <n v="0"/>
    <x v="10"/>
    <x v="0"/>
    <n v="0"/>
    <n v="0"/>
  </r>
  <r>
    <s v="ORD1065"/>
    <d v="2023-03-05T00:00:00"/>
    <x v="0"/>
    <x v="1"/>
    <x v="3"/>
    <s v="Electronics"/>
    <n v="19"/>
    <n v="14358.368723404254"/>
    <n v="1079.5765957446808"/>
    <n v="0"/>
    <s v="Pos"/>
    <x v="3"/>
    <n v="20511.955319148936"/>
    <x v="5"/>
    <x v="0"/>
    <n v="6153.5865957446822"/>
    <n v="0.30000000000000004"/>
  </r>
  <r>
    <s v="ORD930"/>
    <d v="2023-12-04T00:00:00"/>
    <x v="4"/>
    <x v="1"/>
    <x v="0"/>
    <s v="Electronics"/>
    <n v="0"/>
    <n v="0"/>
    <n v="1002.870425531915"/>
    <n v="0"/>
    <s v="Pos"/>
    <x v="4"/>
    <n v="0"/>
    <x v="10"/>
    <x v="0"/>
    <n v="0"/>
    <n v="0"/>
  </r>
  <r>
    <s v="ORD1002"/>
    <d v="2023-10-29T00:00:00"/>
    <x v="0"/>
    <x v="5"/>
    <x v="6"/>
    <s v="Electronics"/>
    <n v="0"/>
    <n v="0"/>
    <n v="369.21"/>
    <n v="0"/>
    <s v="Transfer"/>
    <x v="4"/>
    <n v="0"/>
    <x v="6"/>
    <x v="0"/>
    <n v="0"/>
    <n v="0"/>
  </r>
  <r>
    <s v="ORD923"/>
    <d v="2023-02-28T00:00:00"/>
    <x v="0"/>
    <x v="2"/>
    <x v="1"/>
    <s v="Electronics"/>
    <n v="5"/>
    <n v="1814.9249999999997"/>
    <n v="518.54999999999995"/>
    <n v="0"/>
    <s v="Unknown"/>
    <x v="2"/>
    <n v="2592.75"/>
    <x v="0"/>
    <x v="0"/>
    <n v="777.82500000000027"/>
    <n v="0.30000000000000004"/>
  </r>
  <r>
    <s v="ORD915"/>
    <d v="2023-11-11T00:00:00"/>
    <x v="1"/>
    <x v="1"/>
    <x v="4"/>
    <s v="Electronics"/>
    <n v="0"/>
    <n v="0"/>
    <n v="206.5"/>
    <n v="0"/>
    <s v="Card"/>
    <x v="1"/>
    <n v="0"/>
    <x v="2"/>
    <x v="0"/>
    <n v="0"/>
    <n v="0"/>
  </r>
  <r>
    <s v="ORD930"/>
    <d v="2023-01-27T00:00:00"/>
    <x v="2"/>
    <x v="1"/>
    <x v="6"/>
    <s v="Electronics"/>
    <n v="19"/>
    <n v="12782.052915254235"/>
    <n v="961.05661016949136"/>
    <n v="0.12"/>
    <s v="Card"/>
    <x v="3"/>
    <n v="16068.866522033895"/>
    <x v="1"/>
    <x v="0"/>
    <n v="3286.8136067796604"/>
    <n v="0.20454545454545456"/>
  </r>
  <r>
    <s v="ORD981"/>
    <d v="2023-08-26T00:00:00"/>
    <x v="5"/>
    <x v="1"/>
    <x v="2"/>
    <s v="Groceries"/>
    <n v="0"/>
    <n v="0"/>
    <n v="475.14"/>
    <n v="0"/>
    <s v="Unknown"/>
    <x v="3"/>
    <n v="0"/>
    <x v="3"/>
    <x v="0"/>
    <n v="0"/>
    <n v="0"/>
  </r>
  <r>
    <s v="ORD963"/>
    <d v="2024-01-26T00:00:00"/>
    <x v="4"/>
    <x v="4"/>
    <x v="3"/>
    <s v="Electronics"/>
    <n v="15"/>
    <n v="11335.554255319148"/>
    <n v="1079.5765957446808"/>
    <n v="0.06"/>
    <s v="Card"/>
    <x v="0"/>
    <n v="15222.029999999999"/>
    <x v="1"/>
    <x v="1"/>
    <n v="3886.4757446808508"/>
    <n v="0.25531914893617019"/>
  </r>
  <r>
    <s v="ORD943"/>
    <d v="2024-02-05T00:00:00"/>
    <x v="2"/>
    <x v="2"/>
    <x v="2"/>
    <s v="Groceries"/>
    <n v="15"/>
    <n v="9836.3665909090905"/>
    <n v="936.79681818181825"/>
    <n v="0"/>
    <s v="Card"/>
    <x v="2"/>
    <n v="14051.952272727274"/>
    <x v="0"/>
    <x v="1"/>
    <n v="4215.5856818181837"/>
    <n v="0.3000000000000001"/>
  </r>
  <r>
    <s v="ORD900"/>
    <d v="2023-01-31T00:00:00"/>
    <x v="5"/>
    <x v="4"/>
    <x v="3"/>
    <s v="Electronics"/>
    <n v="0"/>
    <n v="0"/>
    <n v="1686.45"/>
    <n v="0"/>
    <s v="Card"/>
    <x v="3"/>
    <n v="0"/>
    <x v="1"/>
    <x v="0"/>
    <n v="0"/>
    <n v="0"/>
  </r>
  <r>
    <s v="ORD941"/>
    <d v="2024-01-14T00:00:00"/>
    <x v="0"/>
    <x v="4"/>
    <x v="4"/>
    <s v="Electronics"/>
    <n v="4"/>
    <n v="3096.8733333333316"/>
    <n v="1106.0261904761899"/>
    <n v="0.26"/>
    <s v="Pos"/>
    <x v="0"/>
    <n v="3273.8375238095218"/>
    <x v="1"/>
    <x v="1"/>
    <n v="176.9641904761902"/>
    <n v="5.4054054054054002E-2"/>
  </r>
  <r>
    <s v="ORD981"/>
    <d v="2023-12-16T00:00:00"/>
    <x v="1"/>
    <x v="0"/>
    <x v="0"/>
    <s v="Electronics"/>
    <n v="9"/>
    <n v="6318.0836808510639"/>
    <n v="1002.870425531915"/>
    <n v="0"/>
    <s v="Pos"/>
    <x v="4"/>
    <n v="9025.8338297872342"/>
    <x v="10"/>
    <x v="0"/>
    <n v="2707.7501489361703"/>
    <n v="0.3"/>
  </r>
  <r>
    <s v="ORD904"/>
    <d v="2023-12-21T00:00:00"/>
    <x v="4"/>
    <x v="0"/>
    <x v="4"/>
    <s v="Electronics"/>
    <n v="16"/>
    <n v="12387.493333333327"/>
    <n v="1106.0261904761899"/>
    <n v="0"/>
    <s v="Unknown"/>
    <x v="1"/>
    <n v="17696.419047619038"/>
    <x v="10"/>
    <x v="0"/>
    <n v="5308.9257142857114"/>
    <n v="0.3"/>
  </r>
  <r>
    <s v="ORD1095"/>
    <d v="2023-07-21T00:00:00"/>
    <x v="0"/>
    <x v="3"/>
    <x v="5"/>
    <s v="Home Appliances"/>
    <n v="18"/>
    <n v="12818.089914893615"/>
    <n v="1017.3087234042553"/>
    <n v="0.13"/>
    <s v="Card"/>
    <x v="1"/>
    <n v="15931.054608510638"/>
    <x v="4"/>
    <x v="0"/>
    <n v="3112.9646936170229"/>
    <n v="0.1954022988505747"/>
  </r>
  <r>
    <s v="ORD1053"/>
    <d v="2023-07-03T00:00:00"/>
    <x v="5"/>
    <x v="1"/>
    <x v="6"/>
    <s v="Electronics"/>
    <n v="0"/>
    <n v="0"/>
    <n v="747.26"/>
    <n v="0.13"/>
    <s v="Unknown"/>
    <x v="3"/>
    <n v="0"/>
    <x v="4"/>
    <x v="0"/>
    <n v="0"/>
    <n v="0"/>
  </r>
  <r>
    <s v="ORD1094"/>
    <d v="2023-05-24T00:00:00"/>
    <x v="1"/>
    <x v="1"/>
    <x v="4"/>
    <s v="Electronics"/>
    <n v="0"/>
    <n v="0"/>
    <n v="1106.0261904761899"/>
    <n v="0.28999999999999998"/>
    <s v="Card"/>
    <x v="1"/>
    <n v="0"/>
    <x v="7"/>
    <x v="0"/>
    <n v="0"/>
    <n v="0"/>
  </r>
  <r>
    <s v="ORD1080"/>
    <d v="2023-12-28T00:00:00"/>
    <x v="2"/>
    <x v="1"/>
    <x v="1"/>
    <s v="Electronics"/>
    <n v="0"/>
    <n v="0"/>
    <n v="981.36020408163256"/>
    <n v="0.05"/>
    <s v="Unknown"/>
    <x v="0"/>
    <n v="0"/>
    <x v="10"/>
    <x v="0"/>
    <n v="0"/>
    <n v="0"/>
  </r>
  <r>
    <s v="ORD1072"/>
    <d v="2023-12-16T00:00:00"/>
    <x v="4"/>
    <x v="1"/>
    <x v="3"/>
    <s v="Electronics"/>
    <n v="3"/>
    <n v="2267.1108510638296"/>
    <n v="1079.5765957446808"/>
    <n v="0"/>
    <s v="Unknown"/>
    <x v="4"/>
    <n v="3238.7297872340423"/>
    <x v="10"/>
    <x v="0"/>
    <n v="971.61893617021269"/>
    <n v="0.3"/>
  </r>
  <r>
    <s v="ORD949"/>
    <d v="2023-12-14T00:00:00"/>
    <x v="0"/>
    <x v="0"/>
    <x v="5"/>
    <s v="Home Appliances"/>
    <n v="0"/>
    <n v="0"/>
    <n v="1017.3087234042553"/>
    <n v="0"/>
    <s v="Unknown"/>
    <x v="3"/>
    <n v="0"/>
    <x v="10"/>
    <x v="0"/>
    <n v="0"/>
    <n v="0"/>
  </r>
  <r>
    <s v="ORD982"/>
    <d v="2023-08-10T00:00:00"/>
    <x v="5"/>
    <x v="4"/>
    <x v="4"/>
    <s v="Electronics"/>
    <n v="0"/>
    <n v="0"/>
    <n v="729.33"/>
    <n v="0.27"/>
    <s v="Cash"/>
    <x v="4"/>
    <n v="0"/>
    <x v="3"/>
    <x v="0"/>
    <n v="0"/>
    <n v="0"/>
  </r>
  <r>
    <s v="ORD1007"/>
    <d v="2023-09-30T00:00:00"/>
    <x v="5"/>
    <x v="4"/>
    <x v="4"/>
    <s v="Electronics"/>
    <n v="0"/>
    <n v="0"/>
    <n v="1106.0261904761899"/>
    <n v="0"/>
    <s v="Cash"/>
    <x v="1"/>
    <n v="0"/>
    <x v="9"/>
    <x v="0"/>
    <n v="0"/>
    <n v="0"/>
  </r>
  <r>
    <s v="ORD919"/>
    <d v="2023-05-08T00:00:00"/>
    <x v="2"/>
    <x v="1"/>
    <x v="0"/>
    <s v="Electronics"/>
    <n v="0"/>
    <n v="0"/>
    <n v="1254.3399999999999"/>
    <n v="0.14000000000000001"/>
    <s v="Pos"/>
    <x v="4"/>
    <n v="0"/>
    <x v="7"/>
    <x v="0"/>
    <n v="0"/>
    <n v="0"/>
  </r>
  <r>
    <s v="ORD964"/>
    <d v="2023-05-07T00:00:00"/>
    <x v="0"/>
    <x v="5"/>
    <x v="1"/>
    <s v="Electronics"/>
    <n v="0"/>
    <n v="0"/>
    <n v="1044.1500000000001"/>
    <n v="0"/>
    <s v="Pos"/>
    <x v="1"/>
    <n v="0"/>
    <x v="7"/>
    <x v="0"/>
    <n v="0"/>
    <n v="0"/>
  </r>
  <r>
    <s v="ORD1095"/>
    <d v="2023-02-18T00:00:00"/>
    <x v="5"/>
    <x v="2"/>
    <x v="4"/>
    <s v="Electronics"/>
    <n v="2"/>
    <n v="1548.4366666666658"/>
    <n v="1106.0261904761899"/>
    <n v="0.02"/>
    <s v="Cash"/>
    <x v="1"/>
    <n v="2167.8113333333322"/>
    <x v="0"/>
    <x v="0"/>
    <n v="619.37466666666637"/>
    <n v="0.28571428571428575"/>
  </r>
  <r>
    <s v="ORD914"/>
    <d v="2023-06-04T00:00:00"/>
    <x v="5"/>
    <x v="1"/>
    <x v="4"/>
    <s v="Electronics"/>
    <n v="18"/>
    <n v="13935.929999999993"/>
    <n v="1106.0261904761899"/>
    <n v="0"/>
    <s v="Transfer"/>
    <x v="2"/>
    <n v="19908.471428571418"/>
    <x v="11"/>
    <x v="0"/>
    <n v="5972.5414285714251"/>
    <n v="0.3000000000000001"/>
  </r>
  <r>
    <s v="ORD1053"/>
    <d v="2023-12-04T00:00:00"/>
    <x v="0"/>
    <x v="5"/>
    <x v="2"/>
    <s v="Groceries"/>
    <n v="0"/>
    <n v="0"/>
    <n v="936.79681818181825"/>
    <n v="0"/>
    <s v="Cash"/>
    <x v="1"/>
    <n v="0"/>
    <x v="10"/>
    <x v="0"/>
    <n v="0"/>
    <n v="0"/>
  </r>
  <r>
    <s v="ORD1032"/>
    <d v="2023-06-18T00:00:00"/>
    <x v="2"/>
    <x v="1"/>
    <x v="4"/>
    <s v="Electronics"/>
    <n v="0"/>
    <n v="0"/>
    <n v="144.41"/>
    <n v="0.27"/>
    <s v="Unknown"/>
    <x v="0"/>
    <n v="0"/>
    <x v="11"/>
    <x v="0"/>
    <n v="0"/>
    <n v="0"/>
  </r>
  <r>
    <s v="ORD965"/>
    <d v="2023-07-01T00:00:00"/>
    <x v="5"/>
    <x v="5"/>
    <x v="5"/>
    <s v="Home Appliances"/>
    <n v="15"/>
    <n v="5185.6350000000002"/>
    <n v="493.87"/>
    <n v="0"/>
    <s v="Pos"/>
    <x v="1"/>
    <n v="7408.05"/>
    <x v="4"/>
    <x v="0"/>
    <n v="2222.415"/>
    <n v="0.3"/>
  </r>
  <r>
    <s v="ORD1031"/>
    <d v="2023-11-30T00:00:00"/>
    <x v="1"/>
    <x v="4"/>
    <x v="3"/>
    <s v="Electronics"/>
    <n v="5"/>
    <n v="3778.5180851063824"/>
    <n v="1079.5765957446808"/>
    <n v="0"/>
    <s v="Cash"/>
    <x v="0"/>
    <n v="5397.8829787234044"/>
    <x v="2"/>
    <x v="0"/>
    <n v="1619.3648936170221"/>
    <n v="0.30000000000000004"/>
  </r>
  <r>
    <s v="ORD1050"/>
    <d v="2023-12-03T00:00:00"/>
    <x v="4"/>
    <x v="1"/>
    <x v="1"/>
    <s v="Electronics"/>
    <n v="18"/>
    <n v="10708.74"/>
    <n v="849.9"/>
    <n v="0"/>
    <s v="Cash"/>
    <x v="3"/>
    <n v="15298.199999999999"/>
    <x v="10"/>
    <x v="0"/>
    <n v="4589.4599999999991"/>
    <n v="0.3000000000000001"/>
  </r>
  <r>
    <s v="ORD987"/>
    <d v="2023-04-07T00:00:00"/>
    <x v="5"/>
    <x v="0"/>
    <x v="5"/>
    <s v="Home Appliances"/>
    <n v="0"/>
    <n v="0"/>
    <n v="1017.3087234042553"/>
    <n v="0"/>
    <s v="Pos"/>
    <x v="4"/>
    <n v="0"/>
    <x v="8"/>
    <x v="0"/>
    <n v="0"/>
    <n v="0"/>
  </r>
  <r>
    <s v="ORD1007"/>
    <d v="2023-06-18T00:00:00"/>
    <x v="4"/>
    <x v="1"/>
    <x v="2"/>
    <s v="Groceries"/>
    <n v="16"/>
    <n v="10492.124363636363"/>
    <n v="936.79681818181825"/>
    <n v="7.0000000000000007E-2"/>
    <s v="Transfer"/>
    <x v="0"/>
    <n v="13939.536654545454"/>
    <x v="11"/>
    <x v="0"/>
    <n v="3447.4122909090911"/>
    <n v="0.24731182795698925"/>
  </r>
  <r>
    <s v="ORD954"/>
    <d v="2023-05-03T00:00:00"/>
    <x v="5"/>
    <x v="0"/>
    <x v="6"/>
    <s v="Electronics"/>
    <n v="13"/>
    <n v="7340.2420000000002"/>
    <n v="806.62"/>
    <n v="0.11"/>
    <s v="Card"/>
    <x v="3"/>
    <n v="9332.5933999999997"/>
    <x v="7"/>
    <x v="0"/>
    <n v="1992.3513999999996"/>
    <n v="0.21348314606741578"/>
  </r>
  <r>
    <s v="ORD1042"/>
    <d v="2023-02-28T00:00:00"/>
    <x v="4"/>
    <x v="4"/>
    <x v="2"/>
    <s v="Groceries"/>
    <n v="0"/>
    <n v="0"/>
    <n v="97.37"/>
    <n v="0"/>
    <s v="Cash"/>
    <x v="2"/>
    <n v="0"/>
    <x v="0"/>
    <x v="0"/>
    <n v="0"/>
    <n v="0"/>
  </r>
  <r>
    <s v="ORD967"/>
    <d v="2024-01-04T00:00:00"/>
    <x v="4"/>
    <x v="4"/>
    <x v="6"/>
    <s v="Electronics"/>
    <n v="8"/>
    <n v="2240.1119999999996"/>
    <n v="400.02"/>
    <n v="0.25"/>
    <s v="Cash"/>
    <x v="2"/>
    <n v="2400.12"/>
    <x v="1"/>
    <x v="1"/>
    <n v="160.00800000000027"/>
    <n v="6.6666666666666777E-2"/>
  </r>
  <r>
    <s v="ORD997"/>
    <d v="2023-12-02T00:00:00"/>
    <x v="0"/>
    <x v="4"/>
    <x v="1"/>
    <s v="Electronics"/>
    <n v="15"/>
    <n v="10304.282142857142"/>
    <n v="981.36020408163256"/>
    <n v="0"/>
    <s v="Pos"/>
    <x v="1"/>
    <n v="14720.403061224488"/>
    <x v="10"/>
    <x v="0"/>
    <n v="4416.1209183673454"/>
    <n v="0.30000000000000004"/>
  </r>
  <r>
    <s v="ORD1082"/>
    <d v="2023-02-03T00:00:00"/>
    <x v="0"/>
    <x v="1"/>
    <x v="1"/>
    <s v="Electronics"/>
    <n v="0"/>
    <n v="0"/>
    <n v="981.36020408163256"/>
    <n v="0"/>
    <s v="Unknown"/>
    <x v="2"/>
    <n v="0"/>
    <x v="0"/>
    <x v="0"/>
    <n v="0"/>
    <n v="0"/>
  </r>
  <r>
    <s v="ORD911"/>
    <d v="2024-01-26T00:00:00"/>
    <x v="2"/>
    <x v="3"/>
    <x v="3"/>
    <s v="Electronics"/>
    <n v="0"/>
    <n v="0"/>
    <n v="1079.5765957446808"/>
    <n v="0.24"/>
    <s v="Pos"/>
    <x v="0"/>
    <n v="0"/>
    <x v="1"/>
    <x v="1"/>
    <n v="0"/>
    <n v="0"/>
  </r>
  <r>
    <s v="ORD1025"/>
    <d v="2023-04-18T00:00:00"/>
    <x v="0"/>
    <x v="3"/>
    <x v="2"/>
    <s v="Groceries"/>
    <n v="3"/>
    <n v="1967.273318181818"/>
    <n v="936.79681818181825"/>
    <n v="0"/>
    <s v="Transfer"/>
    <x v="0"/>
    <n v="2810.3904545454548"/>
    <x v="8"/>
    <x v="0"/>
    <n v="843.11713636363675"/>
    <n v="0.30000000000000004"/>
  </r>
  <r>
    <s v="ORD1018"/>
    <d v="2023-04-02T00:00:00"/>
    <x v="1"/>
    <x v="0"/>
    <x v="0"/>
    <s v="Electronics"/>
    <n v="0"/>
    <n v="0"/>
    <n v="1002.870425531915"/>
    <n v="0"/>
    <s v="Unknown"/>
    <x v="0"/>
    <n v="0"/>
    <x v="8"/>
    <x v="0"/>
    <n v="0"/>
    <n v="0"/>
  </r>
  <r>
    <s v="ORD1066"/>
    <d v="2023-01-19T00:00:00"/>
    <x v="2"/>
    <x v="1"/>
    <x v="1"/>
    <s v="Electronics"/>
    <n v="0"/>
    <n v="0"/>
    <n v="981.36020408163256"/>
    <n v="0"/>
    <s v="Cash"/>
    <x v="4"/>
    <n v="0"/>
    <x v="1"/>
    <x v="0"/>
    <n v="0"/>
    <n v="0"/>
  </r>
  <r>
    <s v="ORD965"/>
    <d v="2023-10-09T00:00:00"/>
    <x v="0"/>
    <x v="1"/>
    <x v="6"/>
    <s v="Electronics"/>
    <n v="0"/>
    <n v="0"/>
    <n v="1042.45"/>
    <n v="0"/>
    <s v="Pos"/>
    <x v="0"/>
    <n v="0"/>
    <x v="6"/>
    <x v="0"/>
    <n v="0"/>
    <n v="0"/>
  </r>
  <r>
    <s v="ORD986"/>
    <d v="2023-08-07T00:00:00"/>
    <x v="5"/>
    <x v="5"/>
    <x v="2"/>
    <s v="Groceries"/>
    <n v="0"/>
    <n v="0"/>
    <n v="936.79681818181825"/>
    <n v="0"/>
    <s v="Cash"/>
    <x v="4"/>
    <n v="0"/>
    <x v="3"/>
    <x v="0"/>
    <n v="0"/>
    <n v="0"/>
  </r>
  <r>
    <s v="ORD1065"/>
    <d v="2023-02-08T00:00:00"/>
    <x v="1"/>
    <x v="1"/>
    <x v="0"/>
    <s v="Electronics"/>
    <n v="0"/>
    <n v="0"/>
    <n v="1002.870425531915"/>
    <n v="0.28000000000000003"/>
    <s v="Cash"/>
    <x v="3"/>
    <n v="0"/>
    <x v="0"/>
    <x v="0"/>
    <n v="0"/>
    <n v="0"/>
  </r>
  <r>
    <s v="ORD992"/>
    <d v="2023-01-20T00:00:00"/>
    <x v="2"/>
    <x v="4"/>
    <x v="1"/>
    <s v="Electronics"/>
    <n v="0"/>
    <n v="0"/>
    <n v="981.36020408163256"/>
    <n v="0.25"/>
    <s v="Unknown"/>
    <x v="0"/>
    <n v="0"/>
    <x v="1"/>
    <x v="0"/>
    <n v="0"/>
    <n v="0"/>
  </r>
  <r>
    <s v="ORD935"/>
    <d v="2024-01-21T00:00:00"/>
    <x v="3"/>
    <x v="1"/>
    <x v="6"/>
    <s v="Electronics"/>
    <n v="0"/>
    <n v="0"/>
    <n v="961.05661016949136"/>
    <n v="0"/>
    <s v="Unknown"/>
    <x v="3"/>
    <n v="0"/>
    <x v="1"/>
    <x v="1"/>
    <n v="0"/>
    <n v="0"/>
  </r>
  <r>
    <s v="ORD1020"/>
    <d v="2023-12-01T00:00:00"/>
    <x v="4"/>
    <x v="3"/>
    <x v="2"/>
    <s v="Groceries"/>
    <n v="0"/>
    <n v="0"/>
    <n v="936.79681818181825"/>
    <n v="0"/>
    <s v="Pos"/>
    <x v="1"/>
    <n v="0"/>
    <x v="10"/>
    <x v="0"/>
    <n v="0"/>
    <n v="0"/>
  </r>
  <r>
    <s v="ORD1084"/>
    <d v="2023-08-25T00:00:00"/>
    <x v="1"/>
    <x v="3"/>
    <x v="4"/>
    <s v="Electronics"/>
    <n v="0"/>
    <n v="0"/>
    <n v="1106.0261904761899"/>
    <n v="0"/>
    <s v="Transfer"/>
    <x v="0"/>
    <n v="0"/>
    <x v="3"/>
    <x v="0"/>
    <n v="0"/>
    <n v="0"/>
  </r>
  <r>
    <s v="ORD907"/>
    <d v="2023-07-11T00:00:00"/>
    <x v="4"/>
    <x v="2"/>
    <x v="6"/>
    <s v="Electronics"/>
    <n v="0"/>
    <n v="0"/>
    <n v="961.05661016949136"/>
    <n v="0"/>
    <s v="Cash"/>
    <x v="1"/>
    <n v="0"/>
    <x v="4"/>
    <x v="0"/>
    <n v="0"/>
    <n v="0"/>
  </r>
  <r>
    <s v="ORD1008"/>
    <d v="2023-12-18T00:00:00"/>
    <x v="5"/>
    <x v="3"/>
    <x v="6"/>
    <s v="Electronics"/>
    <n v="0"/>
    <n v="0"/>
    <n v="961.05661016949136"/>
    <n v="0.24"/>
    <s v="Cash"/>
    <x v="4"/>
    <n v="0"/>
    <x v="10"/>
    <x v="0"/>
    <n v="0"/>
    <n v="0"/>
  </r>
  <r>
    <s v="ORD1045"/>
    <d v="2023-11-19T00:00:00"/>
    <x v="5"/>
    <x v="5"/>
    <x v="1"/>
    <s v="Electronics"/>
    <n v="0"/>
    <n v="0"/>
    <n v="981.36020408163256"/>
    <n v="0"/>
    <s v="Transfer"/>
    <x v="4"/>
    <n v="0"/>
    <x v="2"/>
    <x v="0"/>
    <n v="0"/>
    <n v="0"/>
  </r>
  <r>
    <s v="ORD923"/>
    <d v="2023-03-29T00:00:00"/>
    <x v="0"/>
    <x v="0"/>
    <x v="3"/>
    <s v="Electronics"/>
    <n v="0"/>
    <n v="0"/>
    <n v="1210.69"/>
    <n v="0.06"/>
    <s v="Transfer"/>
    <x v="4"/>
    <n v="0"/>
    <x v="5"/>
    <x v="0"/>
    <n v="0"/>
    <n v="0"/>
  </r>
  <r>
    <s v="ORD952"/>
    <d v="2023-04-30T00:00:00"/>
    <x v="3"/>
    <x v="0"/>
    <x v="3"/>
    <s v="Electronics"/>
    <n v="15"/>
    <n v="7808.01"/>
    <n v="743.62"/>
    <n v="0"/>
    <s v="Transfer"/>
    <x v="2"/>
    <n v="11154.3"/>
    <x v="8"/>
    <x v="0"/>
    <n v="3346.2899999999991"/>
    <n v="0.3"/>
  </r>
  <r>
    <s v="ORD928"/>
    <d v="2023-03-08T00:00:00"/>
    <x v="5"/>
    <x v="5"/>
    <x v="5"/>
    <s v="Home Appliances"/>
    <n v="13"/>
    <n v="2443.9870000000001"/>
    <n v="268.57"/>
    <n v="0"/>
    <s v="Unknown"/>
    <x v="1"/>
    <n v="3491.41"/>
    <x v="5"/>
    <x v="0"/>
    <n v="1047.4229999999998"/>
    <n v="0.3000000000000001"/>
  </r>
  <r>
    <s v="ORD940"/>
    <d v="2023-11-06T00:00:00"/>
    <x v="3"/>
    <x v="2"/>
    <x v="1"/>
    <s v="Electronics"/>
    <n v="0"/>
    <n v="0"/>
    <n v="411.39"/>
    <n v="0"/>
    <s v="Pos"/>
    <x v="2"/>
    <n v="0"/>
    <x v="2"/>
    <x v="0"/>
    <n v="0"/>
    <n v="0"/>
  </r>
  <r>
    <s v="ORD1034"/>
    <d v="2023-06-18T00:00:00"/>
    <x v="5"/>
    <x v="5"/>
    <x v="2"/>
    <s v="Groceries"/>
    <n v="0"/>
    <n v="0"/>
    <n v="936.79681818181825"/>
    <n v="0"/>
    <s v="Card"/>
    <x v="4"/>
    <n v="0"/>
    <x v="11"/>
    <x v="0"/>
    <n v="0"/>
    <n v="0"/>
  </r>
  <r>
    <s v="ORD1000"/>
    <d v="2023-11-10T00:00:00"/>
    <x v="4"/>
    <x v="5"/>
    <x v="1"/>
    <s v="Electronics"/>
    <n v="0"/>
    <n v="0"/>
    <n v="981.36020408163256"/>
    <n v="0.27"/>
    <s v="Unknown"/>
    <x v="0"/>
    <n v="0"/>
    <x v="2"/>
    <x v="0"/>
    <n v="0"/>
    <n v="0"/>
  </r>
  <r>
    <s v="ORD924"/>
    <d v="2023-07-21T00:00:00"/>
    <x v="0"/>
    <x v="1"/>
    <x v="6"/>
    <s v="Electronics"/>
    <n v="0"/>
    <n v="0"/>
    <n v="961.05661016949136"/>
    <n v="0"/>
    <s v="Unknown"/>
    <x v="2"/>
    <n v="0"/>
    <x v="4"/>
    <x v="0"/>
    <n v="0"/>
    <n v="0"/>
  </r>
  <r>
    <s v="ORD1026"/>
    <d v="2023-07-30T00:00:00"/>
    <x v="0"/>
    <x v="4"/>
    <x v="4"/>
    <s v="Electronics"/>
    <n v="0"/>
    <n v="0"/>
    <n v="826.09"/>
    <n v="0"/>
    <s v="Cash"/>
    <x v="1"/>
    <n v="0"/>
    <x v="4"/>
    <x v="0"/>
    <n v="0"/>
    <n v="0"/>
  </r>
  <r>
    <s v="ORD906"/>
    <d v="2023-02-07T00:00:00"/>
    <x v="5"/>
    <x v="5"/>
    <x v="0"/>
    <s v="Electronics"/>
    <n v="0"/>
    <n v="0"/>
    <n v="1002.870425531915"/>
    <n v="0.03"/>
    <s v="Card"/>
    <x v="1"/>
    <n v="0"/>
    <x v="0"/>
    <x v="0"/>
    <n v="0"/>
    <n v="0"/>
  </r>
  <r>
    <s v="ORD1024"/>
    <d v="2023-08-25T00:00:00"/>
    <x v="0"/>
    <x v="1"/>
    <x v="3"/>
    <s v="Electronics"/>
    <n v="15"/>
    <n v="11335.554255319148"/>
    <n v="1079.5765957446808"/>
    <n v="0.25"/>
    <s v="Cash"/>
    <x v="0"/>
    <n v="12145.23670212766"/>
    <x v="3"/>
    <x v="0"/>
    <n v="809.6824468085124"/>
    <n v="6.6666666666666805E-2"/>
  </r>
  <r>
    <s v="ORD925"/>
    <d v="2023-04-01T00:00:00"/>
    <x v="3"/>
    <x v="1"/>
    <x v="3"/>
    <s v="Electronics"/>
    <n v="6"/>
    <n v="5653.4939999999997"/>
    <n v="1346.07"/>
    <n v="0.2"/>
    <s v="Transfer"/>
    <x v="4"/>
    <n v="6461.1360000000004"/>
    <x v="8"/>
    <x v="0"/>
    <n v="807.64200000000073"/>
    <n v="0.12500000000000011"/>
  </r>
  <r>
    <s v="ORD945"/>
    <d v="2023-04-21T00:00:00"/>
    <x v="0"/>
    <x v="0"/>
    <x v="3"/>
    <s v="Electronics"/>
    <n v="0"/>
    <n v="0"/>
    <n v="1079.5765957446808"/>
    <n v="0"/>
    <s v="Unknown"/>
    <x v="3"/>
    <n v="0"/>
    <x v="8"/>
    <x v="0"/>
    <n v="0"/>
    <n v="0"/>
  </r>
  <r>
    <s v="ORD999"/>
    <d v="2023-12-20T00:00:00"/>
    <x v="3"/>
    <x v="5"/>
    <x v="4"/>
    <s v="Electronics"/>
    <n v="1"/>
    <n v="1082.9699999999998"/>
    <n v="1547.1"/>
    <n v="0"/>
    <s v="Cash"/>
    <x v="2"/>
    <n v="1547.1"/>
    <x v="10"/>
    <x v="0"/>
    <n v="464.13000000000011"/>
    <n v="0.3000000000000001"/>
  </r>
  <r>
    <s v="ORD923"/>
    <d v="2023-01-09T00:00:00"/>
    <x v="5"/>
    <x v="1"/>
    <x v="4"/>
    <s v="Electronics"/>
    <n v="0"/>
    <n v="0"/>
    <n v="1341.21"/>
    <n v="0.28999999999999998"/>
    <s v="Unknown"/>
    <x v="2"/>
    <n v="0"/>
    <x v="1"/>
    <x v="0"/>
    <n v="0"/>
    <n v="0"/>
  </r>
  <r>
    <s v="ORD1085"/>
    <d v="2023-03-27T00:00:00"/>
    <x v="0"/>
    <x v="5"/>
    <x v="3"/>
    <s v="Electronics"/>
    <n v="0"/>
    <n v="0"/>
    <n v="1128.49"/>
    <n v="0"/>
    <s v="Transfer"/>
    <x v="1"/>
    <n v="0"/>
    <x v="5"/>
    <x v="0"/>
    <n v="0"/>
    <n v="0"/>
  </r>
  <r>
    <s v="ORD930"/>
    <d v="2023-04-29T00:00:00"/>
    <x v="2"/>
    <x v="1"/>
    <x v="0"/>
    <s v="Electronics"/>
    <n v="6"/>
    <n v="4212.0557872340423"/>
    <n v="1002.870425531915"/>
    <n v="0"/>
    <s v="Transfer"/>
    <x v="2"/>
    <n v="6017.2225531914901"/>
    <x v="8"/>
    <x v="0"/>
    <n v="1805.1667659574478"/>
    <n v="0.3"/>
  </r>
  <r>
    <s v="ORD916"/>
    <d v="2023-12-03T00:00:00"/>
    <x v="3"/>
    <x v="0"/>
    <x v="3"/>
    <s v="Electronics"/>
    <n v="2"/>
    <n v="1511.407234042553"/>
    <n v="1079.5765957446808"/>
    <n v="0"/>
    <s v="Transfer"/>
    <x v="3"/>
    <n v="2159.1531914893617"/>
    <x v="10"/>
    <x v="0"/>
    <n v="647.74595744680869"/>
    <n v="0.3000000000000001"/>
  </r>
  <r>
    <s v="ORD1082"/>
    <d v="2023-10-02T00:00:00"/>
    <x v="4"/>
    <x v="4"/>
    <x v="4"/>
    <s v="Electronics"/>
    <n v="0"/>
    <n v="0"/>
    <n v="1106.0261904761899"/>
    <n v="0"/>
    <s v="Cash"/>
    <x v="4"/>
    <n v="0"/>
    <x v="6"/>
    <x v="0"/>
    <n v="0"/>
    <n v="0"/>
  </r>
  <r>
    <s v="ORD944"/>
    <d v="2023-11-22T00:00:00"/>
    <x v="1"/>
    <x v="3"/>
    <x v="5"/>
    <s v="Home Appliances"/>
    <n v="0"/>
    <n v="0"/>
    <n v="1017.3087234042553"/>
    <n v="0"/>
    <s v="Unknown"/>
    <x v="2"/>
    <n v="0"/>
    <x v="2"/>
    <x v="0"/>
    <n v="0"/>
    <n v="0"/>
  </r>
  <r>
    <s v="ORD1028"/>
    <d v="2023-10-28T00:00:00"/>
    <x v="0"/>
    <x v="1"/>
    <x v="4"/>
    <s v="Electronics"/>
    <n v="0"/>
    <n v="0"/>
    <n v="1106.0261904761899"/>
    <n v="0"/>
    <s v="Cash"/>
    <x v="3"/>
    <n v="0"/>
    <x v="6"/>
    <x v="0"/>
    <n v="0"/>
    <n v="0"/>
  </r>
  <r>
    <s v="ORD935"/>
    <d v="2023-07-11T00:00:00"/>
    <x v="5"/>
    <x v="4"/>
    <x v="1"/>
    <s v="Electronics"/>
    <n v="13"/>
    <n v="11717.706"/>
    <n v="1287.6600000000001"/>
    <n v="0"/>
    <s v="Transfer"/>
    <x v="4"/>
    <n v="16739.580000000002"/>
    <x v="4"/>
    <x v="0"/>
    <n v="5021.8740000000016"/>
    <n v="0.30000000000000004"/>
  </r>
  <r>
    <s v="ORD934"/>
    <d v="2023-05-23T00:00:00"/>
    <x v="1"/>
    <x v="0"/>
    <x v="6"/>
    <s v="Electronics"/>
    <n v="0"/>
    <n v="0"/>
    <n v="961.05661016949136"/>
    <n v="0.23"/>
    <s v="Unknown"/>
    <x v="4"/>
    <n v="0"/>
    <x v="7"/>
    <x v="0"/>
    <n v="0"/>
    <n v="0"/>
  </r>
  <r>
    <s v="ORD987"/>
    <d v="2023-05-05T00:00:00"/>
    <x v="2"/>
    <x v="2"/>
    <x v="4"/>
    <s v="Electronics"/>
    <n v="0"/>
    <n v="0"/>
    <n v="1106.0261904761899"/>
    <n v="0"/>
    <s v="Unknown"/>
    <x v="3"/>
    <n v="0"/>
    <x v="7"/>
    <x v="0"/>
    <n v="0"/>
    <n v="0"/>
  </r>
  <r>
    <s v="ORD916"/>
    <d v="2023-09-09T00:00:00"/>
    <x v="0"/>
    <x v="1"/>
    <x v="4"/>
    <s v="Electronics"/>
    <n v="7"/>
    <n v="5419.52833333333"/>
    <n v="1106.0261904761899"/>
    <n v="0.16"/>
    <s v="Cash"/>
    <x v="0"/>
    <n v="6503.4339999999956"/>
    <x v="9"/>
    <x v="0"/>
    <n v="1083.9056666666656"/>
    <n v="0.16666666666666663"/>
  </r>
  <r>
    <s v="ORD920"/>
    <d v="2023-08-07T00:00:00"/>
    <x v="5"/>
    <x v="4"/>
    <x v="1"/>
    <s v="Electronics"/>
    <n v="0"/>
    <n v="0"/>
    <n v="361.11"/>
    <n v="0"/>
    <s v="Transfer"/>
    <x v="2"/>
    <n v="0"/>
    <x v="3"/>
    <x v="0"/>
    <n v="0"/>
    <n v="0"/>
  </r>
  <r>
    <s v="ORD969"/>
    <d v="2024-02-05T00:00:00"/>
    <x v="5"/>
    <x v="1"/>
    <x v="0"/>
    <s v="Electronics"/>
    <n v="13"/>
    <n v="9126.1208723404252"/>
    <n v="1002.870425531915"/>
    <n v="0"/>
    <s v="Transfer"/>
    <x v="2"/>
    <n v="13037.315531914895"/>
    <x v="0"/>
    <x v="1"/>
    <n v="3911.1946595744703"/>
    <n v="0.3"/>
  </r>
  <r>
    <s v="ORD1023"/>
    <d v="2023-01-11T00:00:00"/>
    <x v="5"/>
    <x v="5"/>
    <x v="6"/>
    <s v="Electronics"/>
    <n v="0"/>
    <n v="0"/>
    <n v="961.05661016949136"/>
    <n v="0"/>
    <s v="Transfer"/>
    <x v="1"/>
    <n v="0"/>
    <x v="1"/>
    <x v="0"/>
    <n v="0"/>
    <n v="0"/>
  </r>
  <r>
    <s v="ORD978"/>
    <d v="2023-08-21T00:00:00"/>
    <x v="3"/>
    <x v="5"/>
    <x v="3"/>
    <s v="Electronics"/>
    <n v="16"/>
    <n v="12091.257872340424"/>
    <n v="1079.5765957446808"/>
    <n v="0.14000000000000001"/>
    <s v="Cash"/>
    <x v="3"/>
    <n v="14854.973957446808"/>
    <x v="3"/>
    <x v="0"/>
    <n v="2763.7160851063836"/>
    <n v="0.18604651162790703"/>
  </r>
  <r>
    <s v="ORD903"/>
    <d v="2023-09-14T00:00:00"/>
    <x v="1"/>
    <x v="5"/>
    <x v="2"/>
    <s v="Groceries"/>
    <n v="0"/>
    <n v="0"/>
    <n v="936.79681818181825"/>
    <n v="0"/>
    <s v="Cash"/>
    <x v="1"/>
    <n v="0"/>
    <x v="9"/>
    <x v="0"/>
    <n v="0"/>
    <n v="0"/>
  </r>
  <r>
    <s v="ORD909"/>
    <d v="2023-03-05T00:00:00"/>
    <x v="5"/>
    <x v="2"/>
    <x v="1"/>
    <s v="Electronics"/>
    <n v="0"/>
    <n v="0"/>
    <n v="981.36020408163256"/>
    <n v="0"/>
    <s v="Transfer"/>
    <x v="4"/>
    <n v="0"/>
    <x v="5"/>
    <x v="0"/>
    <n v="0"/>
    <n v="0"/>
  </r>
  <r>
    <s v="ORD1078"/>
    <d v="2023-01-30T00:00:00"/>
    <x v="5"/>
    <x v="5"/>
    <x v="5"/>
    <s v="Home Appliances"/>
    <n v="0"/>
    <n v="0"/>
    <n v="1017.3087234042553"/>
    <n v="0"/>
    <s v="Cash"/>
    <x v="2"/>
    <n v="0"/>
    <x v="1"/>
    <x v="0"/>
    <n v="0"/>
    <n v="0"/>
  </r>
  <r>
    <s v="ORD966"/>
    <d v="2023-11-06T00:00:00"/>
    <x v="5"/>
    <x v="0"/>
    <x v="1"/>
    <s v="Electronics"/>
    <n v="0"/>
    <n v="0"/>
    <n v="981.36020408163256"/>
    <n v="0.25"/>
    <s v="Cash"/>
    <x v="3"/>
    <n v="0"/>
    <x v="2"/>
    <x v="0"/>
    <n v="0"/>
    <n v="0"/>
  </r>
  <r>
    <s v="ORD1064"/>
    <d v="2023-12-31T00:00:00"/>
    <x v="5"/>
    <x v="5"/>
    <x v="5"/>
    <s v="Home Appliances"/>
    <n v="0"/>
    <n v="0"/>
    <n v="1017.3087234042553"/>
    <n v="0"/>
    <s v="Card"/>
    <x v="4"/>
    <n v="0"/>
    <x v="10"/>
    <x v="0"/>
    <n v="0"/>
    <n v="0"/>
  </r>
  <r>
    <s v="ORD1028"/>
    <d v="2023-09-30T00:00:00"/>
    <x v="5"/>
    <x v="2"/>
    <x v="0"/>
    <s v="Electronics"/>
    <n v="3"/>
    <n v="2106.0278936170212"/>
    <n v="1002.870425531915"/>
    <n v="0"/>
    <s v="Unknown"/>
    <x v="2"/>
    <n v="3008.611276595745"/>
    <x v="9"/>
    <x v="0"/>
    <n v="902.58338297872388"/>
    <n v="0.3"/>
  </r>
  <r>
    <s v="ORD1091"/>
    <d v="2023-07-23T00:00:00"/>
    <x v="3"/>
    <x v="1"/>
    <x v="1"/>
    <s v="Electronics"/>
    <n v="1"/>
    <n v="686.9521428571428"/>
    <n v="981.36020408163256"/>
    <n v="0"/>
    <s v="Unknown"/>
    <x v="4"/>
    <n v="981.36020408163256"/>
    <x v="4"/>
    <x v="0"/>
    <n v="294.40806122448976"/>
    <n v="0.3"/>
  </r>
  <r>
    <s v="ORD1087"/>
    <d v="2023-08-09T00:00:00"/>
    <x v="4"/>
    <x v="1"/>
    <x v="0"/>
    <s v="Electronics"/>
    <n v="5"/>
    <n v="3510.0464893617022"/>
    <n v="1002.870425531915"/>
    <n v="0"/>
    <s v="Pos"/>
    <x v="2"/>
    <n v="5014.3521276595748"/>
    <x v="3"/>
    <x v="0"/>
    <n v="1504.3056382978725"/>
    <n v="0.30000000000000004"/>
  </r>
  <r>
    <s v="ORD947"/>
    <d v="2023-04-13T00:00:00"/>
    <x v="0"/>
    <x v="0"/>
    <x v="1"/>
    <s v="Electronics"/>
    <n v="0"/>
    <n v="0"/>
    <n v="981.36020408163256"/>
    <n v="0"/>
    <s v="Cash"/>
    <x v="3"/>
    <n v="0"/>
    <x v="8"/>
    <x v="0"/>
    <n v="0"/>
    <n v="0"/>
  </r>
  <r>
    <s v="ORD975"/>
    <d v="2023-02-13T00:00:00"/>
    <x v="5"/>
    <x v="1"/>
    <x v="0"/>
    <s v="Electronics"/>
    <n v="11"/>
    <n v="7722.102276595745"/>
    <n v="1002.870425531915"/>
    <n v="0.15"/>
    <s v="Cash"/>
    <x v="3"/>
    <n v="9376.8384787234045"/>
    <x v="0"/>
    <x v="0"/>
    <n v="1654.7362021276595"/>
    <n v="0.1764705882352941"/>
  </r>
  <r>
    <s v="ORD968"/>
    <d v="2024-01-20T00:00:00"/>
    <x v="0"/>
    <x v="0"/>
    <x v="3"/>
    <s v="Electronics"/>
    <n v="4"/>
    <n v="2938.46"/>
    <n v="1049.45"/>
    <n v="0"/>
    <s v="Card"/>
    <x v="1"/>
    <n v="4197.8"/>
    <x v="1"/>
    <x v="1"/>
    <n v="1259.3400000000001"/>
    <n v="0.30000000000000004"/>
  </r>
  <r>
    <s v="ORD1021"/>
    <d v="2024-01-23T00:00:00"/>
    <x v="1"/>
    <x v="2"/>
    <x v="2"/>
    <s v="Groceries"/>
    <n v="0"/>
    <n v="0"/>
    <n v="936.79681818181825"/>
    <n v="0"/>
    <s v="Unknown"/>
    <x v="1"/>
    <n v="0"/>
    <x v="1"/>
    <x v="1"/>
    <n v="0"/>
    <n v="0"/>
  </r>
  <r>
    <s v="ORD996"/>
    <d v="2023-11-09T00:00:00"/>
    <x v="0"/>
    <x v="4"/>
    <x v="6"/>
    <s v="Electronics"/>
    <n v="4"/>
    <n v="2690.9585084745759"/>
    <n v="961.05661016949136"/>
    <n v="0.12"/>
    <s v="Cash"/>
    <x v="0"/>
    <n v="3382.9192677966098"/>
    <x v="2"/>
    <x v="0"/>
    <n v="691.96075932203394"/>
    <n v="0.20454545454545459"/>
  </r>
  <r>
    <s v="ORD931"/>
    <d v="2023-09-29T00:00:00"/>
    <x v="3"/>
    <x v="0"/>
    <x v="6"/>
    <s v="Electronics"/>
    <n v="0"/>
    <n v="0"/>
    <n v="961.05661016949136"/>
    <n v="0"/>
    <s v="Transfer"/>
    <x v="2"/>
    <n v="0"/>
    <x v="9"/>
    <x v="0"/>
    <n v="0"/>
    <n v="0"/>
  </r>
  <r>
    <s v="ORD900"/>
    <d v="2023-11-23T00:00:00"/>
    <x v="1"/>
    <x v="1"/>
    <x v="5"/>
    <s v="Home Appliances"/>
    <n v="0"/>
    <n v="0"/>
    <n v="1017.3087234042553"/>
    <n v="0"/>
    <s v="Transfer"/>
    <x v="0"/>
    <n v="0"/>
    <x v="2"/>
    <x v="0"/>
    <n v="0"/>
    <n v="0"/>
  </r>
  <r>
    <s v="ORD920"/>
    <d v="2023-06-28T00:00:00"/>
    <x v="5"/>
    <x v="5"/>
    <x v="5"/>
    <s v="Home Appliances"/>
    <n v="0"/>
    <n v="0"/>
    <n v="1017.3087234042553"/>
    <n v="0"/>
    <s v="Pos"/>
    <x v="0"/>
    <n v="0"/>
    <x v="11"/>
    <x v="0"/>
    <n v="0"/>
    <n v="0"/>
  </r>
  <r>
    <s v="ORD908"/>
    <d v="2023-03-07T00:00:00"/>
    <x v="5"/>
    <x v="3"/>
    <x v="4"/>
    <s v="Electronics"/>
    <n v="0"/>
    <n v="0"/>
    <n v="1106.0261904761899"/>
    <n v="0"/>
    <s v="Unknown"/>
    <x v="0"/>
    <n v="0"/>
    <x v="5"/>
    <x v="0"/>
    <n v="0"/>
    <n v="0"/>
  </r>
  <r>
    <s v="ORD961"/>
    <d v="2023-05-05T00:00:00"/>
    <x v="2"/>
    <x v="1"/>
    <x v="6"/>
    <s v="Electronics"/>
    <n v="0"/>
    <n v="0"/>
    <n v="1986.79"/>
    <n v="0"/>
    <s v="Transfer"/>
    <x v="4"/>
    <n v="0"/>
    <x v="7"/>
    <x v="0"/>
    <n v="0"/>
    <n v="0"/>
  </r>
  <r>
    <s v="ORD956"/>
    <d v="2024-01-04T00:00:00"/>
    <x v="3"/>
    <x v="0"/>
    <x v="2"/>
    <s v="Groceries"/>
    <n v="0"/>
    <n v="0"/>
    <n v="936.79681818181825"/>
    <n v="0"/>
    <s v="Card"/>
    <x v="2"/>
    <n v="0"/>
    <x v="1"/>
    <x v="1"/>
    <n v="0"/>
    <n v="0"/>
  </r>
  <r>
    <s v="ORD1047"/>
    <d v="2024-01-28T00:00:00"/>
    <x v="0"/>
    <x v="0"/>
    <x v="0"/>
    <s v="Electronics"/>
    <n v="0"/>
    <n v="0"/>
    <n v="1002.870425531915"/>
    <n v="0"/>
    <s v="Cash"/>
    <x v="2"/>
    <n v="0"/>
    <x v="1"/>
    <x v="1"/>
    <n v="0"/>
    <n v="0"/>
  </r>
  <r>
    <s v="ORD966"/>
    <d v="2023-03-01T00:00:00"/>
    <x v="3"/>
    <x v="1"/>
    <x v="4"/>
    <s v="Electronics"/>
    <n v="0"/>
    <n v="0"/>
    <n v="1188.48"/>
    <n v="0.22"/>
    <s v="Pos"/>
    <x v="4"/>
    <n v="0"/>
    <x v="5"/>
    <x v="0"/>
    <n v="0"/>
    <n v="0"/>
  </r>
  <r>
    <s v="ORD932"/>
    <d v="2023-06-10T00:00:00"/>
    <x v="5"/>
    <x v="2"/>
    <x v="5"/>
    <s v="Home Appliances"/>
    <n v="10"/>
    <n v="8289.5399999999991"/>
    <n v="1184.22"/>
    <n v="0"/>
    <s v="Card"/>
    <x v="4"/>
    <n v="11842.2"/>
    <x v="11"/>
    <x v="0"/>
    <n v="3552.6600000000017"/>
    <n v="0.3"/>
  </r>
  <r>
    <s v="ORD1073"/>
    <d v="2023-03-06T00:00:00"/>
    <x v="2"/>
    <x v="1"/>
    <x v="2"/>
    <s v="Groceries"/>
    <n v="0"/>
    <n v="0"/>
    <n v="936.79681818181825"/>
    <n v="0"/>
    <s v="Unknown"/>
    <x v="1"/>
    <n v="0"/>
    <x v="5"/>
    <x v="0"/>
    <n v="0"/>
    <n v="0"/>
  </r>
  <r>
    <s v="ORD937"/>
    <d v="2023-11-04T00:00:00"/>
    <x v="3"/>
    <x v="1"/>
    <x v="5"/>
    <s v="Home Appliances"/>
    <n v="0"/>
    <n v="0"/>
    <n v="1017.3087234042553"/>
    <n v="0"/>
    <s v="Pos"/>
    <x v="1"/>
    <n v="0"/>
    <x v="2"/>
    <x v="0"/>
    <n v="0"/>
    <n v="0"/>
  </r>
  <r>
    <s v="ORD1061"/>
    <d v="2023-04-21T00:00:00"/>
    <x v="5"/>
    <x v="4"/>
    <x v="5"/>
    <s v="Home Appliances"/>
    <n v="0"/>
    <n v="0"/>
    <n v="1017.3087234042553"/>
    <n v="0"/>
    <s v="Cash"/>
    <x v="3"/>
    <n v="0"/>
    <x v="8"/>
    <x v="0"/>
    <n v="0"/>
    <n v="0"/>
  </r>
  <r>
    <s v="ORD1098"/>
    <d v="2023-04-02T00:00:00"/>
    <x v="5"/>
    <x v="0"/>
    <x v="2"/>
    <s v="Groceries"/>
    <n v="6"/>
    <n v="3934.546636363636"/>
    <n v="936.79681818181825"/>
    <n v="0"/>
    <s v="Card"/>
    <x v="1"/>
    <n v="5620.7809090909095"/>
    <x v="8"/>
    <x v="0"/>
    <n v="1686.2342727272735"/>
    <n v="0.30000000000000004"/>
  </r>
  <r>
    <s v="ORD1000"/>
    <d v="2023-02-06T00:00:00"/>
    <x v="3"/>
    <x v="4"/>
    <x v="5"/>
    <s v="Home Appliances"/>
    <n v="0"/>
    <n v="0"/>
    <n v="1017.3087234042553"/>
    <n v="0"/>
    <s v="Cash"/>
    <x v="4"/>
    <n v="0"/>
    <x v="0"/>
    <x v="0"/>
    <n v="0"/>
    <n v="0"/>
  </r>
  <r>
    <s v="ORD1017"/>
    <d v="2023-12-02T00:00:00"/>
    <x v="4"/>
    <x v="2"/>
    <x v="1"/>
    <s v="Electronics"/>
    <n v="0"/>
    <n v="0"/>
    <n v="1795.46"/>
    <n v="0"/>
    <s v="Cash"/>
    <x v="3"/>
    <n v="0"/>
    <x v="10"/>
    <x v="0"/>
    <n v="0"/>
    <n v="0"/>
  </r>
  <r>
    <s v="ORD992"/>
    <d v="2024-01-07T00:00:00"/>
    <x v="0"/>
    <x v="0"/>
    <x v="6"/>
    <s v="Electronics"/>
    <n v="0"/>
    <n v="0"/>
    <n v="1362.1"/>
    <n v="0.28000000000000003"/>
    <s v="Card"/>
    <x v="1"/>
    <n v="0"/>
    <x v="1"/>
    <x v="1"/>
    <n v="0"/>
    <n v="0"/>
  </r>
  <r>
    <s v="ORD945"/>
    <d v="2023-01-27T00:00:00"/>
    <x v="0"/>
    <x v="2"/>
    <x v="5"/>
    <s v="Home Appliances"/>
    <n v="0"/>
    <n v="0"/>
    <n v="1017.3087234042553"/>
    <n v="0.22"/>
    <s v="Cash"/>
    <x v="3"/>
    <n v="0"/>
    <x v="1"/>
    <x v="0"/>
    <n v="0"/>
    <n v="0"/>
  </r>
  <r>
    <s v="ORD961"/>
    <d v="2023-07-23T00:00:00"/>
    <x v="5"/>
    <x v="4"/>
    <x v="5"/>
    <s v="Home Appliances"/>
    <n v="0"/>
    <n v="0"/>
    <n v="1017.3087234042553"/>
    <n v="0"/>
    <s v="Unknown"/>
    <x v="3"/>
    <n v="0"/>
    <x v="4"/>
    <x v="0"/>
    <n v="0"/>
    <n v="0"/>
  </r>
  <r>
    <s v="ORD1099"/>
    <d v="2023-08-26T00:00:00"/>
    <x v="5"/>
    <x v="4"/>
    <x v="5"/>
    <s v="Home Appliances"/>
    <n v="12"/>
    <n v="2089.92"/>
    <n v="248.8"/>
    <n v="0"/>
    <s v="Unknown"/>
    <x v="0"/>
    <n v="2985.6000000000004"/>
    <x v="3"/>
    <x v="0"/>
    <n v="895.68000000000029"/>
    <n v="0.30000000000000004"/>
  </r>
  <r>
    <s v="ORD957"/>
    <d v="2023-01-12T00:00:00"/>
    <x v="5"/>
    <x v="4"/>
    <x v="5"/>
    <s v="Home Appliances"/>
    <n v="19"/>
    <n v="13530.206021276594"/>
    <n v="1017.3087234042553"/>
    <n v="0"/>
    <s v="Pos"/>
    <x v="2"/>
    <n v="19328.86574468085"/>
    <x v="1"/>
    <x v="0"/>
    <n v="5798.6597234042565"/>
    <n v="0.3000000000000001"/>
  </r>
  <r>
    <s v="ORD925"/>
    <d v="2023-06-16T00:00:00"/>
    <x v="0"/>
    <x v="0"/>
    <x v="6"/>
    <s v="Electronics"/>
    <n v="0"/>
    <n v="0"/>
    <n v="1627.61"/>
    <n v="0"/>
    <s v="Pos"/>
    <x v="1"/>
    <n v="0"/>
    <x v="11"/>
    <x v="0"/>
    <n v="0"/>
    <n v="0"/>
  </r>
  <r>
    <s v="ORD916"/>
    <d v="2023-09-23T00:00:00"/>
    <x v="0"/>
    <x v="3"/>
    <x v="6"/>
    <s v="Electronics"/>
    <n v="4"/>
    <n v="2690.9585084745759"/>
    <n v="961.05661016949136"/>
    <n v="0"/>
    <s v="Transfer"/>
    <x v="4"/>
    <n v="3844.2264406779655"/>
    <x v="9"/>
    <x v="0"/>
    <n v="1153.2679322033896"/>
    <n v="0.3"/>
  </r>
  <r>
    <s v="ORD931"/>
    <d v="2023-01-21T00:00:00"/>
    <x v="4"/>
    <x v="2"/>
    <x v="1"/>
    <s v="Electronics"/>
    <n v="0"/>
    <n v="0"/>
    <n v="520.95000000000005"/>
    <n v="0.03"/>
    <s v="Pos"/>
    <x v="4"/>
    <n v="0"/>
    <x v="1"/>
    <x v="0"/>
    <n v="0"/>
    <n v="0"/>
  </r>
  <r>
    <s v="ORD993"/>
    <d v="2023-10-06T00:00:00"/>
    <x v="4"/>
    <x v="5"/>
    <x v="5"/>
    <s v="Home Appliances"/>
    <n v="0"/>
    <n v="0"/>
    <n v="1017.3087234042553"/>
    <n v="0"/>
    <s v="Unknown"/>
    <x v="0"/>
    <n v="0"/>
    <x v="6"/>
    <x v="0"/>
    <n v="0"/>
    <n v="0"/>
  </r>
  <r>
    <s v="ORD1013"/>
    <d v="2023-03-13T00:00:00"/>
    <x v="5"/>
    <x v="0"/>
    <x v="0"/>
    <s v="Electronics"/>
    <n v="0"/>
    <n v="0"/>
    <n v="1081.04"/>
    <n v="0"/>
    <s v="Cash"/>
    <x v="2"/>
    <n v="0"/>
    <x v="5"/>
    <x v="0"/>
    <n v="0"/>
    <n v="0"/>
  </r>
  <r>
    <s v="ORD909"/>
    <d v="2023-04-07T00:00:00"/>
    <x v="4"/>
    <x v="4"/>
    <x v="6"/>
    <s v="Electronics"/>
    <n v="0"/>
    <n v="0"/>
    <n v="961.05661016949136"/>
    <n v="0.11"/>
    <s v="Unknown"/>
    <x v="0"/>
    <n v="0"/>
    <x v="8"/>
    <x v="0"/>
    <n v="0"/>
    <n v="0"/>
  </r>
  <r>
    <s v="ORD1008"/>
    <d v="2023-02-08T00:00:00"/>
    <x v="3"/>
    <x v="4"/>
    <x v="2"/>
    <s v="Groceries"/>
    <n v="0"/>
    <n v="0"/>
    <n v="936.79681818181825"/>
    <n v="0"/>
    <s v="Cash"/>
    <x v="0"/>
    <n v="0"/>
    <x v="0"/>
    <x v="0"/>
    <n v="0"/>
    <n v="0"/>
  </r>
  <r>
    <s v="ORD952"/>
    <d v="2023-02-06T00:00:00"/>
    <x v="3"/>
    <x v="0"/>
    <x v="5"/>
    <s v="Home Appliances"/>
    <n v="0"/>
    <n v="0"/>
    <n v="1017.3087234042553"/>
    <n v="0"/>
    <s v="Cash"/>
    <x v="4"/>
    <n v="0"/>
    <x v="0"/>
    <x v="0"/>
    <n v="0"/>
    <n v="0"/>
  </r>
  <r>
    <s v="ORD1011"/>
    <d v="2023-07-14T00:00:00"/>
    <x v="0"/>
    <x v="2"/>
    <x v="1"/>
    <s v="Electronics"/>
    <n v="9"/>
    <n v="6182.5692857142849"/>
    <n v="981.36020408163256"/>
    <n v="0.16"/>
    <s v="Card"/>
    <x v="3"/>
    <n v="7419.0831428571419"/>
    <x v="4"/>
    <x v="0"/>
    <n v="1236.513857142857"/>
    <n v="0.16666666666666666"/>
  </r>
  <r>
    <s v="ORD992"/>
    <d v="2023-06-20T00:00:00"/>
    <x v="3"/>
    <x v="1"/>
    <x v="6"/>
    <s v="Electronics"/>
    <n v="9"/>
    <n v="1290.9329999999998"/>
    <n v="204.91"/>
    <n v="0.11"/>
    <s v="Cash"/>
    <x v="2"/>
    <n v="1641.3291000000002"/>
    <x v="11"/>
    <x v="0"/>
    <n v="350.39610000000039"/>
    <n v="0.21348314606741581"/>
  </r>
  <r>
    <s v="ORD1034"/>
    <d v="2024-01-08T00:00:00"/>
    <x v="3"/>
    <x v="2"/>
    <x v="6"/>
    <s v="Electronics"/>
    <n v="0"/>
    <n v="0"/>
    <n v="961.05661016949136"/>
    <n v="0"/>
    <s v="Card"/>
    <x v="0"/>
    <n v="0"/>
    <x v="1"/>
    <x v="1"/>
    <n v="0"/>
    <n v="0"/>
  </r>
  <r>
    <s v="ORD925"/>
    <d v="2023-01-25T00:00:00"/>
    <x v="4"/>
    <x v="4"/>
    <x v="6"/>
    <s v="Electronics"/>
    <n v="0"/>
    <n v="0"/>
    <n v="961.05661016949136"/>
    <n v="0"/>
    <s v="Pos"/>
    <x v="0"/>
    <n v="0"/>
    <x v="1"/>
    <x v="0"/>
    <n v="0"/>
    <n v="0"/>
  </r>
  <r>
    <s v="ORD1003"/>
    <d v="2023-09-02T00:00:00"/>
    <x v="4"/>
    <x v="4"/>
    <x v="4"/>
    <s v="Electronics"/>
    <n v="0"/>
    <n v="0"/>
    <n v="1106.0261904761899"/>
    <n v="0"/>
    <s v="Cash"/>
    <x v="4"/>
    <n v="0"/>
    <x v="9"/>
    <x v="0"/>
    <n v="0"/>
    <n v="0"/>
  </r>
  <r>
    <s v="ORD1081"/>
    <d v="2024-02-03T00:00:00"/>
    <x v="2"/>
    <x v="0"/>
    <x v="3"/>
    <s v="Electronics"/>
    <n v="15"/>
    <n v="11335.554255319148"/>
    <n v="1079.5765957446808"/>
    <n v="0"/>
    <s v="Card"/>
    <x v="4"/>
    <n v="16193.648936170213"/>
    <x v="0"/>
    <x v="1"/>
    <n v="4858.0946808510653"/>
    <n v="0.3000000000000001"/>
  </r>
  <r>
    <s v="ORD1009"/>
    <d v="2023-09-24T00:00:00"/>
    <x v="2"/>
    <x v="4"/>
    <x v="5"/>
    <s v="Home Appliances"/>
    <n v="0"/>
    <n v="0"/>
    <n v="1543.45"/>
    <n v="0.19"/>
    <s v="Unknown"/>
    <x v="2"/>
    <n v="0"/>
    <x v="9"/>
    <x v="0"/>
    <n v="0"/>
    <n v="0"/>
  </r>
  <r>
    <s v="ORD923"/>
    <d v="2023-03-26T00:00:00"/>
    <x v="0"/>
    <x v="1"/>
    <x v="5"/>
    <s v="Home Appliances"/>
    <n v="0"/>
    <n v="0"/>
    <n v="1618.61"/>
    <n v="0"/>
    <s v="Unknown"/>
    <x v="0"/>
    <n v="0"/>
    <x v="5"/>
    <x v="0"/>
    <n v="0"/>
    <n v="0"/>
  </r>
  <r>
    <s v="ORD1087"/>
    <d v="2023-03-11T00:00:00"/>
    <x v="5"/>
    <x v="5"/>
    <x v="3"/>
    <s v="Electronics"/>
    <n v="0"/>
    <n v="0"/>
    <n v="37.659999999999997"/>
    <n v="0"/>
    <s v="Cash"/>
    <x v="1"/>
    <n v="0"/>
    <x v="5"/>
    <x v="0"/>
    <n v="0"/>
    <n v="0"/>
  </r>
  <r>
    <s v="ORD1079"/>
    <d v="2023-10-01T00:00:00"/>
    <x v="1"/>
    <x v="1"/>
    <x v="5"/>
    <s v="Home Appliances"/>
    <n v="20"/>
    <n v="17061.379999999997"/>
    <n v="1218.67"/>
    <n v="0"/>
    <s v="Cash"/>
    <x v="2"/>
    <n v="24373.4"/>
    <x v="6"/>
    <x v="0"/>
    <n v="7312.0200000000041"/>
    <n v="0.3"/>
  </r>
  <r>
    <s v="ORD919"/>
    <d v="2023-07-07T00:00:00"/>
    <x v="4"/>
    <x v="2"/>
    <x v="0"/>
    <s v="Electronics"/>
    <n v="0"/>
    <n v="0"/>
    <n v="1002.870425531915"/>
    <n v="0"/>
    <s v="Unknown"/>
    <x v="2"/>
    <n v="0"/>
    <x v="4"/>
    <x v="0"/>
    <n v="0"/>
    <n v="0"/>
  </r>
  <r>
    <s v="ORD1038"/>
    <d v="2024-01-28T00:00:00"/>
    <x v="0"/>
    <x v="4"/>
    <x v="0"/>
    <s v="Electronics"/>
    <n v="0"/>
    <n v="0"/>
    <n v="1002.870425531915"/>
    <n v="0"/>
    <s v="Cash"/>
    <x v="4"/>
    <n v="0"/>
    <x v="1"/>
    <x v="1"/>
    <n v="0"/>
    <n v="0"/>
  </r>
  <r>
    <s v="ORD1064"/>
    <d v="2023-09-21T00:00:00"/>
    <x v="0"/>
    <x v="5"/>
    <x v="3"/>
    <s v="Electronics"/>
    <n v="0"/>
    <n v="0"/>
    <n v="1079.5765957446808"/>
    <n v="0"/>
    <s v="Cash"/>
    <x v="3"/>
    <n v="0"/>
    <x v="9"/>
    <x v="0"/>
    <n v="0"/>
    <n v="0"/>
  </r>
  <r>
    <s v="ORD989"/>
    <d v="2024-01-05T00:00:00"/>
    <x v="4"/>
    <x v="5"/>
    <x v="0"/>
    <s v="Electronics"/>
    <n v="0"/>
    <n v="0"/>
    <n v="989.17"/>
    <n v="0.16"/>
    <s v="Transfer"/>
    <x v="3"/>
    <n v="0"/>
    <x v="1"/>
    <x v="1"/>
    <n v="0"/>
    <n v="0"/>
  </r>
  <r>
    <s v="ORD1024"/>
    <d v="2023-01-04T00:00:00"/>
    <x v="4"/>
    <x v="3"/>
    <x v="5"/>
    <s v="Home Appliances"/>
    <n v="0"/>
    <n v="0"/>
    <n v="1017.3087234042553"/>
    <n v="0.11"/>
    <s v="Pos"/>
    <x v="4"/>
    <n v="0"/>
    <x v="1"/>
    <x v="0"/>
    <n v="0"/>
    <n v="0"/>
  </r>
  <r>
    <s v="ORD927"/>
    <d v="2023-08-13T00:00:00"/>
    <x v="5"/>
    <x v="1"/>
    <x v="1"/>
    <s v="Electronics"/>
    <n v="14"/>
    <n v="9617.33"/>
    <n v="981.36020408163256"/>
    <n v="0.06"/>
    <s v="Card"/>
    <x v="3"/>
    <n v="12914.700285714285"/>
    <x v="3"/>
    <x v="0"/>
    <n v="3297.3702857142853"/>
    <n v="0.2553191489361703"/>
  </r>
  <r>
    <s v="ORD934"/>
    <d v="2023-07-22T00:00:00"/>
    <x v="5"/>
    <x v="0"/>
    <x v="0"/>
    <s v="Electronics"/>
    <n v="0"/>
    <n v="0"/>
    <n v="1002.870425531915"/>
    <n v="0"/>
    <s v="Cash"/>
    <x v="1"/>
    <n v="0"/>
    <x v="4"/>
    <x v="0"/>
    <n v="0"/>
    <n v="0"/>
  </r>
  <r>
    <s v="ORD1025"/>
    <d v="2023-10-09T00:00:00"/>
    <x v="5"/>
    <x v="3"/>
    <x v="5"/>
    <s v="Home Appliances"/>
    <n v="0"/>
    <n v="0"/>
    <n v="1017.3087234042553"/>
    <n v="0"/>
    <s v="Cash"/>
    <x v="3"/>
    <n v="0"/>
    <x v="6"/>
    <x v="0"/>
    <n v="0"/>
    <n v="0"/>
  </r>
  <r>
    <s v="ORD927"/>
    <d v="2023-01-11T00:00:00"/>
    <x v="4"/>
    <x v="1"/>
    <x v="0"/>
    <s v="Electronics"/>
    <n v="0"/>
    <n v="0"/>
    <n v="1002.870425531915"/>
    <n v="0"/>
    <s v="Pos"/>
    <x v="3"/>
    <n v="0"/>
    <x v="1"/>
    <x v="0"/>
    <n v="0"/>
    <n v="0"/>
  </r>
  <r>
    <s v="ORD1011"/>
    <d v="2023-09-03T00:00:00"/>
    <x v="3"/>
    <x v="4"/>
    <x v="2"/>
    <s v="Groceries"/>
    <n v="14"/>
    <n v="9180.6088181818177"/>
    <n v="936.79681818181825"/>
    <n v="0.15"/>
    <s v="Card"/>
    <x v="3"/>
    <n v="11147.882136363638"/>
    <x v="9"/>
    <x v="0"/>
    <n v="1967.2733181818203"/>
    <n v="0.17647058823529413"/>
  </r>
  <r>
    <s v="ORD967"/>
    <d v="2023-12-25T00:00:00"/>
    <x v="2"/>
    <x v="0"/>
    <x v="6"/>
    <s v="Electronics"/>
    <n v="0"/>
    <n v="0"/>
    <n v="1415.86"/>
    <n v="0"/>
    <s v="Pos"/>
    <x v="2"/>
    <n v="0"/>
    <x v="10"/>
    <x v="0"/>
    <n v="0"/>
    <n v="0"/>
  </r>
  <r>
    <s v="ORD948"/>
    <d v="2023-10-30T00:00:00"/>
    <x v="4"/>
    <x v="1"/>
    <x v="4"/>
    <s v="Electronics"/>
    <n v="13"/>
    <n v="5050.3180000000002"/>
    <n v="554.98"/>
    <n v="0"/>
    <s v="Cash"/>
    <x v="0"/>
    <n v="7214.74"/>
    <x v="6"/>
    <x v="0"/>
    <n v="2164.4219999999996"/>
    <n v="0.3000000000000001"/>
  </r>
  <r>
    <s v="ORD951"/>
    <d v="2023-02-16T00:00:00"/>
    <x v="0"/>
    <x v="5"/>
    <x v="2"/>
    <s v="Groceries"/>
    <n v="0"/>
    <n v="0"/>
    <n v="1270.29"/>
    <n v="0"/>
    <s v="Transfer"/>
    <x v="3"/>
    <n v="0"/>
    <x v="0"/>
    <x v="0"/>
    <n v="0"/>
    <n v="0"/>
  </r>
  <r>
    <s v="ORD1030"/>
    <d v="2023-08-07T00:00:00"/>
    <x v="0"/>
    <x v="4"/>
    <x v="4"/>
    <s v="Electronics"/>
    <n v="0"/>
    <n v="0"/>
    <n v="1106.0261904761899"/>
    <n v="0"/>
    <s v="Cash"/>
    <x v="2"/>
    <n v="0"/>
    <x v="3"/>
    <x v="0"/>
    <n v="0"/>
    <n v="0"/>
  </r>
  <r>
    <s v="ORD910"/>
    <d v="2023-01-01T00:00:00"/>
    <x v="0"/>
    <x v="0"/>
    <x v="5"/>
    <s v="Home Appliances"/>
    <n v="0"/>
    <n v="0"/>
    <n v="1017.3087234042553"/>
    <n v="0.03"/>
    <s v="Card"/>
    <x v="1"/>
    <n v="0"/>
    <x v="1"/>
    <x v="0"/>
    <n v="0"/>
    <n v="0"/>
  </r>
  <r>
    <s v="ORD993"/>
    <d v="2023-06-21T00:00:00"/>
    <x v="3"/>
    <x v="1"/>
    <x v="4"/>
    <s v="Electronics"/>
    <n v="18"/>
    <n v="13935.929999999993"/>
    <n v="1106.0261904761899"/>
    <n v="0"/>
    <s v="Pos"/>
    <x v="0"/>
    <n v="19908.471428571418"/>
    <x v="11"/>
    <x v="0"/>
    <n v="5972.5414285714251"/>
    <n v="0.3000000000000001"/>
  </r>
  <r>
    <s v="ORD1054"/>
    <d v="2023-07-10T00:00:00"/>
    <x v="2"/>
    <x v="0"/>
    <x v="0"/>
    <s v="Electronics"/>
    <n v="0"/>
    <n v="0"/>
    <n v="183.59"/>
    <n v="0"/>
    <s v="Pos"/>
    <x v="3"/>
    <n v="0"/>
    <x v="4"/>
    <x v="0"/>
    <n v="0"/>
    <n v="0"/>
  </r>
  <r>
    <s v="ORD910"/>
    <d v="2023-10-28T00:00:00"/>
    <x v="2"/>
    <x v="1"/>
    <x v="5"/>
    <s v="Home Appliances"/>
    <n v="4"/>
    <n v="2848.4644255319145"/>
    <n v="1017.3087234042553"/>
    <n v="0"/>
    <s v="Transfer"/>
    <x v="2"/>
    <n v="4069.234893617021"/>
    <x v="6"/>
    <x v="0"/>
    <n v="1220.7704680851066"/>
    <n v="0.30000000000000004"/>
  </r>
  <r>
    <s v="ORD1036"/>
    <d v="2024-01-05T00:00:00"/>
    <x v="4"/>
    <x v="1"/>
    <x v="1"/>
    <s v="Electronics"/>
    <n v="0"/>
    <n v="0"/>
    <n v="981.36020408163256"/>
    <n v="0"/>
    <s v="Transfer"/>
    <x v="3"/>
    <n v="0"/>
    <x v="1"/>
    <x v="1"/>
    <n v="0"/>
    <n v="0"/>
  </r>
  <r>
    <s v="ORD1011"/>
    <d v="2023-02-04T00:00:00"/>
    <x v="5"/>
    <x v="5"/>
    <x v="3"/>
    <s v="Electronics"/>
    <n v="1"/>
    <n v="755.7036170212765"/>
    <n v="1079.5765957446808"/>
    <n v="0"/>
    <s v="Cash"/>
    <x v="0"/>
    <n v="1079.5765957446808"/>
    <x v="0"/>
    <x v="0"/>
    <n v="323.87297872340434"/>
    <n v="0.3000000000000001"/>
  </r>
  <r>
    <s v="ORD915"/>
    <d v="2023-12-22T00:00:00"/>
    <x v="2"/>
    <x v="0"/>
    <x v="6"/>
    <s v="Electronics"/>
    <n v="0"/>
    <n v="0"/>
    <n v="961.05661016949136"/>
    <n v="0.28999999999999998"/>
    <s v="Transfer"/>
    <x v="0"/>
    <n v="0"/>
    <x v="10"/>
    <x v="0"/>
    <n v="0"/>
    <n v="0"/>
  </r>
  <r>
    <s v="ORD998"/>
    <d v="2023-10-15T00:00:00"/>
    <x v="5"/>
    <x v="5"/>
    <x v="3"/>
    <s v="Electronics"/>
    <n v="7"/>
    <n v="5289.9253191489352"/>
    <n v="1079.5765957446808"/>
    <n v="0"/>
    <s v="Cash"/>
    <x v="0"/>
    <n v="7557.0361702127657"/>
    <x v="6"/>
    <x v="0"/>
    <n v="2267.1108510638305"/>
    <n v="0.3"/>
  </r>
  <r>
    <s v="ORD1016"/>
    <d v="2023-09-15T00:00:00"/>
    <x v="3"/>
    <x v="4"/>
    <x v="6"/>
    <s v="Electronics"/>
    <n v="0"/>
    <n v="0"/>
    <n v="544.34"/>
    <n v="0.05"/>
    <s v="Pos"/>
    <x v="2"/>
    <n v="0"/>
    <x v="9"/>
    <x v="0"/>
    <n v="0"/>
    <n v="0"/>
  </r>
  <r>
    <s v="ORD974"/>
    <d v="2023-01-21T00:00:00"/>
    <x v="4"/>
    <x v="4"/>
    <x v="1"/>
    <s v="Electronics"/>
    <n v="0"/>
    <n v="0"/>
    <n v="1960.25"/>
    <n v="0.16"/>
    <s v="Unknown"/>
    <x v="4"/>
    <n v="0"/>
    <x v="1"/>
    <x v="0"/>
    <n v="0"/>
    <n v="0"/>
  </r>
  <r>
    <s v="ORD1061"/>
    <d v="2023-11-06T00:00:00"/>
    <x v="1"/>
    <x v="4"/>
    <x v="4"/>
    <s v="Electronics"/>
    <n v="0"/>
    <n v="0"/>
    <n v="1106.0261904761899"/>
    <n v="0.09"/>
    <s v="Unknown"/>
    <x v="3"/>
    <n v="0"/>
    <x v="2"/>
    <x v="0"/>
    <n v="0"/>
    <n v="0"/>
  </r>
  <r>
    <s v="ORD991"/>
    <d v="2023-04-23T00:00:00"/>
    <x v="3"/>
    <x v="1"/>
    <x v="0"/>
    <s v="Electronics"/>
    <n v="0"/>
    <n v="0"/>
    <n v="1002.870425531915"/>
    <n v="0"/>
    <s v="Unknown"/>
    <x v="1"/>
    <n v="0"/>
    <x v="8"/>
    <x v="0"/>
    <n v="0"/>
    <n v="0"/>
  </r>
  <r>
    <s v="ORD1067"/>
    <d v="2023-05-12T00:00:00"/>
    <x v="2"/>
    <x v="3"/>
    <x v="2"/>
    <s v="Groceries"/>
    <n v="0"/>
    <n v="0"/>
    <n v="936.79681818181825"/>
    <n v="0"/>
    <s v="Cash"/>
    <x v="1"/>
    <n v="0"/>
    <x v="7"/>
    <x v="0"/>
    <n v="0"/>
    <n v="0"/>
  </r>
  <r>
    <s v="ORD959"/>
    <d v="2024-01-09T00:00:00"/>
    <x v="5"/>
    <x v="4"/>
    <x v="1"/>
    <s v="Electronics"/>
    <n v="0"/>
    <n v="0"/>
    <n v="371.21"/>
    <n v="0.24"/>
    <s v="Cash"/>
    <x v="0"/>
    <n v="0"/>
    <x v="1"/>
    <x v="1"/>
    <n v="0"/>
    <n v="0"/>
  </r>
  <r>
    <s v="ORD1025"/>
    <d v="2024-01-09T00:00:00"/>
    <x v="4"/>
    <x v="0"/>
    <x v="0"/>
    <s v="Electronics"/>
    <n v="10"/>
    <n v="7020.0929787234045"/>
    <n v="1002.870425531915"/>
    <n v="0.21"/>
    <s v="Cash"/>
    <x v="2"/>
    <n v="7922.6763617021288"/>
    <x v="1"/>
    <x v="1"/>
    <n v="902.58338297872433"/>
    <n v="0.11392405063291149"/>
  </r>
  <r>
    <s v="ORD918"/>
    <d v="2023-08-07T00:00:00"/>
    <x v="2"/>
    <x v="5"/>
    <x v="5"/>
    <s v="Home Appliances"/>
    <n v="0"/>
    <n v="0"/>
    <n v="1017.3087234042553"/>
    <n v="0.23"/>
    <s v="Pos"/>
    <x v="3"/>
    <n v="0"/>
    <x v="3"/>
    <x v="0"/>
    <n v="0"/>
    <n v="0"/>
  </r>
  <r>
    <s v="ORD996"/>
    <d v="2023-07-16T00:00:00"/>
    <x v="0"/>
    <x v="1"/>
    <x v="6"/>
    <s v="Electronics"/>
    <n v="2"/>
    <n v="705.88"/>
    <n v="504.2"/>
    <n v="0"/>
    <s v="Pos"/>
    <x v="3"/>
    <n v="1008.4"/>
    <x v="4"/>
    <x v="0"/>
    <n v="302.52"/>
    <n v="0.3"/>
  </r>
  <r>
    <s v="ORD902"/>
    <d v="2023-02-24T00:00:00"/>
    <x v="1"/>
    <x v="3"/>
    <x v="5"/>
    <s v="Home Appliances"/>
    <n v="7"/>
    <n v="4984.8127446808503"/>
    <n v="1017.3087234042553"/>
    <n v="0.27"/>
    <s v="Card"/>
    <x v="4"/>
    <n v="5198.4475765957441"/>
    <x v="0"/>
    <x v="0"/>
    <n v="213.63483191489377"/>
    <n v="4.1095890410958937E-2"/>
  </r>
  <r>
    <s v="ORD1022"/>
    <d v="2023-03-21T00:00:00"/>
    <x v="2"/>
    <x v="1"/>
    <x v="3"/>
    <s v="Electronics"/>
    <n v="18"/>
    <n v="657.72"/>
    <n v="52.2"/>
    <n v="0"/>
    <s v="Cash"/>
    <x v="0"/>
    <n v="939.6"/>
    <x v="5"/>
    <x v="0"/>
    <n v="281.88"/>
    <n v="0.3"/>
  </r>
  <r>
    <s v="ORD1006"/>
    <d v="2023-03-14T00:00:00"/>
    <x v="0"/>
    <x v="1"/>
    <x v="4"/>
    <s v="Electronics"/>
    <n v="0"/>
    <n v="0"/>
    <n v="1106.0261904761899"/>
    <n v="0"/>
    <s v="Transfer"/>
    <x v="3"/>
    <n v="0"/>
    <x v="5"/>
    <x v="0"/>
    <n v="0"/>
    <n v="0"/>
  </r>
  <r>
    <s v="ORD1025"/>
    <d v="2023-03-28T00:00:00"/>
    <x v="0"/>
    <x v="1"/>
    <x v="4"/>
    <s v="Electronics"/>
    <n v="12"/>
    <n v="10376.016"/>
    <n v="1235.24"/>
    <n v="0.11"/>
    <s v="Cash"/>
    <x v="0"/>
    <n v="13192.363200000002"/>
    <x v="5"/>
    <x v="0"/>
    <n v="2816.347200000002"/>
    <n v="0.21348314606741586"/>
  </r>
  <r>
    <s v="ORD938"/>
    <d v="2023-04-02T00:00:00"/>
    <x v="5"/>
    <x v="2"/>
    <x v="0"/>
    <s v="Electronics"/>
    <n v="0"/>
    <n v="0"/>
    <n v="1002.870425531915"/>
    <n v="0"/>
    <s v="Card"/>
    <x v="4"/>
    <n v="0"/>
    <x v="8"/>
    <x v="0"/>
    <n v="0"/>
    <n v="0"/>
  </r>
  <r>
    <s v="ORD926"/>
    <d v="2023-05-19T00:00:00"/>
    <x v="5"/>
    <x v="0"/>
    <x v="0"/>
    <s v="Electronics"/>
    <n v="3"/>
    <n v="3622.1009999999997"/>
    <n v="1724.81"/>
    <n v="0.23"/>
    <s v="Card"/>
    <x v="2"/>
    <n v="3984.3111000000004"/>
    <x v="7"/>
    <x v="0"/>
    <n v="362.21010000000069"/>
    <n v="9.0909090909090967E-2"/>
  </r>
  <r>
    <s v="ORD999"/>
    <d v="2023-08-17T00:00:00"/>
    <x v="5"/>
    <x v="3"/>
    <x v="4"/>
    <s v="Electronics"/>
    <n v="0"/>
    <n v="0"/>
    <n v="1106.0261904761899"/>
    <n v="0"/>
    <s v="Cash"/>
    <x v="2"/>
    <n v="0"/>
    <x v="3"/>
    <x v="0"/>
    <n v="0"/>
    <n v="0"/>
  </r>
  <r>
    <s v="ORD1096"/>
    <d v="2023-07-17T00:00:00"/>
    <x v="1"/>
    <x v="4"/>
    <x v="2"/>
    <s v="Groceries"/>
    <n v="0"/>
    <n v="0"/>
    <n v="936.79681818181825"/>
    <n v="0"/>
    <s v="Cash"/>
    <x v="2"/>
    <n v="0"/>
    <x v="4"/>
    <x v="0"/>
    <n v="0"/>
    <n v="0"/>
  </r>
  <r>
    <s v="ORD998"/>
    <d v="2023-08-03T00:00:00"/>
    <x v="5"/>
    <x v="2"/>
    <x v="3"/>
    <s v="Electronics"/>
    <n v="0"/>
    <n v="0"/>
    <n v="1079.5765957446808"/>
    <n v="0"/>
    <s v="Transfer"/>
    <x v="0"/>
    <n v="0"/>
    <x v="3"/>
    <x v="0"/>
    <n v="0"/>
    <n v="0"/>
  </r>
  <r>
    <s v="ORD1047"/>
    <d v="2024-02-02T00:00:00"/>
    <x v="2"/>
    <x v="0"/>
    <x v="4"/>
    <s v="Electronics"/>
    <n v="12"/>
    <n v="3482.0519999999992"/>
    <n v="414.53"/>
    <n v="0"/>
    <s v="Cash"/>
    <x v="3"/>
    <n v="4974.3599999999997"/>
    <x v="0"/>
    <x v="1"/>
    <n v="1492.3080000000004"/>
    <n v="0.30000000000000004"/>
  </r>
  <r>
    <s v="ORD915"/>
    <d v="2023-06-28T00:00:00"/>
    <x v="1"/>
    <x v="3"/>
    <x v="6"/>
    <s v="Electronics"/>
    <n v="0"/>
    <n v="0"/>
    <n v="961.05661016949136"/>
    <n v="0"/>
    <s v="Cash"/>
    <x v="2"/>
    <n v="0"/>
    <x v="11"/>
    <x v="0"/>
    <n v="0"/>
    <n v="0"/>
  </r>
  <r>
    <s v="ORD957"/>
    <d v="2023-01-29T00:00:00"/>
    <x v="4"/>
    <x v="1"/>
    <x v="5"/>
    <s v="Home Appliances"/>
    <n v="0"/>
    <n v="0"/>
    <n v="1017.3087234042553"/>
    <n v="0"/>
    <s v="Cash"/>
    <x v="0"/>
    <n v="0"/>
    <x v="1"/>
    <x v="0"/>
    <n v="0"/>
    <n v="0"/>
  </r>
  <r>
    <s v="ORD918"/>
    <d v="2023-09-02T00:00:00"/>
    <x v="4"/>
    <x v="1"/>
    <x v="1"/>
    <s v="Electronics"/>
    <n v="5"/>
    <n v="1741.7399999999998"/>
    <n v="497.64"/>
    <n v="0"/>
    <s v="Cash"/>
    <x v="2"/>
    <n v="2488.1999999999998"/>
    <x v="9"/>
    <x v="0"/>
    <n v="746.46"/>
    <n v="0.30000000000000004"/>
  </r>
  <r>
    <s v="ORD1020"/>
    <d v="2024-01-16T00:00:00"/>
    <x v="4"/>
    <x v="0"/>
    <x v="3"/>
    <s v="Electronics"/>
    <n v="0"/>
    <n v="0"/>
    <n v="1079.5765957446808"/>
    <n v="0"/>
    <s v="Cash"/>
    <x v="4"/>
    <n v="0"/>
    <x v="1"/>
    <x v="1"/>
    <n v="0"/>
    <n v="0"/>
  </r>
  <r>
    <s v="ORD928"/>
    <d v="2023-03-21T00:00:00"/>
    <x v="0"/>
    <x v="0"/>
    <x v="4"/>
    <s v="Electronics"/>
    <n v="0"/>
    <n v="0"/>
    <n v="1106.0261904761899"/>
    <n v="0"/>
    <s v="Transfer"/>
    <x v="0"/>
    <n v="0"/>
    <x v="5"/>
    <x v="0"/>
    <n v="0"/>
    <n v="0"/>
  </r>
  <r>
    <s v="ORD1082"/>
    <d v="2023-05-13T00:00:00"/>
    <x v="3"/>
    <x v="0"/>
    <x v="1"/>
    <s v="Electronics"/>
    <n v="0"/>
    <n v="0"/>
    <n v="981.36020408163256"/>
    <n v="0.11"/>
    <s v="Unknown"/>
    <x v="2"/>
    <n v="0"/>
    <x v="7"/>
    <x v="0"/>
    <n v="0"/>
    <n v="0"/>
  </r>
  <r>
    <s v="ORD1002"/>
    <d v="2023-11-13T00:00:00"/>
    <x v="0"/>
    <x v="1"/>
    <x v="2"/>
    <s v="Groceries"/>
    <n v="0"/>
    <n v="0"/>
    <n v="936.79681818181825"/>
    <n v="0"/>
    <s v="Unknown"/>
    <x v="1"/>
    <n v="0"/>
    <x v="2"/>
    <x v="0"/>
    <n v="0"/>
    <n v="0"/>
  </r>
  <r>
    <s v="ORD997"/>
    <d v="2023-03-26T00:00:00"/>
    <x v="0"/>
    <x v="3"/>
    <x v="0"/>
    <s v="Electronics"/>
    <n v="0"/>
    <n v="0"/>
    <n v="225.72"/>
    <n v="0"/>
    <s v="Cash"/>
    <x v="2"/>
    <n v="0"/>
    <x v="5"/>
    <x v="0"/>
    <n v="0"/>
    <n v="0"/>
  </r>
  <r>
    <s v="ORD972"/>
    <d v="2023-03-25T00:00:00"/>
    <x v="0"/>
    <x v="1"/>
    <x v="1"/>
    <s v="Electronics"/>
    <n v="0"/>
    <n v="0"/>
    <n v="383.61"/>
    <n v="0.19"/>
    <s v="Cash"/>
    <x v="4"/>
    <n v="0"/>
    <x v="5"/>
    <x v="0"/>
    <n v="0"/>
    <n v="0"/>
  </r>
  <r>
    <s v="ORD921"/>
    <d v="2023-10-19T00:00:00"/>
    <x v="0"/>
    <x v="2"/>
    <x v="6"/>
    <s v="Electronics"/>
    <n v="2"/>
    <n v="1345.4792542372879"/>
    <n v="961.05661016949136"/>
    <n v="0"/>
    <s v="Card"/>
    <x v="1"/>
    <n v="1922.1132203389827"/>
    <x v="6"/>
    <x v="0"/>
    <n v="576.6339661016948"/>
    <n v="0.3"/>
  </r>
  <r>
    <s v="ORD1028"/>
    <d v="2023-04-10T00:00:00"/>
    <x v="1"/>
    <x v="3"/>
    <x v="2"/>
    <s v="Groceries"/>
    <n v="0"/>
    <n v="0"/>
    <n v="936.79681818181825"/>
    <n v="0"/>
    <s v="Pos"/>
    <x v="3"/>
    <n v="0"/>
    <x v="8"/>
    <x v="0"/>
    <n v="0"/>
    <n v="0"/>
  </r>
  <r>
    <s v="ORD1028"/>
    <d v="2024-02-01T00:00:00"/>
    <x v="4"/>
    <x v="1"/>
    <x v="3"/>
    <s v="Electronics"/>
    <n v="0"/>
    <n v="0"/>
    <n v="1738.94"/>
    <n v="0.09"/>
    <s v="Unknown"/>
    <x v="1"/>
    <n v="0"/>
    <x v="0"/>
    <x v="1"/>
    <n v="0"/>
    <n v="0"/>
  </r>
  <r>
    <s v="ORD920"/>
    <d v="2023-11-17T00:00:00"/>
    <x v="0"/>
    <x v="0"/>
    <x v="1"/>
    <s v="Electronics"/>
    <n v="0"/>
    <n v="0"/>
    <n v="981.36020408163256"/>
    <n v="0"/>
    <s v="Pos"/>
    <x v="0"/>
    <n v="0"/>
    <x v="2"/>
    <x v="0"/>
    <n v="0"/>
    <n v="0"/>
  </r>
  <r>
    <s v="ORD1096"/>
    <d v="2023-06-24T00:00:00"/>
    <x v="5"/>
    <x v="3"/>
    <x v="1"/>
    <s v="Electronics"/>
    <n v="0"/>
    <n v="0"/>
    <n v="981.36020408163256"/>
    <n v="0"/>
    <s v="Unknown"/>
    <x v="1"/>
    <n v="0"/>
    <x v="11"/>
    <x v="0"/>
    <n v="0"/>
    <n v="0"/>
  </r>
  <r>
    <s v="ORD961"/>
    <d v="2023-04-17T00:00:00"/>
    <x v="0"/>
    <x v="1"/>
    <x v="3"/>
    <s v="Electronics"/>
    <n v="4"/>
    <n v="3022.814468085106"/>
    <n v="1079.5765957446808"/>
    <n v="0.16"/>
    <s v="Transfer"/>
    <x v="3"/>
    <n v="3627.3773617021275"/>
    <x v="8"/>
    <x v="0"/>
    <n v="604.56289361702147"/>
    <n v="0.16666666666666674"/>
  </r>
  <r>
    <s v="ORD1016"/>
    <d v="2023-06-10T00:00:00"/>
    <x v="4"/>
    <x v="4"/>
    <x v="1"/>
    <s v="Electronics"/>
    <n v="0"/>
    <n v="0"/>
    <n v="733.02"/>
    <n v="0"/>
    <s v="Transfer"/>
    <x v="4"/>
    <n v="0"/>
    <x v="11"/>
    <x v="0"/>
    <n v="0"/>
    <n v="0"/>
  </r>
  <r>
    <s v="ORD1021"/>
    <d v="2023-05-12T00:00:00"/>
    <x v="5"/>
    <x v="0"/>
    <x v="1"/>
    <s v="Electronics"/>
    <n v="0"/>
    <n v="0"/>
    <n v="981.36020408163256"/>
    <n v="0"/>
    <s v="Unknown"/>
    <x v="2"/>
    <n v="0"/>
    <x v="7"/>
    <x v="0"/>
    <n v="0"/>
    <n v="0"/>
  </r>
  <r>
    <s v="ORD1012"/>
    <d v="2023-07-07T00:00:00"/>
    <x v="1"/>
    <x v="4"/>
    <x v="4"/>
    <s v="Electronics"/>
    <n v="0"/>
    <n v="0"/>
    <n v="1106.0261904761899"/>
    <n v="0"/>
    <s v="Cash"/>
    <x v="2"/>
    <n v="0"/>
    <x v="4"/>
    <x v="0"/>
    <n v="0"/>
    <n v="0"/>
  </r>
  <r>
    <s v="ORD1079"/>
    <d v="2023-10-15T00:00:00"/>
    <x v="0"/>
    <x v="1"/>
    <x v="6"/>
    <s v="Electronics"/>
    <n v="0"/>
    <n v="0"/>
    <n v="961.05661016949136"/>
    <n v="0.26"/>
    <s v="Transfer"/>
    <x v="1"/>
    <n v="0"/>
    <x v="6"/>
    <x v="0"/>
    <n v="0"/>
    <n v="0"/>
  </r>
  <r>
    <s v="ORD1071"/>
    <d v="2023-02-17T00:00:00"/>
    <x v="1"/>
    <x v="5"/>
    <x v="2"/>
    <s v="Groceries"/>
    <n v="15"/>
    <n v="9836.3665909090905"/>
    <n v="936.79681818181825"/>
    <n v="0"/>
    <s v="Transfer"/>
    <x v="2"/>
    <n v="14051.952272727274"/>
    <x v="0"/>
    <x v="0"/>
    <n v="4215.5856818181837"/>
    <n v="0.3000000000000001"/>
  </r>
  <r>
    <s v="ORD1002"/>
    <d v="2023-06-18T00:00:00"/>
    <x v="0"/>
    <x v="4"/>
    <x v="0"/>
    <s v="Electronics"/>
    <n v="16"/>
    <n v="11232.148765957447"/>
    <n v="1002.870425531915"/>
    <n v="0"/>
    <s v="Cash"/>
    <x v="0"/>
    <n v="16045.92680851064"/>
    <x v="11"/>
    <x v="0"/>
    <n v="4813.7780425531928"/>
    <n v="0.30000000000000004"/>
  </r>
  <r>
    <s v="ORD939"/>
    <d v="2023-08-29T00:00:00"/>
    <x v="4"/>
    <x v="0"/>
    <x v="1"/>
    <s v="Electronics"/>
    <n v="19"/>
    <n v="13052.090714285714"/>
    <n v="981.36020408163256"/>
    <n v="0"/>
    <s v="Transfer"/>
    <x v="1"/>
    <n v="18645.843877551019"/>
    <x v="3"/>
    <x v="0"/>
    <n v="5593.7531632653045"/>
    <n v="0.30000000000000004"/>
  </r>
  <r>
    <s v="ORD954"/>
    <d v="2023-01-28T00:00:00"/>
    <x v="2"/>
    <x v="3"/>
    <x v="4"/>
    <s v="Electronics"/>
    <n v="0"/>
    <n v="0"/>
    <n v="1275.02"/>
    <n v="0"/>
    <s v="Transfer"/>
    <x v="3"/>
    <n v="0"/>
    <x v="1"/>
    <x v="0"/>
    <n v="0"/>
    <n v="0"/>
  </r>
  <r>
    <s v="ORD976"/>
    <d v="2023-12-31T00:00:00"/>
    <x v="5"/>
    <x v="3"/>
    <x v="2"/>
    <s v="Groceries"/>
    <n v="0"/>
    <n v="0"/>
    <n v="1787.22"/>
    <n v="0.25"/>
    <s v="Transfer"/>
    <x v="4"/>
    <n v="0"/>
    <x v="10"/>
    <x v="0"/>
    <n v="0"/>
    <n v="0"/>
  </r>
  <r>
    <s v="ORD1092"/>
    <d v="2023-06-02T00:00:00"/>
    <x v="4"/>
    <x v="1"/>
    <x v="0"/>
    <s v="Electronics"/>
    <n v="0"/>
    <n v="0"/>
    <n v="1075.6600000000001"/>
    <n v="0"/>
    <s v="Card"/>
    <x v="0"/>
    <n v="0"/>
    <x v="11"/>
    <x v="0"/>
    <n v="0"/>
    <n v="0"/>
  </r>
  <r>
    <s v="ORD999"/>
    <d v="2023-01-06T00:00:00"/>
    <x v="2"/>
    <x v="1"/>
    <x v="5"/>
    <s v="Home Appliances"/>
    <n v="20"/>
    <n v="14242.322127659572"/>
    <n v="1017.3087234042553"/>
    <n v="0"/>
    <s v="Unknown"/>
    <x v="4"/>
    <n v="20346.174468085104"/>
    <x v="1"/>
    <x v="0"/>
    <n v="6103.852340425532"/>
    <n v="0.30000000000000004"/>
  </r>
  <r>
    <s v="ORD903"/>
    <d v="2023-03-19T00:00:00"/>
    <x v="5"/>
    <x v="1"/>
    <x v="2"/>
    <s v="Groceries"/>
    <n v="0"/>
    <n v="0"/>
    <n v="936.79681818181825"/>
    <n v="0"/>
    <s v="Cash"/>
    <x v="1"/>
    <n v="0"/>
    <x v="5"/>
    <x v="0"/>
    <n v="0"/>
    <n v="0"/>
  </r>
  <r>
    <s v="ORD1063"/>
    <d v="2023-10-24T00:00:00"/>
    <x v="0"/>
    <x v="1"/>
    <x v="1"/>
    <s v="Electronics"/>
    <n v="0"/>
    <n v="0"/>
    <n v="1096.71"/>
    <n v="0.18"/>
    <s v="Card"/>
    <x v="2"/>
    <n v="0"/>
    <x v="6"/>
    <x v="0"/>
    <n v="0"/>
    <n v="0"/>
  </r>
  <r>
    <s v="ORD948"/>
    <d v="2023-12-14T00:00:00"/>
    <x v="0"/>
    <x v="4"/>
    <x v="6"/>
    <s v="Electronics"/>
    <n v="0"/>
    <n v="0"/>
    <n v="961.05661016949136"/>
    <n v="0.25"/>
    <s v="Unknown"/>
    <x v="1"/>
    <n v="0"/>
    <x v="10"/>
    <x v="0"/>
    <n v="0"/>
    <n v="0"/>
  </r>
  <r>
    <s v="ORD1066"/>
    <d v="2023-08-22T00:00:00"/>
    <x v="5"/>
    <x v="5"/>
    <x v="0"/>
    <s v="Electronics"/>
    <n v="0"/>
    <n v="0"/>
    <n v="1002.870425531915"/>
    <n v="0.03"/>
    <s v="Transfer"/>
    <x v="1"/>
    <n v="0"/>
    <x v="3"/>
    <x v="0"/>
    <n v="0"/>
    <n v="0"/>
  </r>
  <r>
    <s v="ORD995"/>
    <d v="2023-04-01T00:00:00"/>
    <x v="4"/>
    <x v="2"/>
    <x v="2"/>
    <s v="Groceries"/>
    <n v="0"/>
    <n v="0"/>
    <n v="936.79681818181825"/>
    <n v="0"/>
    <s v="Pos"/>
    <x v="3"/>
    <n v="0"/>
    <x v="8"/>
    <x v="0"/>
    <n v="0"/>
    <n v="0"/>
  </r>
  <r>
    <s v="ORD922"/>
    <d v="2023-02-23T00:00:00"/>
    <x v="0"/>
    <x v="0"/>
    <x v="4"/>
    <s v="Electronics"/>
    <n v="14"/>
    <n v="10839.05666666666"/>
    <n v="1106.0261904761899"/>
    <n v="0.28000000000000003"/>
    <s v="Unknown"/>
    <x v="1"/>
    <n v="11148.743999999993"/>
    <x v="0"/>
    <x v="0"/>
    <n v="309.6873333333333"/>
    <n v="2.777777777777779E-2"/>
  </r>
  <r>
    <s v="ORD1028"/>
    <d v="2023-10-25T00:00:00"/>
    <x v="0"/>
    <x v="0"/>
    <x v="0"/>
    <s v="Electronics"/>
    <n v="7"/>
    <n v="4914.0650851063829"/>
    <n v="1002.870425531915"/>
    <n v="0.11"/>
    <s v="Transfer"/>
    <x v="3"/>
    <n v="6247.8827510638303"/>
    <x v="6"/>
    <x v="0"/>
    <n v="1333.8176659574474"/>
    <n v="0.21348314606741581"/>
  </r>
  <r>
    <s v="ORD989"/>
    <d v="2023-08-26T00:00:00"/>
    <x v="5"/>
    <x v="3"/>
    <x v="5"/>
    <s v="Home Appliances"/>
    <n v="0"/>
    <n v="0"/>
    <n v="1017.3087234042553"/>
    <n v="0"/>
    <s v="Card"/>
    <x v="4"/>
    <n v="0"/>
    <x v="3"/>
    <x v="0"/>
    <n v="0"/>
    <n v="0"/>
  </r>
  <r>
    <s v="ORD1006"/>
    <d v="2023-12-11T00:00:00"/>
    <x v="2"/>
    <x v="1"/>
    <x v="2"/>
    <s v="Groceries"/>
    <n v="1"/>
    <n v="655.75777272727271"/>
    <n v="936.79681818181825"/>
    <n v="0"/>
    <s v="Unknown"/>
    <x v="0"/>
    <n v="936.79681818181825"/>
    <x v="10"/>
    <x v="0"/>
    <n v="281.03904545454554"/>
    <n v="0.3000000000000001"/>
  </r>
  <r>
    <s v="ORD981"/>
    <d v="2023-06-21T00:00:00"/>
    <x v="4"/>
    <x v="2"/>
    <x v="2"/>
    <s v="Groceries"/>
    <n v="0"/>
    <n v="0"/>
    <n v="936.79681818181825"/>
    <n v="0.12"/>
    <s v="Pos"/>
    <x v="1"/>
    <n v="0"/>
    <x v="11"/>
    <x v="0"/>
    <n v="0"/>
    <n v="0"/>
  </r>
  <r>
    <s v="ORD932"/>
    <d v="2023-11-22T00:00:00"/>
    <x v="5"/>
    <x v="0"/>
    <x v="1"/>
    <s v="Electronics"/>
    <n v="0"/>
    <n v="0"/>
    <n v="325.3"/>
    <n v="0.03"/>
    <s v="Pos"/>
    <x v="3"/>
    <n v="0"/>
    <x v="2"/>
    <x v="0"/>
    <n v="0"/>
    <n v="0"/>
  </r>
  <r>
    <s v="ORD1061"/>
    <d v="2023-10-23T00:00:00"/>
    <x v="5"/>
    <x v="3"/>
    <x v="6"/>
    <s v="Electronics"/>
    <n v="18"/>
    <n v="23913.666000000001"/>
    <n v="1897.91"/>
    <n v="0.03"/>
    <s v="Transfer"/>
    <x v="3"/>
    <n v="33137.508600000001"/>
    <x v="6"/>
    <x v="0"/>
    <n v="9223.8425999999999"/>
    <n v="0.27835051546391754"/>
  </r>
  <r>
    <s v="ORD1060"/>
    <d v="2024-01-30T00:00:00"/>
    <x v="4"/>
    <x v="1"/>
    <x v="3"/>
    <s v="Electronics"/>
    <n v="0"/>
    <n v="0"/>
    <n v="1079.5765957446808"/>
    <n v="0"/>
    <s v="Unknown"/>
    <x v="4"/>
    <n v="0"/>
    <x v="1"/>
    <x v="1"/>
    <n v="0"/>
    <n v="0"/>
  </r>
  <r>
    <s v="ORD947"/>
    <d v="2023-05-03T00:00:00"/>
    <x v="2"/>
    <x v="4"/>
    <x v="1"/>
    <s v="Electronics"/>
    <n v="0"/>
    <n v="0"/>
    <n v="981.36020408163256"/>
    <n v="0"/>
    <s v="Cash"/>
    <x v="4"/>
    <n v="0"/>
    <x v="7"/>
    <x v="0"/>
    <n v="0"/>
    <n v="0"/>
  </r>
  <r>
    <s v="ORD921"/>
    <d v="2023-03-15T00:00:00"/>
    <x v="0"/>
    <x v="0"/>
    <x v="3"/>
    <s v="Electronics"/>
    <n v="0"/>
    <n v="0"/>
    <n v="1855.13"/>
    <n v="0"/>
    <s v="Card"/>
    <x v="2"/>
    <n v="0"/>
    <x v="5"/>
    <x v="0"/>
    <n v="0"/>
    <n v="0"/>
  </r>
  <r>
    <s v="ORD923"/>
    <d v="2023-02-09T00:00:00"/>
    <x v="5"/>
    <x v="3"/>
    <x v="0"/>
    <s v="Electronics"/>
    <n v="13"/>
    <n v="8983.155999999999"/>
    <n v="987.16"/>
    <n v="0"/>
    <s v="Unknown"/>
    <x v="3"/>
    <n v="12833.08"/>
    <x v="0"/>
    <x v="0"/>
    <n v="3849.9240000000009"/>
    <n v="0.30000000000000004"/>
  </r>
  <r>
    <s v="ORD953"/>
    <d v="2023-12-18T00:00:00"/>
    <x v="5"/>
    <x v="5"/>
    <x v="0"/>
    <s v="Electronics"/>
    <n v="6"/>
    <n v="2538.9839999999999"/>
    <n v="604.52"/>
    <n v="0"/>
    <s v="Pos"/>
    <x v="3"/>
    <n v="3627.12"/>
    <x v="10"/>
    <x v="0"/>
    <n v="1088.136"/>
    <n v="0.3"/>
  </r>
  <r>
    <s v="ORD930"/>
    <d v="2023-06-25T00:00:00"/>
    <x v="1"/>
    <x v="5"/>
    <x v="3"/>
    <s v="Electronics"/>
    <n v="18"/>
    <n v="13602.665106382978"/>
    <n v="1079.5765957446808"/>
    <n v="0.08"/>
    <s v="Cash"/>
    <x v="0"/>
    <n v="17877.788425531915"/>
    <x v="11"/>
    <x v="0"/>
    <n v="4275.1233191489373"/>
    <n v="0.23913043478260876"/>
  </r>
  <r>
    <s v="ORD907"/>
    <d v="2023-10-02T00:00:00"/>
    <x v="0"/>
    <x v="2"/>
    <x v="3"/>
    <s v="Electronics"/>
    <n v="0"/>
    <n v="0"/>
    <n v="238.43"/>
    <n v="0.01"/>
    <s v="Cash"/>
    <x v="3"/>
    <n v="0"/>
    <x v="6"/>
    <x v="0"/>
    <n v="0"/>
    <n v="0"/>
  </r>
  <r>
    <s v="ORD1086"/>
    <d v="2023-12-21T00:00:00"/>
    <x v="4"/>
    <x v="4"/>
    <x v="0"/>
    <s v="Electronics"/>
    <n v="7"/>
    <n v="4914.0650851063829"/>
    <n v="1002.870425531915"/>
    <n v="0"/>
    <s v="Unknown"/>
    <x v="1"/>
    <n v="7020.0929787234045"/>
    <x v="10"/>
    <x v="0"/>
    <n v="2106.0278936170216"/>
    <n v="0.30000000000000004"/>
  </r>
  <r>
    <s v="ORD1011"/>
    <d v="2023-09-20T00:00:00"/>
    <x v="5"/>
    <x v="1"/>
    <x v="0"/>
    <s v="Electronics"/>
    <n v="0"/>
    <n v="0"/>
    <n v="1002.870425531915"/>
    <n v="0"/>
    <s v="Cash"/>
    <x v="0"/>
    <n v="0"/>
    <x v="9"/>
    <x v="0"/>
    <n v="0"/>
    <n v="0"/>
  </r>
  <r>
    <s v="ORD1096"/>
    <d v="2023-10-28T00:00:00"/>
    <x v="3"/>
    <x v="1"/>
    <x v="6"/>
    <s v="Electronics"/>
    <n v="0"/>
    <n v="0"/>
    <n v="961.05661016949136"/>
    <n v="0"/>
    <s v="Card"/>
    <x v="0"/>
    <n v="0"/>
    <x v="6"/>
    <x v="0"/>
    <n v="0"/>
    <n v="0"/>
  </r>
  <r>
    <s v="ORD927"/>
    <d v="2023-11-07T00:00:00"/>
    <x v="5"/>
    <x v="5"/>
    <x v="1"/>
    <s v="Electronics"/>
    <n v="0"/>
    <n v="0"/>
    <n v="1796.81"/>
    <n v="0.13"/>
    <s v="Pos"/>
    <x v="4"/>
    <n v="0"/>
    <x v="2"/>
    <x v="0"/>
    <n v="0"/>
    <n v="0"/>
  </r>
  <r>
    <s v="ORD1050"/>
    <d v="2023-07-29T00:00:00"/>
    <x v="3"/>
    <x v="2"/>
    <x v="6"/>
    <s v="Electronics"/>
    <n v="0"/>
    <n v="0"/>
    <n v="69.58"/>
    <n v="0"/>
    <s v="Cash"/>
    <x v="4"/>
    <n v="0"/>
    <x v="4"/>
    <x v="0"/>
    <n v="0"/>
    <n v="0"/>
  </r>
  <r>
    <s v="ORD962"/>
    <d v="2023-02-07T00:00:00"/>
    <x v="2"/>
    <x v="0"/>
    <x v="0"/>
    <s v="Electronics"/>
    <n v="0"/>
    <n v="0"/>
    <n v="1002.870425531915"/>
    <n v="0"/>
    <s v="Card"/>
    <x v="2"/>
    <n v="0"/>
    <x v="0"/>
    <x v="0"/>
    <n v="0"/>
    <n v="0"/>
  </r>
  <r>
    <s v="ORD1019"/>
    <d v="2023-10-18T00:00:00"/>
    <x v="1"/>
    <x v="1"/>
    <x v="3"/>
    <s v="Electronics"/>
    <n v="0"/>
    <n v="0"/>
    <n v="1079.5765957446808"/>
    <n v="0"/>
    <s v="Card"/>
    <x v="0"/>
    <n v="0"/>
    <x v="6"/>
    <x v="0"/>
    <n v="0"/>
    <n v="0"/>
  </r>
  <r>
    <s v="ORD1071"/>
    <d v="2023-02-08T00:00:00"/>
    <x v="5"/>
    <x v="0"/>
    <x v="6"/>
    <s v="Electronics"/>
    <n v="0"/>
    <n v="0"/>
    <n v="404.32"/>
    <n v="0"/>
    <s v="Cash"/>
    <x v="4"/>
    <n v="0"/>
    <x v="0"/>
    <x v="0"/>
    <n v="0"/>
    <n v="0"/>
  </r>
  <r>
    <s v="ORD1007"/>
    <d v="2023-03-03T00:00:00"/>
    <x v="0"/>
    <x v="5"/>
    <x v="1"/>
    <s v="Electronics"/>
    <n v="0"/>
    <n v="0"/>
    <n v="981.36020408163256"/>
    <n v="0.01"/>
    <s v="Unknown"/>
    <x v="0"/>
    <n v="0"/>
    <x v="5"/>
    <x v="0"/>
    <n v="0"/>
    <n v="0"/>
  </r>
  <r>
    <s v="ORD901"/>
    <d v="2023-08-25T00:00:00"/>
    <x v="3"/>
    <x v="1"/>
    <x v="6"/>
    <s v="Electronics"/>
    <n v="0"/>
    <n v="0"/>
    <n v="1836.89"/>
    <n v="0.1"/>
    <s v="Cash"/>
    <x v="1"/>
    <n v="0"/>
    <x v="3"/>
    <x v="0"/>
    <n v="0"/>
    <n v="0"/>
  </r>
  <r>
    <s v="ORD924"/>
    <d v="2023-08-01T00:00:00"/>
    <x v="3"/>
    <x v="4"/>
    <x v="0"/>
    <s v="Electronics"/>
    <n v="13"/>
    <n v="9126.1208723404252"/>
    <n v="1002.870425531915"/>
    <n v="0.15"/>
    <s v="Transfer"/>
    <x v="4"/>
    <n v="11081.71820212766"/>
    <x v="3"/>
    <x v="0"/>
    <n v="1955.5973297872351"/>
    <n v="0.17647058823529405"/>
  </r>
  <r>
    <s v="ORD1078"/>
    <d v="2023-08-21T00:00:00"/>
    <x v="5"/>
    <x v="3"/>
    <x v="5"/>
    <s v="Home Appliances"/>
    <n v="0"/>
    <n v="0"/>
    <n v="214.46"/>
    <n v="0.01"/>
    <s v="Cash"/>
    <x v="3"/>
    <n v="0"/>
    <x v="3"/>
    <x v="0"/>
    <n v="0"/>
    <n v="0"/>
  </r>
  <r>
    <s v="ORD982"/>
    <d v="2023-12-19T00:00:00"/>
    <x v="5"/>
    <x v="1"/>
    <x v="1"/>
    <s v="Electronics"/>
    <n v="0"/>
    <n v="0"/>
    <n v="981.36020408163256"/>
    <n v="0"/>
    <s v="Cash"/>
    <x v="3"/>
    <n v="0"/>
    <x v="10"/>
    <x v="0"/>
    <n v="0"/>
    <n v="0"/>
  </r>
  <r>
    <s v="ORD966"/>
    <d v="2023-01-23T00:00:00"/>
    <x v="0"/>
    <x v="1"/>
    <x v="0"/>
    <s v="Electronics"/>
    <n v="0"/>
    <n v="0"/>
    <n v="1002.870425531915"/>
    <n v="0.08"/>
    <s v="Cash"/>
    <x v="0"/>
    <n v="0"/>
    <x v="1"/>
    <x v="0"/>
    <n v="0"/>
    <n v="0"/>
  </r>
  <r>
    <s v="ORD1017"/>
    <d v="2023-03-03T00:00:00"/>
    <x v="4"/>
    <x v="4"/>
    <x v="6"/>
    <s v="Electronics"/>
    <n v="0"/>
    <n v="0"/>
    <n v="961.05661016949136"/>
    <n v="0"/>
    <s v="Cash"/>
    <x v="0"/>
    <n v="0"/>
    <x v="5"/>
    <x v="0"/>
    <n v="0"/>
    <n v="0"/>
  </r>
  <r>
    <s v="ORD1022"/>
    <d v="2023-12-05T00:00:00"/>
    <x v="5"/>
    <x v="4"/>
    <x v="0"/>
    <s v="Electronics"/>
    <n v="8"/>
    <n v="5616.0743829787234"/>
    <n v="1002.870425531915"/>
    <n v="0"/>
    <s v="Pos"/>
    <x v="2"/>
    <n v="8022.9634042553198"/>
    <x v="10"/>
    <x v="0"/>
    <n v="2406.8890212765964"/>
    <n v="0.30000000000000004"/>
  </r>
  <r>
    <s v="ORD1068"/>
    <d v="2023-11-28T00:00:00"/>
    <x v="2"/>
    <x v="0"/>
    <x v="4"/>
    <s v="Electronics"/>
    <n v="16"/>
    <n v="12387.493333333327"/>
    <n v="1106.0261904761899"/>
    <n v="0"/>
    <s v="Cash"/>
    <x v="1"/>
    <n v="17696.419047619038"/>
    <x v="2"/>
    <x v="0"/>
    <n v="5308.9257142857114"/>
    <n v="0.3"/>
  </r>
  <r>
    <s v="ORD926"/>
    <d v="2023-06-24T00:00:00"/>
    <x v="2"/>
    <x v="3"/>
    <x v="3"/>
    <s v="Electronics"/>
    <n v="0"/>
    <n v="0"/>
    <n v="1079.5765957446808"/>
    <n v="0"/>
    <s v="Cash"/>
    <x v="0"/>
    <n v="0"/>
    <x v="11"/>
    <x v="0"/>
    <n v="0"/>
    <n v="0"/>
  </r>
  <r>
    <s v="ORD927"/>
    <d v="2023-03-08T00:00:00"/>
    <x v="2"/>
    <x v="4"/>
    <x v="2"/>
    <s v="Groceries"/>
    <n v="0"/>
    <n v="0"/>
    <n v="936.79681818181825"/>
    <n v="0"/>
    <s v="Transfer"/>
    <x v="2"/>
    <n v="0"/>
    <x v="5"/>
    <x v="0"/>
    <n v="0"/>
    <n v="0"/>
  </r>
  <r>
    <s v="ORD1075"/>
    <d v="2023-06-07T00:00:00"/>
    <x v="0"/>
    <x v="1"/>
    <x v="2"/>
    <s v="Groceries"/>
    <n v="4"/>
    <n v="2623.0310909090908"/>
    <n v="936.79681818181825"/>
    <n v="0.06"/>
    <s v="Transfer"/>
    <x v="0"/>
    <n v="3522.3560363636366"/>
    <x v="11"/>
    <x v="0"/>
    <n v="899.32494545454574"/>
    <n v="0.2553191489361703"/>
  </r>
  <r>
    <s v="ORD1015"/>
    <d v="2023-06-30T00:00:00"/>
    <x v="3"/>
    <x v="1"/>
    <x v="3"/>
    <s v="Electronics"/>
    <n v="0"/>
    <n v="0"/>
    <n v="1079.5765957446808"/>
    <n v="0"/>
    <s v="Card"/>
    <x v="3"/>
    <n v="0"/>
    <x v="11"/>
    <x v="0"/>
    <n v="0"/>
    <n v="0"/>
  </r>
  <r>
    <s v="ORD1012"/>
    <d v="2023-05-20T00:00:00"/>
    <x v="1"/>
    <x v="1"/>
    <x v="4"/>
    <s v="Electronics"/>
    <n v="14"/>
    <n v="10839.05666666666"/>
    <n v="1106.0261904761899"/>
    <n v="0"/>
    <s v="Pos"/>
    <x v="0"/>
    <n v="15484.366666666658"/>
    <x v="7"/>
    <x v="0"/>
    <n v="4645.3099999999977"/>
    <n v="0.30000000000000004"/>
  </r>
  <r>
    <s v="ORD1026"/>
    <d v="2023-09-23T00:00:00"/>
    <x v="5"/>
    <x v="1"/>
    <x v="5"/>
    <s v="Home Appliances"/>
    <n v="8"/>
    <n v="2502.9759999999997"/>
    <n v="446.96"/>
    <n v="0"/>
    <s v="Card"/>
    <x v="2"/>
    <n v="3575.68"/>
    <x v="9"/>
    <x v="0"/>
    <n v="1072.7040000000002"/>
    <n v="0.30000000000000004"/>
  </r>
  <r>
    <s v="ORD916"/>
    <d v="2023-09-30T00:00:00"/>
    <x v="0"/>
    <x v="4"/>
    <x v="1"/>
    <s v="Electronics"/>
    <n v="0"/>
    <n v="0"/>
    <n v="791.84"/>
    <n v="0"/>
    <s v="Card"/>
    <x v="1"/>
    <n v="0"/>
    <x v="9"/>
    <x v="0"/>
    <n v="0"/>
    <n v="0"/>
  </r>
  <r>
    <s v="ORD952"/>
    <d v="2023-03-29T00:00:00"/>
    <x v="2"/>
    <x v="4"/>
    <x v="5"/>
    <s v="Home Appliances"/>
    <n v="0"/>
    <n v="0"/>
    <n v="1470.43"/>
    <n v="0"/>
    <s v="Pos"/>
    <x v="1"/>
    <n v="0"/>
    <x v="5"/>
    <x v="0"/>
    <n v="0"/>
    <n v="0"/>
  </r>
  <r>
    <s v="ORD1089"/>
    <d v="2023-06-06T00:00:00"/>
    <x v="2"/>
    <x v="1"/>
    <x v="0"/>
    <s v="Electronics"/>
    <n v="6"/>
    <n v="4212.0557872340423"/>
    <n v="1002.870425531915"/>
    <n v="0.04"/>
    <s v="Unknown"/>
    <x v="1"/>
    <n v="5776.5336510638299"/>
    <x v="11"/>
    <x v="0"/>
    <n v="1564.4778638297876"/>
    <n v="0.2708333333333332"/>
  </r>
  <r>
    <s v="ORD1009"/>
    <d v="2023-06-21T00:00:00"/>
    <x v="0"/>
    <x v="1"/>
    <x v="0"/>
    <s v="Electronics"/>
    <n v="0"/>
    <n v="0"/>
    <n v="1522.92"/>
    <n v="0"/>
    <s v="Pos"/>
    <x v="3"/>
    <n v="0"/>
    <x v="11"/>
    <x v="0"/>
    <n v="0"/>
    <n v="0"/>
  </r>
  <r>
    <s v="ORD1025"/>
    <d v="2023-05-07T00:00:00"/>
    <x v="5"/>
    <x v="1"/>
    <x v="4"/>
    <s v="Electronics"/>
    <n v="0"/>
    <n v="0"/>
    <n v="1980.92"/>
    <n v="0.16"/>
    <s v="Cash"/>
    <x v="3"/>
    <n v="0"/>
    <x v="7"/>
    <x v="0"/>
    <n v="0"/>
    <n v="0"/>
  </r>
  <r>
    <s v="ORD925"/>
    <d v="2023-06-05T00:00:00"/>
    <x v="1"/>
    <x v="5"/>
    <x v="2"/>
    <s v="Groceries"/>
    <n v="0"/>
    <n v="0"/>
    <n v="936.79681818181825"/>
    <n v="0.11"/>
    <s v="Card"/>
    <x v="4"/>
    <n v="0"/>
    <x v="11"/>
    <x v="0"/>
    <n v="0"/>
    <n v="0"/>
  </r>
  <r>
    <s v="ORD1081"/>
    <d v="2023-06-20T00:00:00"/>
    <x v="5"/>
    <x v="1"/>
    <x v="0"/>
    <s v="Electronics"/>
    <n v="1"/>
    <n v="1370.2429999999999"/>
    <n v="1957.49"/>
    <n v="0.2"/>
    <s v="Card"/>
    <x v="1"/>
    <n v="1565.9920000000002"/>
    <x v="11"/>
    <x v="0"/>
    <n v="195.74900000000025"/>
    <n v="0.12500000000000014"/>
  </r>
  <r>
    <s v="ORD907"/>
    <d v="2023-05-06T00:00:00"/>
    <x v="5"/>
    <x v="4"/>
    <x v="1"/>
    <s v="Electronics"/>
    <n v="0"/>
    <n v="0"/>
    <n v="981.36020408163256"/>
    <n v="0"/>
    <s v="Pos"/>
    <x v="1"/>
    <n v="0"/>
    <x v="7"/>
    <x v="0"/>
    <n v="0"/>
    <n v="0"/>
  </r>
  <r>
    <s v="ORD1034"/>
    <d v="2023-03-31T00:00:00"/>
    <x v="3"/>
    <x v="0"/>
    <x v="0"/>
    <s v="Electronics"/>
    <n v="0"/>
    <n v="0"/>
    <n v="1002.870425531915"/>
    <n v="0.09"/>
    <s v="Pos"/>
    <x v="0"/>
    <n v="0"/>
    <x v="5"/>
    <x v="0"/>
    <n v="0"/>
    <n v="0"/>
  </r>
  <r>
    <s v="ORD1079"/>
    <d v="2023-06-25T00:00:00"/>
    <x v="0"/>
    <x v="5"/>
    <x v="6"/>
    <s v="Electronics"/>
    <n v="0"/>
    <n v="0"/>
    <n v="583.92999999999995"/>
    <n v="0"/>
    <s v="Cash"/>
    <x v="1"/>
    <n v="0"/>
    <x v="11"/>
    <x v="0"/>
    <n v="0"/>
    <n v="0"/>
  </r>
  <r>
    <s v="ORD1074"/>
    <d v="2023-03-18T00:00:00"/>
    <x v="3"/>
    <x v="2"/>
    <x v="3"/>
    <s v="Electronics"/>
    <n v="0"/>
    <n v="0"/>
    <n v="1079.5765957446808"/>
    <n v="0"/>
    <s v="Cash"/>
    <x v="4"/>
    <n v="0"/>
    <x v="5"/>
    <x v="0"/>
    <n v="0"/>
    <n v="0"/>
  </r>
  <r>
    <s v="ORD1051"/>
    <d v="2023-03-05T00:00:00"/>
    <x v="0"/>
    <x v="5"/>
    <x v="0"/>
    <s v="Electronics"/>
    <n v="0"/>
    <n v="0"/>
    <n v="1323.9"/>
    <n v="0.01"/>
    <s v="Card"/>
    <x v="4"/>
    <n v="0"/>
    <x v="5"/>
    <x v="0"/>
    <n v="0"/>
    <n v="0"/>
  </r>
  <r>
    <s v="ORD1028"/>
    <d v="2023-12-07T00:00:00"/>
    <x v="4"/>
    <x v="1"/>
    <x v="5"/>
    <s v="Home Appliances"/>
    <n v="0"/>
    <n v="0"/>
    <n v="1017.3087234042553"/>
    <n v="0"/>
    <s v="Cash"/>
    <x v="3"/>
    <n v="0"/>
    <x v="10"/>
    <x v="0"/>
    <n v="0"/>
    <n v="0"/>
  </r>
  <r>
    <s v="ORD1021"/>
    <d v="2023-07-01T00:00:00"/>
    <x v="2"/>
    <x v="3"/>
    <x v="5"/>
    <s v="Home Appliances"/>
    <n v="0"/>
    <n v="0"/>
    <n v="1934.14"/>
    <n v="0"/>
    <s v="Pos"/>
    <x v="4"/>
    <n v="0"/>
    <x v="4"/>
    <x v="0"/>
    <n v="0"/>
    <n v="0"/>
  </r>
  <r>
    <s v="ORD944"/>
    <d v="2023-10-16T00:00:00"/>
    <x v="5"/>
    <x v="0"/>
    <x v="0"/>
    <s v="Electronics"/>
    <n v="0"/>
    <n v="0"/>
    <n v="1002.870425531915"/>
    <n v="0"/>
    <s v="Cash"/>
    <x v="4"/>
    <n v="0"/>
    <x v="6"/>
    <x v="0"/>
    <n v="0"/>
    <n v="0"/>
  </r>
  <r>
    <s v="ORD978"/>
    <d v="2023-02-13T00:00:00"/>
    <x v="3"/>
    <x v="2"/>
    <x v="5"/>
    <s v="Home Appliances"/>
    <n v="18"/>
    <n v="12818.089914893615"/>
    <n v="1017.3087234042553"/>
    <n v="0"/>
    <s v="Transfer"/>
    <x v="4"/>
    <n v="18311.557021276596"/>
    <x v="0"/>
    <x v="0"/>
    <n v="5493.467106382981"/>
    <n v="0.30000000000000004"/>
  </r>
  <r>
    <s v="ORD1028"/>
    <d v="2023-12-17T00:00:00"/>
    <x v="1"/>
    <x v="5"/>
    <x v="0"/>
    <s v="Electronics"/>
    <n v="0"/>
    <n v="0"/>
    <n v="1002.870425531915"/>
    <n v="0"/>
    <s v="Cash"/>
    <x v="1"/>
    <n v="0"/>
    <x v="10"/>
    <x v="0"/>
    <n v="0"/>
    <n v="0"/>
  </r>
  <r>
    <s v="ORD922"/>
    <d v="2024-01-22T00:00:00"/>
    <x v="4"/>
    <x v="2"/>
    <x v="0"/>
    <s v="Electronics"/>
    <n v="0"/>
    <n v="0"/>
    <n v="1002.870425531915"/>
    <n v="0"/>
    <s v="Card"/>
    <x v="3"/>
    <n v="0"/>
    <x v="1"/>
    <x v="1"/>
    <n v="0"/>
    <n v="0"/>
  </r>
  <r>
    <s v="ORD1093"/>
    <d v="2023-07-21T00:00:00"/>
    <x v="4"/>
    <x v="5"/>
    <x v="5"/>
    <s v="Home Appliances"/>
    <n v="0"/>
    <n v="0"/>
    <n v="925.84"/>
    <n v="0"/>
    <s v="Unknown"/>
    <x v="3"/>
    <n v="0"/>
    <x v="4"/>
    <x v="0"/>
    <n v="0"/>
    <n v="0"/>
  </r>
  <r>
    <s v="ORD985"/>
    <d v="2023-11-01T00:00:00"/>
    <x v="0"/>
    <x v="3"/>
    <x v="0"/>
    <s v="Electronics"/>
    <n v="0"/>
    <n v="0"/>
    <n v="669.3"/>
    <n v="0"/>
    <s v="Unknown"/>
    <x v="0"/>
    <n v="0"/>
    <x v="2"/>
    <x v="0"/>
    <n v="0"/>
    <n v="0"/>
  </r>
  <r>
    <s v="ORD1089"/>
    <d v="2024-01-03T00:00:00"/>
    <x v="0"/>
    <x v="0"/>
    <x v="1"/>
    <s v="Electronics"/>
    <n v="0"/>
    <n v="0"/>
    <n v="981.36020408163256"/>
    <n v="0"/>
    <s v="Unknown"/>
    <x v="2"/>
    <n v="0"/>
    <x v="1"/>
    <x v="1"/>
    <n v="0"/>
    <n v="0"/>
  </r>
  <r>
    <s v="ORD977"/>
    <d v="2023-11-18T00:00:00"/>
    <x v="3"/>
    <x v="0"/>
    <x v="4"/>
    <s v="Electronics"/>
    <n v="0"/>
    <n v="0"/>
    <n v="409.39"/>
    <n v="0"/>
    <s v="Cash"/>
    <x v="0"/>
    <n v="0"/>
    <x v="2"/>
    <x v="0"/>
    <n v="0"/>
    <n v="0"/>
  </r>
  <r>
    <s v="ORD924"/>
    <d v="2023-05-07T00:00:00"/>
    <x v="2"/>
    <x v="1"/>
    <x v="2"/>
    <s v="Groceries"/>
    <n v="0"/>
    <n v="0"/>
    <n v="787.52"/>
    <n v="0"/>
    <s v="Cash"/>
    <x v="2"/>
    <n v="0"/>
    <x v="7"/>
    <x v="0"/>
    <n v="0"/>
    <n v="0"/>
  </r>
  <r>
    <s v="ORD1039"/>
    <d v="2023-05-14T00:00:00"/>
    <x v="5"/>
    <x v="3"/>
    <x v="5"/>
    <s v="Home Appliances"/>
    <n v="0"/>
    <n v="0"/>
    <n v="301.02999999999997"/>
    <n v="0"/>
    <s v="Unknown"/>
    <x v="2"/>
    <n v="0"/>
    <x v="7"/>
    <x v="0"/>
    <n v="0"/>
    <n v="0"/>
  </r>
  <r>
    <s v="ORD943"/>
    <d v="2023-09-19T00:00:00"/>
    <x v="2"/>
    <x v="5"/>
    <x v="2"/>
    <s v="Groceries"/>
    <n v="0"/>
    <n v="0"/>
    <n v="936.79681818181825"/>
    <n v="0"/>
    <s v="Card"/>
    <x v="1"/>
    <n v="0"/>
    <x v="9"/>
    <x v="0"/>
    <n v="0"/>
    <n v="0"/>
  </r>
  <r>
    <s v="ORD998"/>
    <d v="2023-12-24T00:00:00"/>
    <x v="0"/>
    <x v="5"/>
    <x v="2"/>
    <s v="Groceries"/>
    <n v="5"/>
    <n v="2009.0349999999999"/>
    <n v="574.01"/>
    <n v="0.17"/>
    <s v="Pos"/>
    <x v="4"/>
    <n v="2382.1415000000002"/>
    <x v="10"/>
    <x v="0"/>
    <n v="373.10650000000032"/>
    <n v="0.15662650602409642"/>
  </r>
  <r>
    <s v="ORD908"/>
    <d v="2023-11-27T00:00:00"/>
    <x v="5"/>
    <x v="1"/>
    <x v="0"/>
    <s v="Electronics"/>
    <n v="0"/>
    <n v="0"/>
    <n v="922.12"/>
    <n v="0"/>
    <s v="Pos"/>
    <x v="0"/>
    <n v="0"/>
    <x v="2"/>
    <x v="0"/>
    <n v="0"/>
    <n v="0"/>
  </r>
  <r>
    <s v="ORD953"/>
    <d v="2023-06-28T00:00:00"/>
    <x v="5"/>
    <x v="2"/>
    <x v="4"/>
    <s v="Electronics"/>
    <n v="0"/>
    <n v="0"/>
    <n v="1106.0261904761899"/>
    <n v="0"/>
    <s v="Cash"/>
    <x v="4"/>
    <n v="0"/>
    <x v="11"/>
    <x v="0"/>
    <n v="0"/>
    <n v="0"/>
  </r>
  <r>
    <s v="ORD1100"/>
    <d v="2024-01-26T00:00:00"/>
    <x v="3"/>
    <x v="5"/>
    <x v="4"/>
    <s v="Electronics"/>
    <n v="0"/>
    <n v="0"/>
    <n v="1215.6300000000001"/>
    <n v="0"/>
    <s v="Unknown"/>
    <x v="0"/>
    <n v="0"/>
    <x v="1"/>
    <x v="1"/>
    <n v="0"/>
    <n v="0"/>
  </r>
  <r>
    <s v="ORD966"/>
    <d v="2023-03-08T00:00:00"/>
    <x v="1"/>
    <x v="2"/>
    <x v="3"/>
    <s v="Electronics"/>
    <n v="0"/>
    <n v="0"/>
    <n v="1661.47"/>
    <n v="0"/>
    <s v="Cash"/>
    <x v="2"/>
    <n v="0"/>
    <x v="5"/>
    <x v="0"/>
    <n v="0"/>
    <n v="0"/>
  </r>
  <r>
    <s v="ORD924"/>
    <d v="2023-12-07T00:00:00"/>
    <x v="0"/>
    <x v="5"/>
    <x v="5"/>
    <s v="Home Appliances"/>
    <n v="11"/>
    <n v="7833.2771702127648"/>
    <n v="1017.3087234042553"/>
    <n v="0.24"/>
    <s v="Cash"/>
    <x v="1"/>
    <n v="8504.7009276595745"/>
    <x v="10"/>
    <x v="0"/>
    <n v="671.42375744680976"/>
    <n v="7.894736842105278E-2"/>
  </r>
  <r>
    <s v="ORD1093"/>
    <d v="2023-08-04T00:00:00"/>
    <x v="0"/>
    <x v="1"/>
    <x v="3"/>
    <s v="Electronics"/>
    <n v="4"/>
    <n v="4746.3919999999998"/>
    <n v="1695.14"/>
    <n v="0"/>
    <s v="Pos"/>
    <x v="3"/>
    <n v="6780.56"/>
    <x v="3"/>
    <x v="0"/>
    <n v="2034.1680000000006"/>
    <n v="0.30000000000000004"/>
  </r>
  <r>
    <s v="ORD944"/>
    <d v="2023-06-14T00:00:00"/>
    <x v="0"/>
    <x v="0"/>
    <x v="2"/>
    <s v="Groceries"/>
    <n v="0"/>
    <n v="0"/>
    <n v="1151.82"/>
    <n v="0"/>
    <s v="Transfer"/>
    <x v="4"/>
    <n v="0"/>
    <x v="11"/>
    <x v="0"/>
    <n v="0"/>
    <n v="0"/>
  </r>
  <r>
    <s v="ORD957"/>
    <d v="2023-04-14T00:00:00"/>
    <x v="4"/>
    <x v="5"/>
    <x v="6"/>
    <s v="Electronics"/>
    <n v="7"/>
    <n v="4709.1773898305073"/>
    <n v="961.05661016949136"/>
    <n v="0.28999999999999998"/>
    <s v="Cash"/>
    <x v="3"/>
    <n v="4776.4513525423718"/>
    <x v="8"/>
    <x v="0"/>
    <n v="67.273962711864442"/>
    <n v="1.4084507042253532E-2"/>
  </r>
  <r>
    <s v="ORD935"/>
    <d v="2023-01-03T00:00:00"/>
    <x v="1"/>
    <x v="3"/>
    <x v="2"/>
    <s v="Groceries"/>
    <n v="18"/>
    <n v="11803.639909090909"/>
    <n v="936.79681818181825"/>
    <n v="0"/>
    <s v="Unknown"/>
    <x v="0"/>
    <n v="16862.342727272728"/>
    <x v="1"/>
    <x v="0"/>
    <n v="5058.7028181818187"/>
    <n v="0.30000000000000004"/>
  </r>
  <r>
    <s v="ORD1027"/>
    <d v="2023-04-08T00:00:00"/>
    <x v="2"/>
    <x v="2"/>
    <x v="6"/>
    <s v="Electronics"/>
    <n v="0"/>
    <n v="0"/>
    <n v="961.05661016949136"/>
    <n v="0.26"/>
    <s v="Transfer"/>
    <x v="1"/>
    <n v="0"/>
    <x v="8"/>
    <x v="0"/>
    <n v="0"/>
    <n v="0"/>
  </r>
  <r>
    <s v="ORD1060"/>
    <d v="2023-07-12T00:00:00"/>
    <x v="0"/>
    <x v="2"/>
    <x v="4"/>
    <s v="Electronics"/>
    <n v="0"/>
    <n v="0"/>
    <n v="1106.0261904761899"/>
    <n v="0"/>
    <s v="Pos"/>
    <x v="4"/>
    <n v="0"/>
    <x v="4"/>
    <x v="0"/>
    <n v="0"/>
    <n v="0"/>
  </r>
  <r>
    <s v="ORD905"/>
    <d v="2023-04-25T00:00:00"/>
    <x v="3"/>
    <x v="3"/>
    <x v="0"/>
    <s v="Electronics"/>
    <n v="12"/>
    <n v="14667.743999999999"/>
    <n v="1746.16"/>
    <n v="0.28999999999999998"/>
    <s v="Pos"/>
    <x v="0"/>
    <n v="14877.2832"/>
    <x v="8"/>
    <x v="0"/>
    <n v="209.53920000000107"/>
    <n v="1.4084507042253471E-2"/>
  </r>
  <r>
    <s v="ORD961"/>
    <d v="2023-09-23T00:00:00"/>
    <x v="3"/>
    <x v="5"/>
    <x v="3"/>
    <s v="Electronics"/>
    <n v="0"/>
    <n v="0"/>
    <n v="1079.5765957446808"/>
    <n v="0"/>
    <s v="Unknown"/>
    <x v="3"/>
    <n v="0"/>
    <x v="9"/>
    <x v="0"/>
    <n v="0"/>
    <n v="0"/>
  </r>
  <r>
    <s v="ORD908"/>
    <d v="2023-06-23T00:00:00"/>
    <x v="5"/>
    <x v="4"/>
    <x v="1"/>
    <s v="Electronics"/>
    <n v="2"/>
    <n v="1373.9042857142856"/>
    <n v="981.36020408163256"/>
    <n v="0"/>
    <s v="Cash"/>
    <x v="2"/>
    <n v="1962.7204081632651"/>
    <x v="11"/>
    <x v="0"/>
    <n v="588.81612244897951"/>
    <n v="0.3"/>
  </r>
  <r>
    <s v="ORD1026"/>
    <d v="2023-02-07T00:00:00"/>
    <x v="0"/>
    <x v="4"/>
    <x v="4"/>
    <s v="Electronics"/>
    <n v="0"/>
    <n v="0"/>
    <n v="1228.74"/>
    <n v="0"/>
    <s v="Cash"/>
    <x v="4"/>
    <n v="0"/>
    <x v="0"/>
    <x v="0"/>
    <n v="0"/>
    <n v="0"/>
  </r>
  <r>
    <s v="ORD1085"/>
    <d v="2023-01-22T00:00:00"/>
    <x v="0"/>
    <x v="1"/>
    <x v="2"/>
    <s v="Groceries"/>
    <n v="0"/>
    <n v="0"/>
    <n v="936.79681818181825"/>
    <n v="0.09"/>
    <s v="Cash"/>
    <x v="3"/>
    <n v="0"/>
    <x v="1"/>
    <x v="0"/>
    <n v="0"/>
    <n v="0"/>
  </r>
  <r>
    <s v="ORD906"/>
    <d v="2024-02-01T00:00:00"/>
    <x v="2"/>
    <x v="2"/>
    <x v="3"/>
    <s v="Electronics"/>
    <n v="0"/>
    <n v="0"/>
    <n v="1079.5765957446808"/>
    <n v="0"/>
    <s v="Cash"/>
    <x v="1"/>
    <n v="0"/>
    <x v="0"/>
    <x v="1"/>
    <n v="0"/>
    <n v="0"/>
  </r>
  <r>
    <s v="ORD1079"/>
    <d v="2023-08-07T00:00:00"/>
    <x v="4"/>
    <x v="1"/>
    <x v="2"/>
    <s v="Groceries"/>
    <n v="0"/>
    <n v="0"/>
    <n v="936.79681818181825"/>
    <n v="0.13"/>
    <s v="Cash"/>
    <x v="2"/>
    <n v="0"/>
    <x v="3"/>
    <x v="0"/>
    <n v="0"/>
    <n v="0"/>
  </r>
  <r>
    <s v="ORD923"/>
    <d v="2023-10-29T00:00:00"/>
    <x v="0"/>
    <x v="1"/>
    <x v="2"/>
    <s v="Groceries"/>
    <n v="19"/>
    <n v="26360.200999999997"/>
    <n v="1981.97"/>
    <n v="0.26"/>
    <s v="Cash"/>
    <x v="3"/>
    <n v="27866.498199999998"/>
    <x v="6"/>
    <x v="0"/>
    <n v="1506.2972000000009"/>
    <n v="5.4054054054054092E-2"/>
  </r>
  <r>
    <s v="ORD914"/>
    <d v="2023-03-06T00:00:00"/>
    <x v="5"/>
    <x v="1"/>
    <x v="0"/>
    <s v="Electronics"/>
    <n v="0"/>
    <n v="0"/>
    <n v="1208.81"/>
    <n v="0.3"/>
    <s v="Pos"/>
    <x v="1"/>
    <n v="0"/>
    <x v="5"/>
    <x v="0"/>
    <n v="0"/>
    <n v="0"/>
  </r>
  <r>
    <s v="ORD1022"/>
    <d v="2023-12-03T00:00:00"/>
    <x v="0"/>
    <x v="0"/>
    <x v="4"/>
    <s v="Electronics"/>
    <n v="0"/>
    <n v="0"/>
    <n v="1106.0261904761899"/>
    <n v="0"/>
    <s v="Cash"/>
    <x v="1"/>
    <n v="0"/>
    <x v="10"/>
    <x v="0"/>
    <n v="0"/>
    <n v="0"/>
  </r>
  <r>
    <s v="ORD1082"/>
    <d v="2023-06-04T00:00:00"/>
    <x v="1"/>
    <x v="3"/>
    <x v="3"/>
    <s v="Electronics"/>
    <n v="0"/>
    <n v="0"/>
    <n v="1079.5765957446808"/>
    <n v="0"/>
    <s v="Cash"/>
    <x v="3"/>
    <n v="0"/>
    <x v="11"/>
    <x v="0"/>
    <n v="0"/>
    <n v="0"/>
  </r>
  <r>
    <s v="ORD988"/>
    <d v="2023-07-30T00:00:00"/>
    <x v="5"/>
    <x v="4"/>
    <x v="4"/>
    <s v="Electronics"/>
    <n v="0"/>
    <n v="0"/>
    <n v="1106.0261904761899"/>
    <n v="0.17"/>
    <s v="Card"/>
    <x v="2"/>
    <n v="0"/>
    <x v="4"/>
    <x v="0"/>
    <n v="0"/>
    <n v="0"/>
  </r>
  <r>
    <s v="ORD909"/>
    <d v="2023-05-01T00:00:00"/>
    <x v="5"/>
    <x v="0"/>
    <x v="6"/>
    <s v="Electronics"/>
    <n v="4"/>
    <n v="2807.924"/>
    <n v="1002.83"/>
    <n v="0"/>
    <s v="Transfer"/>
    <x v="4"/>
    <n v="4011.32"/>
    <x v="7"/>
    <x v="0"/>
    <n v="1203.3960000000002"/>
    <n v="0.30000000000000004"/>
  </r>
  <r>
    <s v="ORD921"/>
    <d v="2023-01-31T00:00:00"/>
    <x v="3"/>
    <x v="3"/>
    <x v="3"/>
    <s v="Electronics"/>
    <n v="16"/>
    <n v="12091.257872340424"/>
    <n v="1079.5765957446808"/>
    <n v="0.13"/>
    <s v="Cash"/>
    <x v="1"/>
    <n v="15027.706212765957"/>
    <x v="1"/>
    <x v="0"/>
    <n v="2936.4483404255334"/>
    <n v="0.19540229885057481"/>
  </r>
  <r>
    <s v="ORD947"/>
    <d v="2023-12-04T00:00:00"/>
    <x v="5"/>
    <x v="2"/>
    <x v="4"/>
    <s v="Electronics"/>
    <n v="0"/>
    <n v="0"/>
    <n v="1528.36"/>
    <n v="0"/>
    <s v="Card"/>
    <x v="0"/>
    <n v="0"/>
    <x v="10"/>
    <x v="0"/>
    <n v="0"/>
    <n v="0"/>
  </r>
  <r>
    <s v="ORD955"/>
    <d v="2024-01-23T00:00:00"/>
    <x v="0"/>
    <x v="4"/>
    <x v="5"/>
    <s v="Home Appliances"/>
    <n v="0"/>
    <n v="0"/>
    <n v="1017.3087234042553"/>
    <n v="0.23"/>
    <s v="Pos"/>
    <x v="1"/>
    <n v="0"/>
    <x v="1"/>
    <x v="1"/>
    <n v="0"/>
    <n v="0"/>
  </r>
  <r>
    <s v="ORD1084"/>
    <d v="2023-12-14T00:00:00"/>
    <x v="3"/>
    <x v="3"/>
    <x v="3"/>
    <s v="Electronics"/>
    <n v="0"/>
    <n v="0"/>
    <n v="1079.5765957446808"/>
    <n v="0"/>
    <s v="Transfer"/>
    <x v="2"/>
    <n v="0"/>
    <x v="10"/>
    <x v="0"/>
    <n v="0"/>
    <n v="0"/>
  </r>
  <r>
    <s v="ORD933"/>
    <d v="2023-01-08T00:00:00"/>
    <x v="3"/>
    <x v="3"/>
    <x v="5"/>
    <s v="Home Appliances"/>
    <n v="3"/>
    <n v="2136.3483191489358"/>
    <n v="1017.3087234042553"/>
    <n v="0"/>
    <s v="Cash"/>
    <x v="0"/>
    <n v="3051.926170212766"/>
    <x v="1"/>
    <x v="0"/>
    <n v="915.57785106383017"/>
    <n v="0.3"/>
  </r>
  <r>
    <s v="ORD970"/>
    <d v="2023-07-05T00:00:00"/>
    <x v="3"/>
    <x v="0"/>
    <x v="0"/>
    <s v="Electronics"/>
    <n v="1"/>
    <n v="702.00929787234043"/>
    <n v="1002.870425531915"/>
    <n v="0"/>
    <s v="Cash"/>
    <x v="1"/>
    <n v="1002.870425531915"/>
    <x v="4"/>
    <x v="0"/>
    <n v="300.86112765957455"/>
    <n v="0.30000000000000004"/>
  </r>
  <r>
    <s v="ORD1018"/>
    <d v="2023-01-09T00:00:00"/>
    <x v="5"/>
    <x v="1"/>
    <x v="2"/>
    <s v="Groceries"/>
    <n v="0"/>
    <n v="0"/>
    <n v="936.79681818181825"/>
    <n v="7.0000000000000007E-2"/>
    <s v="Pos"/>
    <x v="3"/>
    <n v="0"/>
    <x v="1"/>
    <x v="0"/>
    <n v="0"/>
    <n v="0"/>
  </r>
  <r>
    <s v="ORD970"/>
    <d v="2023-11-09T00:00:00"/>
    <x v="1"/>
    <x v="1"/>
    <x v="2"/>
    <s v="Groceries"/>
    <n v="0"/>
    <n v="0"/>
    <n v="936.79681818181825"/>
    <n v="0"/>
    <s v="Cash"/>
    <x v="2"/>
    <n v="0"/>
    <x v="2"/>
    <x v="0"/>
    <n v="0"/>
    <n v="0"/>
  </r>
  <r>
    <s v="ORD1058"/>
    <d v="2023-12-02T00:00:00"/>
    <x v="0"/>
    <x v="1"/>
    <x v="4"/>
    <s v="Electronics"/>
    <n v="0"/>
    <n v="0"/>
    <n v="1106.0261904761899"/>
    <n v="0.17"/>
    <s v="Pos"/>
    <x v="2"/>
    <n v="0"/>
    <x v="10"/>
    <x v="0"/>
    <n v="0"/>
    <n v="0"/>
  </r>
  <r>
    <s v="ORD915"/>
    <d v="2024-01-01T00:00:00"/>
    <x v="3"/>
    <x v="4"/>
    <x v="4"/>
    <s v="Electronics"/>
    <n v="0"/>
    <n v="0"/>
    <n v="99.02"/>
    <n v="0.1"/>
    <s v="Pos"/>
    <x v="1"/>
    <n v="0"/>
    <x v="1"/>
    <x v="1"/>
    <n v="0"/>
    <n v="0"/>
  </r>
  <r>
    <s v="ORD928"/>
    <d v="2023-09-19T00:00:00"/>
    <x v="0"/>
    <x v="1"/>
    <x v="1"/>
    <s v="Electronics"/>
    <n v="0"/>
    <n v="0"/>
    <n v="981.36020408163256"/>
    <n v="0"/>
    <s v="Transfer"/>
    <x v="4"/>
    <n v="0"/>
    <x v="9"/>
    <x v="0"/>
    <n v="0"/>
    <n v="0"/>
  </r>
  <r>
    <s v="ORD936"/>
    <d v="2023-01-13T00:00:00"/>
    <x v="1"/>
    <x v="2"/>
    <x v="6"/>
    <s v="Electronics"/>
    <n v="0"/>
    <n v="0"/>
    <n v="961.05661016949136"/>
    <n v="0"/>
    <s v="Pos"/>
    <x v="3"/>
    <n v="0"/>
    <x v="1"/>
    <x v="0"/>
    <n v="0"/>
    <n v="0"/>
  </r>
  <r>
    <s v="ORD941"/>
    <d v="2023-07-08T00:00:00"/>
    <x v="0"/>
    <x v="4"/>
    <x v="1"/>
    <s v="Electronics"/>
    <n v="1"/>
    <n v="686.9521428571428"/>
    <n v="981.36020408163256"/>
    <n v="0"/>
    <s v="Pos"/>
    <x v="0"/>
    <n v="981.36020408163256"/>
    <x v="4"/>
    <x v="0"/>
    <n v="294.40806122448976"/>
    <n v="0.3"/>
  </r>
  <r>
    <s v="ORD1082"/>
    <d v="2023-06-26T00:00:00"/>
    <x v="2"/>
    <x v="5"/>
    <x v="6"/>
    <s v="Electronics"/>
    <n v="0"/>
    <n v="0"/>
    <n v="961.05661016949136"/>
    <n v="0"/>
    <s v="Cash"/>
    <x v="3"/>
    <n v="0"/>
    <x v="11"/>
    <x v="0"/>
    <n v="0"/>
    <n v="0"/>
  </r>
  <r>
    <s v="ORD957"/>
    <d v="2023-10-17T00:00:00"/>
    <x v="5"/>
    <x v="2"/>
    <x v="5"/>
    <s v="Home Appliances"/>
    <n v="17"/>
    <n v="12105.973808510636"/>
    <n v="1017.3087234042553"/>
    <n v="0"/>
    <s v="Card"/>
    <x v="4"/>
    <n v="17294.248297872338"/>
    <x v="6"/>
    <x v="0"/>
    <n v="5188.2744893617019"/>
    <n v="0.30000000000000004"/>
  </r>
  <r>
    <s v="ORD949"/>
    <d v="2023-10-22T00:00:00"/>
    <x v="3"/>
    <x v="1"/>
    <x v="0"/>
    <s v="Electronics"/>
    <n v="12"/>
    <n v="8424.1115744680847"/>
    <n v="1002.870425531915"/>
    <n v="0"/>
    <s v="Cash"/>
    <x v="1"/>
    <n v="12034.44510638298"/>
    <x v="6"/>
    <x v="0"/>
    <n v="3610.3335319148955"/>
    <n v="0.3"/>
  </r>
  <r>
    <s v="ORD1087"/>
    <d v="2023-07-29T00:00:00"/>
    <x v="1"/>
    <x v="1"/>
    <x v="0"/>
    <s v="Electronics"/>
    <n v="17"/>
    <n v="11934.158063829787"/>
    <n v="1002.870425531915"/>
    <n v="0.15"/>
    <s v="Transfer"/>
    <x v="1"/>
    <n v="14491.477648936172"/>
    <x v="4"/>
    <x v="0"/>
    <n v="2557.3195851063847"/>
    <n v="0.17647058823529421"/>
  </r>
  <r>
    <s v="ORD958"/>
    <d v="2023-10-19T00:00:00"/>
    <x v="4"/>
    <x v="2"/>
    <x v="1"/>
    <s v="Electronics"/>
    <n v="0"/>
    <n v="0"/>
    <n v="981.36020408163256"/>
    <n v="0"/>
    <s v="Card"/>
    <x v="3"/>
    <n v="0"/>
    <x v="6"/>
    <x v="0"/>
    <n v="0"/>
    <n v="0"/>
  </r>
  <r>
    <s v="ORD920"/>
    <d v="2023-07-29T00:00:00"/>
    <x v="5"/>
    <x v="2"/>
    <x v="1"/>
    <s v="Electronics"/>
    <n v="0"/>
    <n v="0"/>
    <n v="1764.07"/>
    <n v="0"/>
    <s v="Cash"/>
    <x v="2"/>
    <n v="0"/>
    <x v="4"/>
    <x v="0"/>
    <n v="0"/>
    <n v="0"/>
  </r>
  <r>
    <s v="ORD930"/>
    <d v="2023-08-03T00:00:00"/>
    <x v="3"/>
    <x v="3"/>
    <x v="3"/>
    <s v="Electronics"/>
    <n v="4"/>
    <n v="3022.814468085106"/>
    <n v="1079.5765957446808"/>
    <n v="0.01"/>
    <s v="Cash"/>
    <x v="2"/>
    <n v="4275.1233191489364"/>
    <x v="3"/>
    <x v="0"/>
    <n v="1252.3088510638304"/>
    <n v="0.29292929292929304"/>
  </r>
  <r>
    <s v="ORD1031"/>
    <d v="2023-09-29T00:00:00"/>
    <x v="5"/>
    <x v="5"/>
    <x v="0"/>
    <s v="Electronics"/>
    <n v="0"/>
    <n v="0"/>
    <n v="1002.870425531915"/>
    <n v="0"/>
    <s v="Card"/>
    <x v="0"/>
    <n v="0"/>
    <x v="9"/>
    <x v="0"/>
    <n v="0"/>
    <n v="0"/>
  </r>
  <r>
    <s v="ORD1055"/>
    <d v="2023-11-12T00:00:00"/>
    <x v="0"/>
    <x v="0"/>
    <x v="4"/>
    <s v="Electronics"/>
    <n v="0"/>
    <n v="0"/>
    <n v="1106.0261904761899"/>
    <n v="0"/>
    <s v="Card"/>
    <x v="1"/>
    <n v="0"/>
    <x v="2"/>
    <x v="0"/>
    <n v="0"/>
    <n v="0"/>
  </r>
  <r>
    <s v="ORD1079"/>
    <d v="2023-03-10T00:00:00"/>
    <x v="4"/>
    <x v="0"/>
    <x v="6"/>
    <s v="Electronics"/>
    <n v="17"/>
    <n v="3724.5809999999997"/>
    <n v="312.99"/>
    <n v="0"/>
    <s v="Unknown"/>
    <x v="1"/>
    <n v="5320.83"/>
    <x v="5"/>
    <x v="0"/>
    <n v="1596.2490000000003"/>
    <n v="0.30000000000000004"/>
  </r>
  <r>
    <s v="ORD997"/>
    <d v="2023-06-14T00:00:00"/>
    <x v="5"/>
    <x v="1"/>
    <x v="3"/>
    <s v="Electronics"/>
    <n v="9"/>
    <n v="6801.3325531914888"/>
    <n v="1079.5765957446808"/>
    <n v="0"/>
    <s v="Pos"/>
    <x v="0"/>
    <n v="9716.1893617021269"/>
    <x v="11"/>
    <x v="0"/>
    <n v="2914.8568085106381"/>
    <n v="0.3"/>
  </r>
  <r>
    <s v="ORD1048"/>
    <d v="2023-09-18T00:00:00"/>
    <x v="5"/>
    <x v="4"/>
    <x v="0"/>
    <s v="Electronics"/>
    <n v="11"/>
    <n v="14687.672999999999"/>
    <n v="1907.49"/>
    <n v="0"/>
    <s v="Unknown"/>
    <x v="2"/>
    <n v="20982.39"/>
    <x v="9"/>
    <x v="0"/>
    <n v="6294.7170000000006"/>
    <n v="0.30000000000000004"/>
  </r>
  <r>
    <s v="ORD1010"/>
    <d v="2023-09-23T00:00:00"/>
    <x v="3"/>
    <x v="2"/>
    <x v="3"/>
    <s v="Electronics"/>
    <n v="0"/>
    <n v="0"/>
    <n v="576.73"/>
    <n v="0"/>
    <s v="Transfer"/>
    <x v="2"/>
    <n v="0"/>
    <x v="9"/>
    <x v="0"/>
    <n v="0"/>
    <n v="0"/>
  </r>
  <r>
    <s v="ORD943"/>
    <d v="2023-05-28T00:00:00"/>
    <x v="3"/>
    <x v="2"/>
    <x v="6"/>
    <s v="Electronics"/>
    <n v="0"/>
    <n v="0"/>
    <n v="564.47"/>
    <n v="0"/>
    <s v="Cash"/>
    <x v="3"/>
    <n v="0"/>
    <x v="7"/>
    <x v="0"/>
    <n v="0"/>
    <n v="0"/>
  </r>
  <r>
    <s v="ORD1053"/>
    <d v="2023-01-21T00:00:00"/>
    <x v="2"/>
    <x v="1"/>
    <x v="2"/>
    <s v="Groceries"/>
    <n v="12"/>
    <n v="7869.0932727272721"/>
    <n v="936.79681818181825"/>
    <n v="0"/>
    <s v="Pos"/>
    <x v="2"/>
    <n v="11241.561818181819"/>
    <x v="1"/>
    <x v="0"/>
    <n v="3372.468545454547"/>
    <n v="0.30000000000000004"/>
  </r>
  <r>
    <s v="ORD1016"/>
    <d v="2023-06-01T00:00:00"/>
    <x v="0"/>
    <x v="0"/>
    <x v="5"/>
    <s v="Home Appliances"/>
    <n v="0"/>
    <n v="0"/>
    <n v="991.58"/>
    <n v="0"/>
    <s v="Unknown"/>
    <x v="3"/>
    <n v="0"/>
    <x v="11"/>
    <x v="0"/>
    <n v="0"/>
    <n v="0"/>
  </r>
  <r>
    <s v="ORD990"/>
    <d v="2023-02-10T00:00:00"/>
    <x v="2"/>
    <x v="0"/>
    <x v="4"/>
    <s v="Electronics"/>
    <n v="0"/>
    <n v="0"/>
    <n v="1106.0261904761899"/>
    <n v="0"/>
    <s v="Unknown"/>
    <x v="3"/>
    <n v="0"/>
    <x v="0"/>
    <x v="0"/>
    <n v="0"/>
    <n v="0"/>
  </r>
  <r>
    <s v="ORD1080"/>
    <d v="2023-12-19T00:00:00"/>
    <x v="1"/>
    <x v="1"/>
    <x v="2"/>
    <s v="Groceries"/>
    <n v="0"/>
    <n v="0"/>
    <n v="936.79681818181825"/>
    <n v="0"/>
    <s v="Cash"/>
    <x v="3"/>
    <n v="0"/>
    <x v="10"/>
    <x v="0"/>
    <n v="0"/>
    <n v="0"/>
  </r>
  <r>
    <s v="ORD962"/>
    <d v="2023-03-12T00:00:00"/>
    <x v="5"/>
    <x v="3"/>
    <x v="1"/>
    <s v="Electronics"/>
    <n v="0"/>
    <n v="0"/>
    <n v="311.35000000000002"/>
    <n v="0"/>
    <s v="Cash"/>
    <x v="2"/>
    <n v="0"/>
    <x v="5"/>
    <x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4BBE7E-3F2C-554C-8D1E-69A7142B91C7}" name="PivotTable1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6" firstHeaderRow="1" firstDataRow="1" firstDataCol="1"/>
  <pivotFields count="18">
    <pivotField showAll="0"/>
    <pivotField numFmtId="14" showAll="0"/>
    <pivotField showAll="0">
      <items count="7">
        <item x="1"/>
        <item x="3"/>
        <item x="5"/>
        <item x="0"/>
        <item x="4"/>
        <item x="2"/>
        <item t="default"/>
      </items>
    </pivotField>
    <pivotField showAll="0">
      <items count="7">
        <item x="2"/>
        <item x="0"/>
        <item x="5"/>
        <item x="1"/>
        <item x="4"/>
        <item x="3"/>
        <item t="default"/>
      </items>
    </pivotField>
    <pivotField axis="axisRow" showAll="0" sortType="descending">
      <items count="8">
        <item x="6"/>
        <item x="4"/>
        <item x="1"/>
        <item x="5"/>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6">
        <item x="1"/>
        <item x="3"/>
        <item x="2"/>
        <item x="4"/>
        <item x="0"/>
        <item t="default"/>
      </items>
    </pivotField>
    <pivotField numFmtId="1" showAll="0"/>
    <pivotField showAll="0"/>
    <pivotField showAll="0">
      <items count="3">
        <item x="0"/>
        <item x="1"/>
        <item t="default"/>
      </items>
    </pivotField>
    <pivotField dataField="1" numFmtId="1" showAll="0"/>
    <pivotField numFmtId="9" showAll="0"/>
    <pivotField dragToRow="0" dragToCol="0" dragToPage="0" showAll="0" defaultSubtotal="0"/>
  </pivotFields>
  <rowFields count="1">
    <field x="4"/>
  </rowFields>
  <rowItems count="8">
    <i>
      <x v="3"/>
    </i>
    <i>
      <x v="6"/>
    </i>
    <i>
      <x v="5"/>
    </i>
    <i>
      <x v="2"/>
    </i>
    <i>
      <x/>
    </i>
    <i>
      <x v="1"/>
    </i>
    <i>
      <x v="4"/>
    </i>
    <i t="grand">
      <x/>
    </i>
  </rowItems>
  <colItems count="1">
    <i/>
  </colItems>
  <dataFields count="1">
    <dataField name=" Profit"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C973EB-616F-1D42-BAD9-F85CE691CC5C}" name="PivotTable1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18">
    <pivotField showAll="0"/>
    <pivotField numFmtId="14" showAll="0"/>
    <pivotField showAll="0">
      <items count="7">
        <item x="1"/>
        <item x="3"/>
        <item x="5"/>
        <item x="0"/>
        <item x="4"/>
        <item x="2"/>
        <item t="default"/>
      </items>
    </pivotField>
    <pivotField showAll="0">
      <items count="7">
        <item x="2"/>
        <item x="0"/>
        <item x="5"/>
        <item x="1"/>
        <item x="4"/>
        <item x="3"/>
        <item t="default"/>
      </items>
    </pivotField>
    <pivotField axis="axisRow" showAll="0" measureFilter="1" sortType="descending">
      <items count="8">
        <item x="6"/>
        <item x="4"/>
        <item x="1"/>
        <item x="5"/>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6">
        <item x="1"/>
        <item x="3"/>
        <item x="2"/>
        <item x="4"/>
        <item x="0"/>
        <item t="default"/>
      </items>
    </pivotField>
    <pivotField dataField="1" numFmtId="1" showAll="0"/>
    <pivotField showAll="0"/>
    <pivotField showAll="0">
      <items count="3">
        <item x="0"/>
        <item x="1"/>
        <item t="default"/>
      </items>
    </pivotField>
    <pivotField numFmtId="1" showAll="0"/>
    <pivotField numFmtId="9" showAll="0"/>
    <pivotField dragToRow="0" dragToCol="0" dragToPage="0" showAll="0" defaultSubtotal="0"/>
  </pivotFields>
  <rowFields count="1">
    <field x="4"/>
  </rowFields>
  <rowItems count="6">
    <i>
      <x v="3"/>
    </i>
    <i>
      <x v="6"/>
    </i>
    <i>
      <x v="5"/>
    </i>
    <i>
      <x/>
    </i>
    <i>
      <x v="1"/>
    </i>
    <i t="grand">
      <x/>
    </i>
  </rowItems>
  <colItems count="1">
    <i/>
  </colItems>
  <dataFields count="1">
    <dataField name=" Revenue" fld="12"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AD7B67-0086-3445-98F8-295FFAE9B6C5}" name="PivotTable1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5:T33" firstHeaderRow="1" firstDataRow="1" firstDataCol="1"/>
  <pivotFields count="18">
    <pivotField showAll="0"/>
    <pivotField numFmtId="14" showAll="0"/>
    <pivotField showAll="0">
      <items count="7">
        <item x="1"/>
        <item x="3"/>
        <item x="5"/>
        <item x="0"/>
        <item x="4"/>
        <item x="2"/>
        <item t="default"/>
      </items>
    </pivotField>
    <pivotField showAll="0">
      <items count="7">
        <item x="2"/>
        <item x="0"/>
        <item x="5"/>
        <item x="1"/>
        <item x="4"/>
        <item x="3"/>
        <item t="default"/>
      </items>
    </pivotField>
    <pivotField axis="axisRow" showAll="0" sortType="descending">
      <items count="8">
        <item x="6"/>
        <item x="4"/>
        <item x="1"/>
        <item x="5"/>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6">
        <item x="1"/>
        <item x="3"/>
        <item x="2"/>
        <item x="4"/>
        <item x="0"/>
        <item t="default"/>
      </items>
    </pivotField>
    <pivotField numFmtId="1" showAll="0"/>
    <pivotField showAll="0"/>
    <pivotField showAll="0">
      <items count="3">
        <item x="0"/>
        <item x="1"/>
        <item t="default"/>
      </items>
    </pivotField>
    <pivotField numFmtId="1" showAll="0"/>
    <pivotField dataField="1" numFmtId="9" showAll="0"/>
    <pivotField dragToRow="0" dragToCol="0" dragToPage="0" showAll="0" defaultSubtotal="0"/>
  </pivotFields>
  <rowFields count="1">
    <field x="4"/>
  </rowFields>
  <rowItems count="8">
    <i>
      <x v="6"/>
    </i>
    <i>
      <x v="3"/>
    </i>
    <i>
      <x v="2"/>
    </i>
    <i>
      <x v="4"/>
    </i>
    <i>
      <x v="5"/>
    </i>
    <i>
      <x/>
    </i>
    <i>
      <x v="1"/>
    </i>
    <i t="grand">
      <x/>
    </i>
  </rowItems>
  <colItems count="1">
    <i/>
  </colItems>
  <dataFields count="1">
    <dataField name=" Profit Margin" fld="16"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266EAD-B903-F643-B7B8-050943D3522D}"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1:T14" firstHeaderRow="1" firstDataRow="1" firstDataCol="1"/>
  <pivotFields count="18">
    <pivotField showAll="0"/>
    <pivotField numFmtId="14" showAll="0"/>
    <pivotField showAll="0">
      <items count="7">
        <item x="1"/>
        <item x="3"/>
        <item x="5"/>
        <item x="0"/>
        <item x="4"/>
        <item x="2"/>
        <item t="default"/>
      </items>
    </pivotField>
    <pivotField showAll="0">
      <items count="7">
        <item x="2"/>
        <item x="0"/>
        <item x="5"/>
        <item x="1"/>
        <item x="4"/>
        <item x="3"/>
        <item t="default"/>
      </items>
    </pivotField>
    <pivotField showAll="0"/>
    <pivotField showAll="0"/>
    <pivotField showAll="0"/>
    <pivotField showAll="0"/>
    <pivotField showAll="0"/>
    <pivotField showAll="0"/>
    <pivotField showAll="0"/>
    <pivotField showAll="0">
      <items count="6">
        <item x="1"/>
        <item x="3"/>
        <item x="2"/>
        <item x="4"/>
        <item x="0"/>
        <item t="default"/>
      </items>
    </pivotField>
    <pivotField dataField="1" numFmtId="1" showAll="0"/>
    <pivotField axis="axisRow" showAll="0" sortType="descending">
      <items count="13">
        <item x="1"/>
        <item x="0"/>
        <item x="5"/>
        <item x="8"/>
        <item x="7"/>
        <item x="11"/>
        <item x="4"/>
        <item x="3"/>
        <item x="9"/>
        <item x="6"/>
        <item x="2"/>
        <item x="1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 showAll="0"/>
    <pivotField numFmtId="9" showAll="0"/>
    <pivotField dragToRow="0" dragToCol="0" dragToPage="0" showAll="0" defaultSubtotal="0"/>
  </pivotFields>
  <rowFields count="1">
    <field x="13"/>
  </rowFields>
  <rowItems count="13">
    <i>
      <x/>
    </i>
    <i>
      <x v="8"/>
    </i>
    <i>
      <x v="1"/>
    </i>
    <i>
      <x v="7"/>
    </i>
    <i>
      <x v="5"/>
    </i>
    <i>
      <x v="9"/>
    </i>
    <i>
      <x v="11"/>
    </i>
    <i>
      <x v="10"/>
    </i>
    <i>
      <x v="6"/>
    </i>
    <i>
      <x v="4"/>
    </i>
    <i>
      <x v="3"/>
    </i>
    <i>
      <x v="2"/>
    </i>
    <i t="grand">
      <x/>
    </i>
  </rowItems>
  <colItems count="1">
    <i/>
  </colItems>
  <dataFields count="1">
    <dataField name=" Revenue" fld="12"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28B8FE-B374-A042-AE0E-7404827E81EE}" name="PivotTable1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16:T23" firstHeaderRow="1" firstDataRow="1" firstDataCol="1"/>
  <pivotFields count="18">
    <pivotField showAll="0"/>
    <pivotField numFmtId="14" showAll="0"/>
    <pivotField showAll="0">
      <items count="7">
        <item x="1"/>
        <item x="3"/>
        <item x="5"/>
        <item x="0"/>
        <item x="4"/>
        <item x="2"/>
        <item t="default"/>
      </items>
    </pivotField>
    <pivotField axis="axisRow" showAll="0" sortType="descending">
      <items count="7">
        <item x="2"/>
        <item x="0"/>
        <item x="5"/>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6">
        <item x="1"/>
        <item x="3"/>
        <item x="2"/>
        <item x="4"/>
        <item x="0"/>
        <item t="default"/>
      </items>
    </pivotField>
    <pivotField dataField="1" numFmtId="1" showAll="0"/>
    <pivotField showAll="0"/>
    <pivotField showAll="0">
      <items count="3">
        <item x="0"/>
        <item x="1"/>
        <item t="default"/>
      </items>
    </pivotField>
    <pivotField numFmtId="1" showAll="0"/>
    <pivotField numFmtId="9" showAll="0"/>
    <pivotField dragToRow="0" dragToCol="0" dragToPage="0" showAll="0" defaultSubtotal="0"/>
  </pivotFields>
  <rowFields count="1">
    <field x="3"/>
  </rowFields>
  <rowItems count="7">
    <i>
      <x v="3"/>
    </i>
    <i>
      <x v="4"/>
    </i>
    <i>
      <x v="2"/>
    </i>
    <i>
      <x v="1"/>
    </i>
    <i>
      <x v="5"/>
    </i>
    <i>
      <x/>
    </i>
    <i t="grand">
      <x/>
    </i>
  </rowItems>
  <colItems count="1">
    <i/>
  </colItems>
  <dataFields count="1">
    <dataField name=" Revenue" fld="12"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52D41A-A797-7046-BEF0-F95399132174}" name="PivotTable1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B16" firstHeaderRow="1" firstDataRow="1" firstDataCol="1"/>
  <pivotFields count="18">
    <pivotField showAll="0"/>
    <pivotField numFmtId="14" showAll="0"/>
    <pivotField axis="axisRow" showAll="0" sortType="descending">
      <items count="7">
        <item x="1"/>
        <item x="3"/>
        <item x="5"/>
        <item x="0"/>
        <item x="4"/>
        <item x="2"/>
        <item t="default"/>
      </items>
      <autoSortScope>
        <pivotArea dataOnly="0" outline="0" fieldPosition="0">
          <references count="1">
            <reference field="4294967294" count="1" selected="0">
              <x v="0"/>
            </reference>
          </references>
        </pivotArea>
      </autoSortScope>
    </pivotField>
    <pivotField showAll="0">
      <items count="7">
        <item x="2"/>
        <item x="0"/>
        <item x="5"/>
        <item x="1"/>
        <item x="4"/>
        <item x="3"/>
        <item t="default"/>
      </items>
    </pivotField>
    <pivotField showAll="0"/>
    <pivotField showAll="0"/>
    <pivotField showAll="0"/>
    <pivotField showAll="0"/>
    <pivotField showAll="0"/>
    <pivotField showAll="0"/>
    <pivotField showAll="0"/>
    <pivotField showAll="0">
      <items count="6">
        <item x="1"/>
        <item x="3"/>
        <item x="2"/>
        <item x="4"/>
        <item x="0"/>
        <item t="default"/>
      </items>
    </pivotField>
    <pivotField dataField="1" numFmtId="1" showAll="0"/>
    <pivotField showAll="0"/>
    <pivotField showAll="0">
      <items count="3">
        <item x="0"/>
        <item x="1"/>
        <item t="default"/>
      </items>
    </pivotField>
    <pivotField numFmtId="1" showAll="0"/>
    <pivotField numFmtId="9" showAll="0"/>
    <pivotField dragToRow="0" dragToCol="0" dragToPage="0" showAll="0" defaultSubtotal="0"/>
  </pivotFields>
  <rowFields count="1">
    <field x="2"/>
  </rowFields>
  <rowItems count="7">
    <i>
      <x v="2"/>
    </i>
    <i>
      <x v="3"/>
    </i>
    <i>
      <x/>
    </i>
    <i>
      <x v="4"/>
    </i>
    <i>
      <x v="1"/>
    </i>
    <i>
      <x v="5"/>
    </i>
    <i t="grand">
      <x/>
    </i>
  </rowItems>
  <colItems count="1">
    <i/>
  </colItems>
  <dataFields count="1">
    <dataField name=" Revenue" fld="12"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F6D0B5-D9FF-F94B-A6D9-DC6EE26AA49A}"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0:B36" firstHeaderRow="1" firstDataRow="1" firstDataCol="1"/>
  <pivotFields count="18">
    <pivotField showAll="0"/>
    <pivotField numFmtId="14" showAll="0"/>
    <pivotField showAll="0">
      <items count="7">
        <item x="1"/>
        <item x="3"/>
        <item x="5"/>
        <item x="0"/>
        <item x="4"/>
        <item x="2"/>
        <item t="default"/>
      </items>
    </pivotField>
    <pivotField showAll="0">
      <items count="7">
        <item x="2"/>
        <item x="0"/>
        <item x="5"/>
        <item x="1"/>
        <item x="4"/>
        <item x="3"/>
        <item t="default"/>
      </items>
    </pivotField>
    <pivotField showAll="0"/>
    <pivotField showAll="0"/>
    <pivotField showAll="0"/>
    <pivotField showAll="0"/>
    <pivotField showAll="0"/>
    <pivotField showAll="0"/>
    <pivotField showAll="0"/>
    <pivotField axis="axisRow" dataField="1" showAll="0"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 numFmtId="1" showAll="0"/>
    <pivotField showAll="0"/>
    <pivotField showAll="0">
      <items count="3">
        <item x="0"/>
        <item x="1"/>
        <item t="default"/>
      </items>
    </pivotField>
    <pivotField numFmtId="1" showAll="0"/>
    <pivotField numFmtId="9" showAll="0"/>
    <pivotField dragToRow="0" dragToCol="0" dragToPage="0" showAll="0" defaultSubtotal="0"/>
  </pivotFields>
  <rowFields count="1">
    <field x="11"/>
  </rowFields>
  <rowItems count="6">
    <i>
      <x/>
    </i>
    <i>
      <x v="3"/>
    </i>
    <i>
      <x v="4"/>
    </i>
    <i>
      <x v="1"/>
    </i>
    <i>
      <x v="2"/>
    </i>
    <i t="grand">
      <x/>
    </i>
  </rowItems>
  <colItems count="1">
    <i/>
  </colItems>
  <dataFields count="1">
    <dataField name=" OrderStatus" fld="1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4"/>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 chart="0" format="5">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D4B842-E200-1E4D-9299-E7E867C9516F}" sourceName="Region">
  <pivotTables>
    <pivotTable tabId="3" name="PivotTable16"/>
    <pivotTable tabId="3" name="PivotTable10"/>
    <pivotTable tabId="3" name="PivotTable11"/>
    <pivotTable tabId="3" name="PivotTable12"/>
    <pivotTable tabId="3" name="PivotTable13"/>
    <pivotTable tabId="3" name="PivotTable14"/>
    <pivotTable tabId="3" name="PivotTable15"/>
  </pivotTables>
  <data>
    <tabular pivotCacheId="1808949526">
      <items count="6">
        <i x="1" s="1"/>
        <i x="3" s="1"/>
        <i x="5"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8B5F044A-CC16-954C-9C5F-CE905B2F69FD}" sourceName="SalesRep">
  <pivotTables>
    <pivotTable tabId="3" name="PivotTable16"/>
    <pivotTable tabId="3" name="PivotTable10"/>
    <pivotTable tabId="3" name="PivotTable11"/>
    <pivotTable tabId="3" name="PivotTable12"/>
    <pivotTable tabId="3" name="PivotTable13"/>
    <pivotTable tabId="3" name="PivotTable14"/>
    <pivotTable tabId="3" name="PivotTable15"/>
  </pivotTables>
  <data>
    <tabular pivotCacheId="1808949526">
      <items count="6">
        <i x="2" s="1"/>
        <i x="0" s="1"/>
        <i x="5"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8C999EA1-46AB-BE45-9841-E40749A7AAEC}" sourceName="OrderStatus">
  <pivotTables>
    <pivotTable tabId="3" name="PivotTable16"/>
    <pivotTable tabId="3" name="PivotTable10"/>
    <pivotTable tabId="3" name="PivotTable11"/>
    <pivotTable tabId="3" name="PivotTable12"/>
    <pivotTable tabId="3" name="PivotTable13"/>
    <pivotTable tabId="3" name="PivotTable14"/>
    <pivotTable tabId="3" name="PivotTable15"/>
  </pivotTables>
  <data>
    <tabular pivotCacheId="1808949526">
      <items count="5">
        <i x="1" s="1"/>
        <i x="3" s="1"/>
        <i x="2"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2014443-2FEC-3741-B275-B3B12C54FA6A}" sourceName="Year">
  <pivotTables>
    <pivotTable tabId="3" name="PivotTable16"/>
    <pivotTable tabId="3" name="PivotTable10"/>
    <pivotTable tabId="3" name="PivotTable11"/>
    <pivotTable tabId="3" name="PivotTable12"/>
    <pivotTable tabId="3" name="PivotTable13"/>
    <pivotTable tabId="3" name="PivotTable14"/>
    <pivotTable tabId="3" name="PivotTable15"/>
  </pivotTables>
  <data>
    <tabular pivotCacheId="180894952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BF75547-4125-EC4C-93BB-3D85E99A6309}" cache="Slicer_Region" caption="Region" showCaption="0" rowHeight="251883"/>
  <slicer name="SalesRep" xr10:uid="{F7280A98-97E8-FC46-BA79-7FE0C6481A46}" cache="Slicer_SalesRep" caption="SalesRep" showCaption="0" rowHeight="251883"/>
  <slicer name="OrderStatus" xr10:uid="{22B5108C-0BE9-C540-8E77-DC576084EFEC}" cache="Slicer_OrderStatus" caption="OrderStatus" showCaption="0" rowHeight="251883"/>
  <slicer name="Year" xr10:uid="{AA443CDF-3D0B-544E-8771-73A69A274929}" cache="Slicer_Year" caption="Year"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1D48C9-7FC4-FE4D-818F-B2B42567AB2E}" name="Table1" displayName="Table1" ref="A1:Q999" totalsRowShown="0" headerRowDxfId="4">
  <autoFilter ref="A1:Q999" xr:uid="{9C1D48C9-7FC4-FE4D-818F-B2B42567AB2E}"/>
  <tableColumns count="17">
    <tableColumn id="1" xr3:uid="{7586E8A5-266C-E646-AEB8-5B02D869E446}" name="OrderID"/>
    <tableColumn id="2" xr3:uid="{D31E0EE5-E3B9-B64C-AF88-FDA0944949BE}" name="OrderDate" dataDxfId="3"/>
    <tableColumn id="3" xr3:uid="{888B2561-57FA-4948-96A9-58FF6B5B4C8D}" name="Region"/>
    <tableColumn id="4" xr3:uid="{61B979B3-379F-B64E-BEA2-7C543E07ED57}" name="SalesRep"/>
    <tableColumn id="5" xr3:uid="{B21CA66A-27EA-244A-9F5D-F3050F1B5F87}" name="Product"/>
    <tableColumn id="6" xr3:uid="{CD9C1535-BEAF-5A4D-86AA-D25100C0F0E0}" name="Category"/>
    <tableColumn id="7" xr3:uid="{A17D1155-8E1E-6D42-8BDF-003B781D46A5}" name="UnitsSold"/>
    <tableColumn id="27" xr3:uid="{D51D1523-C517-8C47-8999-5B62CEED25BD}" name="Cost">
      <calculatedColumnFormula>Table1[[#This Row],[UnitPrice]]*0.7*Table1[[#This Row],[UnitsSold]]</calculatedColumnFormula>
    </tableColumn>
    <tableColumn id="8" xr3:uid="{6FA4E169-F3E2-074A-9050-4FEAAEDF33DF}" name="UnitPrice"/>
    <tableColumn id="9" xr3:uid="{33E7411F-EA00-AD42-A570-B52DD5DF1AF1}" name="Discount"/>
    <tableColumn id="10" xr3:uid="{6089C743-6169-964D-B67E-4B280FCF9B96}" name="PaymentMethod"/>
    <tableColumn id="11" xr3:uid="{CB1A1D8F-675E-7940-8E10-77B78D7E4BD8}" name="OrderStatus"/>
    <tableColumn id="12" xr3:uid="{16FEE487-80FF-E74F-B30B-2460DDB1F35E}" name="Revenue" dataDxfId="2">
      <calculatedColumnFormula>G2*I2*(1-J2)</calculatedColumnFormula>
    </tableColumn>
    <tableColumn id="13" xr3:uid="{92B20275-663F-F249-BAAA-C8855594636D}" name="Month">
      <calculatedColumnFormula>TEXT(B2, "mmmm")</calculatedColumnFormula>
    </tableColumn>
    <tableColumn id="14" xr3:uid="{72D2082D-71C2-2842-ACDE-B580C4DA1FAC}" name="Year">
      <calculatedColumnFormula>TEXT(B2, "yyyy")</calculatedColumnFormula>
    </tableColumn>
    <tableColumn id="24" xr3:uid="{AA783544-1CA2-2F4E-9F04-91FA52002B1A}" name="Profit" dataDxfId="1">
      <calculatedColumnFormula>Table1[[#This Row],[Revenue]]-Table1[[#This Row],[Cost]]</calculatedColumnFormula>
    </tableColumn>
    <tableColumn id="26" xr3:uid="{D7AEF5BB-447F-E141-81F2-9487583EC40C}" name="Profit Margin" dataDxfId="0">
      <calculatedColumnFormula>IF(Table1[[#This Row],[UnitsSold]]*Table1[[#This Row],[UnitPrice]]*(1-Table1[[#This Row],[Discount]])=0, 0, ((Table1[[#This Row],[UnitsSold]]*Table1[[#This Row],[UnitPrice]]*(1-Table1[[#This Row],[Discount]])) - (Table1[[#This Row],[UnitsSold]]*Table1[[#This Row],[UnitPrice]]*0.7)) / (Table1[[#This Row],[UnitsSold]]*Table1[[#This Row],[UnitPrice]]*(1-Table1[[#This Row],[Discount]])))</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597C40-631E-DC41-8BF3-7EA29716E3B0}" name="Table4" displayName="Table4" ref="W1:X7" totalsRowShown="0">
  <autoFilter ref="W1:X7" xr:uid="{EA597C40-631E-DC41-8BF3-7EA29716E3B0}"/>
  <tableColumns count="2">
    <tableColumn id="1" xr3:uid="{959FA12A-BEC4-EC41-BEBD-BDBDDA82DD06}" name="Product"/>
    <tableColumn id="2" xr3:uid="{90CC900A-C880-BE47-A505-A2B6BDB932DA}" name="correct category"/>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35B28-5906-504B-9D62-576B2F217CDD}">
  <dimension ref="A1:K1001"/>
  <sheetViews>
    <sheetView workbookViewId="0">
      <selection activeCell="M990" sqref="M990"/>
    </sheetView>
  </sheetViews>
  <sheetFormatPr baseColWidth="10" defaultRowHeight="16" x14ac:dyDescent="0.2"/>
  <sheetData>
    <row r="1" spans="1:11" x14ac:dyDescent="0.2">
      <c r="A1" t="s">
        <v>0</v>
      </c>
      <c r="B1" t="s">
        <v>1</v>
      </c>
      <c r="C1" t="s">
        <v>2</v>
      </c>
      <c r="D1" t="s">
        <v>3</v>
      </c>
      <c r="E1" t="s">
        <v>4</v>
      </c>
      <c r="F1" t="s">
        <v>5</v>
      </c>
      <c r="G1" t="s">
        <v>6</v>
      </c>
      <c r="H1" t="s">
        <v>7</v>
      </c>
      <c r="I1" t="s">
        <v>8</v>
      </c>
      <c r="J1" t="s">
        <v>9</v>
      </c>
      <c r="K1" t="s">
        <v>10</v>
      </c>
    </row>
    <row r="2" spans="1:11" x14ac:dyDescent="0.2">
      <c r="A2" t="s">
        <v>11</v>
      </c>
      <c r="B2" s="1">
        <v>44984</v>
      </c>
      <c r="C2" t="s">
        <v>12</v>
      </c>
      <c r="D2" t="s">
        <v>13</v>
      </c>
      <c r="E2" t="s">
        <v>14</v>
      </c>
      <c r="F2" t="s">
        <v>15</v>
      </c>
      <c r="G2">
        <v>8</v>
      </c>
      <c r="J2" t="s">
        <v>16</v>
      </c>
      <c r="K2" t="s">
        <v>17</v>
      </c>
    </row>
    <row r="3" spans="1:11" x14ac:dyDescent="0.2">
      <c r="A3" t="s">
        <v>18</v>
      </c>
      <c r="B3" s="1">
        <v>44943</v>
      </c>
      <c r="C3" t="s">
        <v>12</v>
      </c>
      <c r="D3" t="s">
        <v>19</v>
      </c>
      <c r="E3" t="s">
        <v>20</v>
      </c>
      <c r="F3" t="s">
        <v>15</v>
      </c>
      <c r="H3">
        <v>62.81</v>
      </c>
      <c r="J3" t="s">
        <v>21</v>
      </c>
      <c r="K3" t="s">
        <v>22</v>
      </c>
    </row>
    <row r="4" spans="1:11" x14ac:dyDescent="0.2">
      <c r="A4" t="s">
        <v>23</v>
      </c>
      <c r="B4" s="1">
        <v>45156</v>
      </c>
      <c r="C4" t="s">
        <v>24</v>
      </c>
      <c r="E4" t="s">
        <v>25</v>
      </c>
      <c r="F4" t="s">
        <v>26</v>
      </c>
      <c r="J4" t="s">
        <v>16</v>
      </c>
      <c r="K4" t="s">
        <v>27</v>
      </c>
    </row>
    <row r="5" spans="1:11" x14ac:dyDescent="0.2">
      <c r="A5" t="s">
        <v>28</v>
      </c>
      <c r="B5" s="1">
        <v>44976</v>
      </c>
      <c r="C5" t="s">
        <v>29</v>
      </c>
      <c r="E5" t="s">
        <v>14</v>
      </c>
      <c r="G5">
        <v>9</v>
      </c>
      <c r="J5" t="s">
        <v>16</v>
      </c>
      <c r="K5" t="s">
        <v>17</v>
      </c>
    </row>
    <row r="6" spans="1:11" x14ac:dyDescent="0.2">
      <c r="A6" t="s">
        <v>30</v>
      </c>
      <c r="B6" s="1">
        <v>45248</v>
      </c>
      <c r="C6" t="s">
        <v>29</v>
      </c>
      <c r="D6" t="s">
        <v>31</v>
      </c>
      <c r="E6" t="s">
        <v>20</v>
      </c>
      <c r="F6" t="s">
        <v>26</v>
      </c>
      <c r="I6">
        <v>0.3</v>
      </c>
      <c r="J6" t="s">
        <v>16</v>
      </c>
      <c r="K6" t="s">
        <v>22</v>
      </c>
    </row>
    <row r="7" spans="1:11" x14ac:dyDescent="0.2">
      <c r="A7" t="s">
        <v>32</v>
      </c>
      <c r="B7" s="1">
        <v>45159</v>
      </c>
      <c r="C7" t="s">
        <v>29</v>
      </c>
      <c r="D7" t="s">
        <v>33</v>
      </c>
      <c r="E7" t="s">
        <v>14</v>
      </c>
      <c r="F7" t="s">
        <v>34</v>
      </c>
      <c r="K7" t="s">
        <v>35</v>
      </c>
    </row>
    <row r="8" spans="1:11" x14ac:dyDescent="0.2">
      <c r="A8" t="s">
        <v>36</v>
      </c>
      <c r="B8" s="1">
        <v>45300</v>
      </c>
      <c r="C8" t="s">
        <v>37</v>
      </c>
      <c r="D8" t="s">
        <v>33</v>
      </c>
      <c r="E8" t="s">
        <v>38</v>
      </c>
      <c r="F8" t="s">
        <v>39</v>
      </c>
      <c r="H8">
        <v>1379.44</v>
      </c>
      <c r="I8">
        <v>0.21</v>
      </c>
      <c r="J8" t="s">
        <v>40</v>
      </c>
      <c r="K8" t="s">
        <v>27</v>
      </c>
    </row>
    <row r="9" spans="1:11" x14ac:dyDescent="0.2">
      <c r="A9" t="s">
        <v>41</v>
      </c>
      <c r="B9" s="1">
        <v>45132</v>
      </c>
      <c r="C9" t="s">
        <v>24</v>
      </c>
      <c r="D9" t="s">
        <v>19</v>
      </c>
      <c r="E9" t="s">
        <v>20</v>
      </c>
      <c r="G9">
        <v>11</v>
      </c>
      <c r="J9" t="s">
        <v>42</v>
      </c>
      <c r="K9" t="s">
        <v>35</v>
      </c>
    </row>
    <row r="10" spans="1:11" x14ac:dyDescent="0.2">
      <c r="A10" t="s">
        <v>43</v>
      </c>
      <c r="B10" s="1">
        <v>44998</v>
      </c>
      <c r="C10" t="s">
        <v>37</v>
      </c>
      <c r="D10" t="s">
        <v>13</v>
      </c>
      <c r="E10" t="s">
        <v>44</v>
      </c>
      <c r="I10">
        <v>0.12</v>
      </c>
      <c r="J10" t="s">
        <v>40</v>
      </c>
      <c r="K10" t="s">
        <v>17</v>
      </c>
    </row>
    <row r="11" spans="1:11" x14ac:dyDescent="0.2">
      <c r="A11" t="s">
        <v>45</v>
      </c>
      <c r="B11" s="1">
        <v>44973</v>
      </c>
      <c r="C11" t="s">
        <v>12</v>
      </c>
      <c r="E11" t="s">
        <v>46</v>
      </c>
      <c r="F11" t="s">
        <v>15</v>
      </c>
      <c r="H11">
        <v>850.1</v>
      </c>
      <c r="J11" t="s">
        <v>42</v>
      </c>
      <c r="K11" t="s">
        <v>17</v>
      </c>
    </row>
    <row r="12" spans="1:11" x14ac:dyDescent="0.2">
      <c r="A12" t="s">
        <v>47</v>
      </c>
      <c r="B12" s="1">
        <v>45210</v>
      </c>
      <c r="C12" t="s">
        <v>12</v>
      </c>
      <c r="D12" t="s">
        <v>13</v>
      </c>
      <c r="E12" t="s">
        <v>48</v>
      </c>
      <c r="F12" t="s">
        <v>26</v>
      </c>
      <c r="J12" t="s">
        <v>40</v>
      </c>
      <c r="K12" t="s">
        <v>22</v>
      </c>
    </row>
    <row r="13" spans="1:11" x14ac:dyDescent="0.2">
      <c r="A13" t="s">
        <v>49</v>
      </c>
      <c r="B13" s="1">
        <v>45296</v>
      </c>
      <c r="C13" t="s">
        <v>24</v>
      </c>
      <c r="D13" t="s">
        <v>31</v>
      </c>
      <c r="E13" t="s">
        <v>25</v>
      </c>
      <c r="F13" t="s">
        <v>15</v>
      </c>
      <c r="G13">
        <v>17</v>
      </c>
      <c r="J13" t="s">
        <v>21</v>
      </c>
      <c r="K13" t="s">
        <v>35</v>
      </c>
    </row>
    <row r="14" spans="1:11" x14ac:dyDescent="0.2">
      <c r="A14" t="s">
        <v>50</v>
      </c>
      <c r="B14" s="1">
        <v>45118</v>
      </c>
      <c r="C14" t="s">
        <v>51</v>
      </c>
      <c r="D14" t="s">
        <v>31</v>
      </c>
      <c r="E14" t="s">
        <v>25</v>
      </c>
      <c r="H14">
        <v>655.07000000000005</v>
      </c>
      <c r="J14" t="s">
        <v>52</v>
      </c>
      <c r="K14" t="s">
        <v>35</v>
      </c>
    </row>
    <row r="15" spans="1:11" x14ac:dyDescent="0.2">
      <c r="A15" t="s">
        <v>53</v>
      </c>
      <c r="B15" s="1">
        <v>45050</v>
      </c>
      <c r="C15" t="s">
        <v>54</v>
      </c>
      <c r="D15" t="s">
        <v>19</v>
      </c>
      <c r="E15" t="s">
        <v>48</v>
      </c>
      <c r="F15" t="s">
        <v>39</v>
      </c>
      <c r="H15">
        <v>1534.01</v>
      </c>
      <c r="J15" t="s">
        <v>40</v>
      </c>
      <c r="K15" t="s">
        <v>55</v>
      </c>
    </row>
    <row r="16" spans="1:11" x14ac:dyDescent="0.2">
      <c r="A16" t="s">
        <v>56</v>
      </c>
      <c r="B16" s="1">
        <v>45237</v>
      </c>
      <c r="C16" t="s">
        <v>57</v>
      </c>
      <c r="D16" t="s">
        <v>33</v>
      </c>
      <c r="E16" t="s">
        <v>44</v>
      </c>
      <c r="F16" t="s">
        <v>15</v>
      </c>
      <c r="J16" t="s">
        <v>42</v>
      </c>
      <c r="K16" t="s">
        <v>27</v>
      </c>
    </row>
    <row r="17" spans="1:11" x14ac:dyDescent="0.2">
      <c r="A17" t="s">
        <v>58</v>
      </c>
      <c r="B17" s="1">
        <v>45042</v>
      </c>
      <c r="C17" t="s">
        <v>54</v>
      </c>
      <c r="D17" t="s">
        <v>59</v>
      </c>
      <c r="E17" t="s">
        <v>46</v>
      </c>
      <c r="G17">
        <v>18</v>
      </c>
      <c r="H17">
        <v>1181</v>
      </c>
      <c r="J17" t="s">
        <v>16</v>
      </c>
      <c r="K17" t="s">
        <v>35</v>
      </c>
    </row>
    <row r="18" spans="1:11" x14ac:dyDescent="0.2">
      <c r="A18" t="s">
        <v>60</v>
      </c>
      <c r="B18" s="1">
        <v>44943</v>
      </c>
      <c r="C18" t="s">
        <v>29</v>
      </c>
      <c r="D18" t="s">
        <v>19</v>
      </c>
      <c r="E18" t="s">
        <v>44</v>
      </c>
      <c r="F18" t="s">
        <v>15</v>
      </c>
      <c r="J18" t="s">
        <v>21</v>
      </c>
      <c r="K18" t="s">
        <v>22</v>
      </c>
    </row>
    <row r="19" spans="1:11" x14ac:dyDescent="0.2">
      <c r="A19" t="s">
        <v>61</v>
      </c>
      <c r="B19" s="1">
        <v>45169</v>
      </c>
      <c r="C19" t="s">
        <v>57</v>
      </c>
      <c r="D19" t="s">
        <v>33</v>
      </c>
      <c r="E19" t="s">
        <v>46</v>
      </c>
      <c r="F19" t="s">
        <v>26</v>
      </c>
      <c r="I19">
        <v>0.26</v>
      </c>
      <c r="K19" t="s">
        <v>27</v>
      </c>
    </row>
    <row r="20" spans="1:11" x14ac:dyDescent="0.2">
      <c r="A20" t="s">
        <v>62</v>
      </c>
      <c r="B20" s="1">
        <v>45133</v>
      </c>
      <c r="C20" t="s">
        <v>29</v>
      </c>
      <c r="E20" t="s">
        <v>25</v>
      </c>
      <c r="F20" t="s">
        <v>26</v>
      </c>
      <c r="G20">
        <v>8</v>
      </c>
      <c r="I20">
        <v>0.04</v>
      </c>
      <c r="J20" t="s">
        <v>52</v>
      </c>
      <c r="K20" t="s">
        <v>22</v>
      </c>
    </row>
    <row r="21" spans="1:11" x14ac:dyDescent="0.2">
      <c r="A21" t="s">
        <v>58</v>
      </c>
      <c r="B21" s="1">
        <v>44965</v>
      </c>
      <c r="C21" t="s">
        <v>63</v>
      </c>
      <c r="E21" t="s">
        <v>25</v>
      </c>
      <c r="G21">
        <v>4</v>
      </c>
      <c r="I21">
        <v>0.25</v>
      </c>
      <c r="J21" t="s">
        <v>40</v>
      </c>
      <c r="K21" t="s">
        <v>35</v>
      </c>
    </row>
    <row r="22" spans="1:11" x14ac:dyDescent="0.2">
      <c r="A22" t="s">
        <v>64</v>
      </c>
      <c r="B22" s="1">
        <v>45175</v>
      </c>
      <c r="C22" t="s">
        <v>63</v>
      </c>
      <c r="D22" t="s">
        <v>33</v>
      </c>
      <c r="E22" t="s">
        <v>25</v>
      </c>
      <c r="F22" t="s">
        <v>39</v>
      </c>
      <c r="G22">
        <v>2</v>
      </c>
      <c r="J22" t="s">
        <v>52</v>
      </c>
      <c r="K22" t="s">
        <v>22</v>
      </c>
    </row>
    <row r="23" spans="1:11" x14ac:dyDescent="0.2">
      <c r="A23" t="s">
        <v>65</v>
      </c>
      <c r="B23" s="1">
        <v>45301</v>
      </c>
      <c r="C23" t="s">
        <v>63</v>
      </c>
      <c r="D23" t="s">
        <v>33</v>
      </c>
      <c r="E23" t="s">
        <v>20</v>
      </c>
      <c r="F23" t="s">
        <v>34</v>
      </c>
      <c r="G23">
        <v>7</v>
      </c>
      <c r="J23" t="s">
        <v>16</v>
      </c>
      <c r="K23" t="s">
        <v>27</v>
      </c>
    </row>
    <row r="24" spans="1:11" x14ac:dyDescent="0.2">
      <c r="A24" t="s">
        <v>66</v>
      </c>
      <c r="B24" s="1">
        <v>45171</v>
      </c>
      <c r="C24" t="s">
        <v>51</v>
      </c>
      <c r="D24" t="s">
        <v>19</v>
      </c>
      <c r="E24" t="s">
        <v>44</v>
      </c>
      <c r="F24" t="s">
        <v>26</v>
      </c>
      <c r="G24">
        <v>6</v>
      </c>
      <c r="J24" t="s">
        <v>16</v>
      </c>
      <c r="K24" t="s">
        <v>17</v>
      </c>
    </row>
    <row r="25" spans="1:11" x14ac:dyDescent="0.2">
      <c r="A25" t="s">
        <v>58</v>
      </c>
      <c r="B25" s="1">
        <v>45223</v>
      </c>
      <c r="C25" t="s">
        <v>12</v>
      </c>
      <c r="D25" t="s">
        <v>31</v>
      </c>
      <c r="E25" t="s">
        <v>46</v>
      </c>
      <c r="F25" t="s">
        <v>39</v>
      </c>
      <c r="J25" t="s">
        <v>52</v>
      </c>
      <c r="K25" t="s">
        <v>35</v>
      </c>
    </row>
    <row r="26" spans="1:11" x14ac:dyDescent="0.2">
      <c r="A26" t="s">
        <v>43</v>
      </c>
      <c r="B26" s="1">
        <v>45129</v>
      </c>
      <c r="C26" t="s">
        <v>51</v>
      </c>
      <c r="D26" t="s">
        <v>13</v>
      </c>
      <c r="E26" t="s">
        <v>48</v>
      </c>
      <c r="F26" t="s">
        <v>34</v>
      </c>
      <c r="H26">
        <v>1858.75</v>
      </c>
      <c r="J26" t="s">
        <v>21</v>
      </c>
      <c r="K26" t="s">
        <v>27</v>
      </c>
    </row>
    <row r="27" spans="1:11" x14ac:dyDescent="0.2">
      <c r="A27" t="s">
        <v>67</v>
      </c>
      <c r="B27" s="1">
        <v>45202</v>
      </c>
      <c r="C27" t="s">
        <v>37</v>
      </c>
      <c r="D27" t="s">
        <v>31</v>
      </c>
      <c r="E27" t="s">
        <v>14</v>
      </c>
      <c r="F27" t="s">
        <v>15</v>
      </c>
      <c r="G27">
        <v>12</v>
      </c>
      <c r="J27" t="s">
        <v>21</v>
      </c>
      <c r="K27" t="s">
        <v>55</v>
      </c>
    </row>
    <row r="28" spans="1:11" x14ac:dyDescent="0.2">
      <c r="A28" t="s">
        <v>68</v>
      </c>
      <c r="B28" s="1">
        <v>45261</v>
      </c>
      <c r="C28" t="s">
        <v>12</v>
      </c>
      <c r="D28" t="s">
        <v>13</v>
      </c>
      <c r="E28" t="s">
        <v>25</v>
      </c>
      <c r="H28">
        <v>216.14</v>
      </c>
      <c r="I28">
        <v>0.08</v>
      </c>
      <c r="K28" t="s">
        <v>17</v>
      </c>
    </row>
    <row r="29" spans="1:11" x14ac:dyDescent="0.2">
      <c r="A29" t="s">
        <v>50</v>
      </c>
      <c r="B29" s="1">
        <v>45066</v>
      </c>
      <c r="C29" t="s">
        <v>24</v>
      </c>
      <c r="D29" t="s">
        <v>31</v>
      </c>
      <c r="E29" t="s">
        <v>20</v>
      </c>
      <c r="F29" t="s">
        <v>34</v>
      </c>
      <c r="J29" t="s">
        <v>16</v>
      </c>
      <c r="K29" t="s">
        <v>27</v>
      </c>
    </row>
    <row r="30" spans="1:11" x14ac:dyDescent="0.2">
      <c r="A30" t="s">
        <v>69</v>
      </c>
      <c r="B30" s="1">
        <v>45143</v>
      </c>
      <c r="C30" t="s">
        <v>24</v>
      </c>
      <c r="D30" t="s">
        <v>19</v>
      </c>
      <c r="E30" t="s">
        <v>46</v>
      </c>
      <c r="F30" t="s">
        <v>34</v>
      </c>
      <c r="H30">
        <v>1959.8</v>
      </c>
      <c r="K30" t="s">
        <v>22</v>
      </c>
    </row>
    <row r="31" spans="1:11" x14ac:dyDescent="0.2">
      <c r="A31" t="s">
        <v>70</v>
      </c>
      <c r="B31" s="1">
        <v>44931</v>
      </c>
      <c r="C31" t="s">
        <v>54</v>
      </c>
      <c r="D31" t="s">
        <v>19</v>
      </c>
      <c r="E31" t="s">
        <v>48</v>
      </c>
      <c r="F31" t="s">
        <v>15</v>
      </c>
      <c r="G31">
        <v>18</v>
      </c>
      <c r="J31" t="s">
        <v>40</v>
      </c>
      <c r="K31" t="s">
        <v>27</v>
      </c>
    </row>
    <row r="32" spans="1:11" x14ac:dyDescent="0.2">
      <c r="A32" t="s">
        <v>71</v>
      </c>
      <c r="B32" s="1">
        <v>45113</v>
      </c>
      <c r="C32" t="s">
        <v>12</v>
      </c>
      <c r="D32" t="s">
        <v>59</v>
      </c>
      <c r="E32" t="s">
        <v>20</v>
      </c>
      <c r="F32" t="s">
        <v>15</v>
      </c>
      <c r="J32" t="s">
        <v>40</v>
      </c>
      <c r="K32" t="s">
        <v>35</v>
      </c>
    </row>
    <row r="33" spans="1:11" x14ac:dyDescent="0.2">
      <c r="A33" t="s">
        <v>72</v>
      </c>
      <c r="B33" s="1">
        <v>45017</v>
      </c>
      <c r="C33" t="s">
        <v>57</v>
      </c>
      <c r="D33" t="s">
        <v>19</v>
      </c>
      <c r="E33" t="s">
        <v>20</v>
      </c>
      <c r="F33" t="s">
        <v>34</v>
      </c>
      <c r="H33">
        <v>1729.49</v>
      </c>
      <c r="J33" t="s">
        <v>16</v>
      </c>
      <c r="K33" t="s">
        <v>22</v>
      </c>
    </row>
    <row r="34" spans="1:11" x14ac:dyDescent="0.2">
      <c r="A34" t="s">
        <v>73</v>
      </c>
      <c r="B34" s="1">
        <v>45167</v>
      </c>
      <c r="C34" t="s">
        <v>37</v>
      </c>
      <c r="D34" t="s">
        <v>33</v>
      </c>
      <c r="E34" t="s">
        <v>25</v>
      </c>
      <c r="F34" t="s">
        <v>39</v>
      </c>
      <c r="H34">
        <v>1642.87</v>
      </c>
      <c r="J34" t="s">
        <v>40</v>
      </c>
      <c r="K34" t="s">
        <v>22</v>
      </c>
    </row>
    <row r="35" spans="1:11" x14ac:dyDescent="0.2">
      <c r="A35" t="s">
        <v>74</v>
      </c>
      <c r="B35" s="1">
        <v>45069</v>
      </c>
      <c r="C35" t="s">
        <v>54</v>
      </c>
      <c r="E35" t="s">
        <v>14</v>
      </c>
      <c r="F35" t="s">
        <v>34</v>
      </c>
      <c r="I35">
        <v>0.1</v>
      </c>
      <c r="J35" t="s">
        <v>16</v>
      </c>
      <c r="K35" t="s">
        <v>55</v>
      </c>
    </row>
    <row r="36" spans="1:11" x14ac:dyDescent="0.2">
      <c r="A36" t="s">
        <v>75</v>
      </c>
      <c r="B36" s="1">
        <v>45224</v>
      </c>
      <c r="C36" t="s">
        <v>24</v>
      </c>
      <c r="D36" t="s">
        <v>19</v>
      </c>
      <c r="E36" t="s">
        <v>46</v>
      </c>
      <c r="J36" t="s">
        <v>16</v>
      </c>
      <c r="K36" t="s">
        <v>22</v>
      </c>
    </row>
    <row r="37" spans="1:11" x14ac:dyDescent="0.2">
      <c r="A37" t="s">
        <v>76</v>
      </c>
      <c r="B37" s="1">
        <v>45024</v>
      </c>
      <c r="C37" t="s">
        <v>24</v>
      </c>
      <c r="D37" t="s">
        <v>19</v>
      </c>
      <c r="E37" t="s">
        <v>48</v>
      </c>
      <c r="F37" t="s">
        <v>39</v>
      </c>
      <c r="K37" t="s">
        <v>35</v>
      </c>
    </row>
    <row r="38" spans="1:11" x14ac:dyDescent="0.2">
      <c r="A38" t="s">
        <v>77</v>
      </c>
      <c r="B38" s="1">
        <v>45147</v>
      </c>
      <c r="C38" t="s">
        <v>54</v>
      </c>
      <c r="D38" t="s">
        <v>13</v>
      </c>
      <c r="E38" t="s">
        <v>14</v>
      </c>
      <c r="J38" t="s">
        <v>52</v>
      </c>
      <c r="K38" t="s">
        <v>22</v>
      </c>
    </row>
    <row r="39" spans="1:11" x14ac:dyDescent="0.2">
      <c r="A39" t="s">
        <v>78</v>
      </c>
      <c r="B39" s="1">
        <v>45133</v>
      </c>
      <c r="C39" t="s">
        <v>24</v>
      </c>
      <c r="D39" t="s">
        <v>31</v>
      </c>
      <c r="E39" t="s">
        <v>20</v>
      </c>
      <c r="F39" t="s">
        <v>15</v>
      </c>
      <c r="I39">
        <v>0.22</v>
      </c>
      <c r="J39" t="s">
        <v>21</v>
      </c>
      <c r="K39" t="s">
        <v>17</v>
      </c>
    </row>
    <row r="40" spans="1:11" x14ac:dyDescent="0.2">
      <c r="A40" t="s">
        <v>79</v>
      </c>
      <c r="B40" s="1">
        <v>45134</v>
      </c>
      <c r="C40" t="s">
        <v>12</v>
      </c>
      <c r="D40" t="s">
        <v>59</v>
      </c>
      <c r="E40" t="s">
        <v>14</v>
      </c>
      <c r="F40" t="s">
        <v>15</v>
      </c>
      <c r="K40" t="s">
        <v>35</v>
      </c>
    </row>
    <row r="41" spans="1:11" x14ac:dyDescent="0.2">
      <c r="A41" t="s">
        <v>80</v>
      </c>
      <c r="B41" s="1">
        <v>45169</v>
      </c>
      <c r="C41" t="s">
        <v>51</v>
      </c>
      <c r="D41" t="s">
        <v>13</v>
      </c>
      <c r="E41" t="s">
        <v>46</v>
      </c>
      <c r="F41" t="s">
        <v>34</v>
      </c>
      <c r="I41">
        <v>0.03</v>
      </c>
      <c r="K41" t="s">
        <v>55</v>
      </c>
    </row>
    <row r="42" spans="1:11" x14ac:dyDescent="0.2">
      <c r="A42" t="s">
        <v>81</v>
      </c>
      <c r="B42" s="1">
        <v>45028</v>
      </c>
      <c r="C42" t="s">
        <v>51</v>
      </c>
      <c r="D42" t="s">
        <v>19</v>
      </c>
      <c r="E42" t="s">
        <v>46</v>
      </c>
      <c r="F42" t="s">
        <v>15</v>
      </c>
      <c r="H42">
        <v>1700.98</v>
      </c>
      <c r="J42" t="s">
        <v>21</v>
      </c>
      <c r="K42" t="s">
        <v>35</v>
      </c>
    </row>
    <row r="43" spans="1:11" x14ac:dyDescent="0.2">
      <c r="A43" t="s">
        <v>82</v>
      </c>
      <c r="B43" s="1">
        <v>45283</v>
      </c>
      <c r="C43" t="s">
        <v>57</v>
      </c>
      <c r="D43" t="s">
        <v>83</v>
      </c>
      <c r="E43" t="s">
        <v>38</v>
      </c>
      <c r="F43" t="s">
        <v>15</v>
      </c>
      <c r="H43">
        <v>1378.37</v>
      </c>
      <c r="I43">
        <v>0.23</v>
      </c>
      <c r="J43" t="s">
        <v>40</v>
      </c>
      <c r="K43" t="s">
        <v>17</v>
      </c>
    </row>
    <row r="44" spans="1:11" x14ac:dyDescent="0.2">
      <c r="A44" t="s">
        <v>84</v>
      </c>
      <c r="B44" s="1">
        <v>44952</v>
      </c>
      <c r="C44" t="s">
        <v>37</v>
      </c>
      <c r="E44" t="s">
        <v>46</v>
      </c>
      <c r="F44" t="s">
        <v>39</v>
      </c>
      <c r="J44" t="s">
        <v>21</v>
      </c>
      <c r="K44" t="s">
        <v>17</v>
      </c>
    </row>
    <row r="45" spans="1:11" x14ac:dyDescent="0.2">
      <c r="A45" t="s">
        <v>85</v>
      </c>
      <c r="B45" s="1">
        <v>45207</v>
      </c>
      <c r="C45" t="s">
        <v>63</v>
      </c>
      <c r="D45" t="s">
        <v>33</v>
      </c>
      <c r="E45" t="s">
        <v>48</v>
      </c>
      <c r="F45" t="s">
        <v>39</v>
      </c>
      <c r="J45" t="s">
        <v>42</v>
      </c>
      <c r="K45" t="s">
        <v>35</v>
      </c>
    </row>
    <row r="46" spans="1:11" x14ac:dyDescent="0.2">
      <c r="A46" t="s">
        <v>86</v>
      </c>
      <c r="B46" s="1">
        <v>45152</v>
      </c>
      <c r="C46" t="s">
        <v>54</v>
      </c>
      <c r="D46" t="s">
        <v>13</v>
      </c>
      <c r="E46" t="s">
        <v>14</v>
      </c>
      <c r="F46" t="s">
        <v>15</v>
      </c>
      <c r="I46">
        <v>0.02</v>
      </c>
      <c r="J46" t="s">
        <v>40</v>
      </c>
      <c r="K46" t="s">
        <v>22</v>
      </c>
    </row>
    <row r="47" spans="1:11" x14ac:dyDescent="0.2">
      <c r="A47" t="s">
        <v>87</v>
      </c>
      <c r="B47" s="1">
        <v>45005</v>
      </c>
      <c r="C47" t="s">
        <v>37</v>
      </c>
      <c r="D47" t="s">
        <v>19</v>
      </c>
      <c r="E47" t="s">
        <v>38</v>
      </c>
      <c r="F47" t="s">
        <v>39</v>
      </c>
      <c r="H47">
        <v>937.19</v>
      </c>
      <c r="J47" t="s">
        <v>42</v>
      </c>
      <c r="K47" t="s">
        <v>17</v>
      </c>
    </row>
    <row r="48" spans="1:11" x14ac:dyDescent="0.2">
      <c r="A48" t="s">
        <v>65</v>
      </c>
      <c r="B48" s="1">
        <v>44937</v>
      </c>
      <c r="C48" t="s">
        <v>57</v>
      </c>
      <c r="D48" t="s">
        <v>83</v>
      </c>
      <c r="E48" t="s">
        <v>46</v>
      </c>
      <c r="F48" t="s">
        <v>34</v>
      </c>
      <c r="J48" t="s">
        <v>21</v>
      </c>
      <c r="K48" t="s">
        <v>17</v>
      </c>
    </row>
    <row r="49" spans="1:11" x14ac:dyDescent="0.2">
      <c r="A49" t="s">
        <v>23</v>
      </c>
      <c r="B49" s="1">
        <v>45176</v>
      </c>
      <c r="C49" t="s">
        <v>37</v>
      </c>
      <c r="D49" t="s">
        <v>59</v>
      </c>
      <c r="E49" t="s">
        <v>38</v>
      </c>
      <c r="F49" t="s">
        <v>39</v>
      </c>
      <c r="J49" t="s">
        <v>40</v>
      </c>
      <c r="K49" t="s">
        <v>22</v>
      </c>
    </row>
    <row r="50" spans="1:11" x14ac:dyDescent="0.2">
      <c r="A50" t="s">
        <v>88</v>
      </c>
      <c r="B50" s="1">
        <v>45245</v>
      </c>
      <c r="C50" t="s">
        <v>12</v>
      </c>
      <c r="D50" t="s">
        <v>83</v>
      </c>
      <c r="E50" t="s">
        <v>44</v>
      </c>
      <c r="G50">
        <v>1</v>
      </c>
      <c r="H50">
        <v>1289.07</v>
      </c>
      <c r="I50">
        <v>0.26</v>
      </c>
      <c r="J50" t="s">
        <v>16</v>
      </c>
      <c r="K50" t="s">
        <v>55</v>
      </c>
    </row>
    <row r="51" spans="1:11" x14ac:dyDescent="0.2">
      <c r="A51" t="s">
        <v>28</v>
      </c>
      <c r="B51" s="1">
        <v>45094</v>
      </c>
      <c r="C51" t="s">
        <v>37</v>
      </c>
      <c r="D51" t="s">
        <v>83</v>
      </c>
      <c r="E51" t="s">
        <v>14</v>
      </c>
      <c r="F51" t="s">
        <v>34</v>
      </c>
      <c r="I51">
        <v>0.08</v>
      </c>
      <c r="J51" t="s">
        <v>42</v>
      </c>
      <c r="K51" t="s">
        <v>27</v>
      </c>
    </row>
    <row r="52" spans="1:11" x14ac:dyDescent="0.2">
      <c r="A52" t="s">
        <v>89</v>
      </c>
      <c r="B52" s="1">
        <v>45203</v>
      </c>
      <c r="C52" t="s">
        <v>12</v>
      </c>
      <c r="D52" t="s">
        <v>59</v>
      </c>
      <c r="E52" t="s">
        <v>20</v>
      </c>
      <c r="F52" t="s">
        <v>26</v>
      </c>
      <c r="G52">
        <v>2</v>
      </c>
      <c r="H52">
        <v>1899.73</v>
      </c>
      <c r="J52" t="s">
        <v>40</v>
      </c>
      <c r="K52" t="s">
        <v>35</v>
      </c>
    </row>
    <row r="53" spans="1:11" x14ac:dyDescent="0.2">
      <c r="A53" t="s">
        <v>88</v>
      </c>
      <c r="B53" s="1">
        <v>45169</v>
      </c>
      <c r="C53" t="s">
        <v>54</v>
      </c>
      <c r="D53" t="s">
        <v>31</v>
      </c>
      <c r="E53" t="s">
        <v>20</v>
      </c>
      <c r="F53" t="s">
        <v>39</v>
      </c>
      <c r="J53" t="s">
        <v>16</v>
      </c>
      <c r="K53" t="s">
        <v>35</v>
      </c>
    </row>
    <row r="54" spans="1:11" x14ac:dyDescent="0.2">
      <c r="A54" t="s">
        <v>90</v>
      </c>
      <c r="B54" s="1">
        <v>44982</v>
      </c>
      <c r="C54" t="s">
        <v>12</v>
      </c>
      <c r="D54" t="s">
        <v>59</v>
      </c>
      <c r="E54" t="s">
        <v>44</v>
      </c>
      <c r="F54" t="s">
        <v>39</v>
      </c>
      <c r="J54" t="s">
        <v>40</v>
      </c>
      <c r="K54" t="s">
        <v>27</v>
      </c>
    </row>
    <row r="55" spans="1:11" x14ac:dyDescent="0.2">
      <c r="A55" t="s">
        <v>65</v>
      </c>
      <c r="B55" s="1">
        <v>45322</v>
      </c>
      <c r="C55" t="s">
        <v>24</v>
      </c>
      <c r="E55" t="s">
        <v>48</v>
      </c>
      <c r="J55" t="s">
        <v>52</v>
      </c>
      <c r="K55" t="s">
        <v>27</v>
      </c>
    </row>
    <row r="56" spans="1:11" x14ac:dyDescent="0.2">
      <c r="A56" t="s">
        <v>91</v>
      </c>
      <c r="B56" s="1">
        <v>45258</v>
      </c>
      <c r="C56" t="s">
        <v>29</v>
      </c>
      <c r="D56" t="s">
        <v>19</v>
      </c>
      <c r="E56" t="s">
        <v>25</v>
      </c>
      <c r="F56" t="s">
        <v>39</v>
      </c>
      <c r="G56">
        <v>16</v>
      </c>
      <c r="K56" t="s">
        <v>35</v>
      </c>
    </row>
    <row r="57" spans="1:11" x14ac:dyDescent="0.2">
      <c r="A57" t="s">
        <v>92</v>
      </c>
      <c r="B57" s="1">
        <v>45017</v>
      </c>
      <c r="C57" t="s">
        <v>24</v>
      </c>
      <c r="D57" t="s">
        <v>31</v>
      </c>
      <c r="E57" t="s">
        <v>25</v>
      </c>
      <c r="J57" t="s">
        <v>40</v>
      </c>
      <c r="K57" t="s">
        <v>27</v>
      </c>
    </row>
    <row r="58" spans="1:11" x14ac:dyDescent="0.2">
      <c r="A58" t="s">
        <v>32</v>
      </c>
      <c r="B58" s="1">
        <v>45157</v>
      </c>
      <c r="C58" t="s">
        <v>37</v>
      </c>
      <c r="E58" t="s">
        <v>38</v>
      </c>
      <c r="H58">
        <v>764.19</v>
      </c>
      <c r="J58" t="s">
        <v>40</v>
      </c>
      <c r="K58" t="s">
        <v>22</v>
      </c>
    </row>
    <row r="59" spans="1:11" x14ac:dyDescent="0.2">
      <c r="A59" t="s">
        <v>93</v>
      </c>
      <c r="B59" s="1">
        <v>45108</v>
      </c>
      <c r="C59" t="s">
        <v>24</v>
      </c>
      <c r="D59" t="s">
        <v>59</v>
      </c>
      <c r="E59" t="s">
        <v>14</v>
      </c>
      <c r="H59">
        <v>30.2</v>
      </c>
      <c r="J59" t="s">
        <v>42</v>
      </c>
      <c r="K59" t="s">
        <v>22</v>
      </c>
    </row>
    <row r="60" spans="1:11" x14ac:dyDescent="0.2">
      <c r="A60" t="s">
        <v>94</v>
      </c>
      <c r="B60" s="1">
        <v>45315</v>
      </c>
      <c r="C60" t="s">
        <v>37</v>
      </c>
      <c r="D60" t="s">
        <v>13</v>
      </c>
      <c r="E60" t="s">
        <v>38</v>
      </c>
      <c r="F60" t="s">
        <v>39</v>
      </c>
      <c r="G60">
        <v>15</v>
      </c>
      <c r="H60">
        <v>195.18</v>
      </c>
      <c r="I60">
        <v>0.12</v>
      </c>
      <c r="J60" t="s">
        <v>52</v>
      </c>
      <c r="K60" t="s">
        <v>17</v>
      </c>
    </row>
    <row r="61" spans="1:11" x14ac:dyDescent="0.2">
      <c r="A61" t="s">
        <v>95</v>
      </c>
      <c r="B61" s="1">
        <v>45169</v>
      </c>
      <c r="C61" t="s">
        <v>29</v>
      </c>
      <c r="D61" t="s">
        <v>83</v>
      </c>
      <c r="E61" t="s">
        <v>48</v>
      </c>
      <c r="I61">
        <v>0.09</v>
      </c>
      <c r="J61" t="s">
        <v>16</v>
      </c>
      <c r="K61" t="s">
        <v>35</v>
      </c>
    </row>
    <row r="62" spans="1:11" x14ac:dyDescent="0.2">
      <c r="A62" t="s">
        <v>41</v>
      </c>
      <c r="B62" s="1">
        <v>44988</v>
      </c>
      <c r="C62" t="s">
        <v>51</v>
      </c>
      <c r="D62" t="s">
        <v>33</v>
      </c>
      <c r="E62" t="s">
        <v>20</v>
      </c>
      <c r="F62" t="s">
        <v>39</v>
      </c>
      <c r="I62">
        <v>0.18</v>
      </c>
      <c r="J62" t="s">
        <v>40</v>
      </c>
      <c r="K62" t="s">
        <v>55</v>
      </c>
    </row>
    <row r="63" spans="1:11" x14ac:dyDescent="0.2">
      <c r="A63" t="s">
        <v>96</v>
      </c>
      <c r="B63" s="1">
        <v>45111</v>
      </c>
      <c r="C63" t="s">
        <v>51</v>
      </c>
      <c r="D63" t="s">
        <v>59</v>
      </c>
      <c r="E63" t="s">
        <v>46</v>
      </c>
      <c r="H63">
        <v>100.58</v>
      </c>
      <c r="J63" t="s">
        <v>40</v>
      </c>
      <c r="K63" t="s">
        <v>22</v>
      </c>
    </row>
    <row r="64" spans="1:11" x14ac:dyDescent="0.2">
      <c r="A64" t="s">
        <v>97</v>
      </c>
      <c r="B64" s="1">
        <v>44933</v>
      </c>
      <c r="C64" t="s">
        <v>24</v>
      </c>
      <c r="D64" t="s">
        <v>83</v>
      </c>
      <c r="E64" t="s">
        <v>38</v>
      </c>
      <c r="F64" t="s">
        <v>39</v>
      </c>
      <c r="G64">
        <v>11</v>
      </c>
      <c r="J64" t="s">
        <v>16</v>
      </c>
      <c r="K64" t="s">
        <v>27</v>
      </c>
    </row>
    <row r="65" spans="1:11" x14ac:dyDescent="0.2">
      <c r="A65" t="s">
        <v>98</v>
      </c>
      <c r="B65" s="1">
        <v>45178</v>
      </c>
      <c r="C65" t="s">
        <v>54</v>
      </c>
      <c r="D65" t="s">
        <v>31</v>
      </c>
      <c r="E65" t="s">
        <v>48</v>
      </c>
      <c r="F65" t="s">
        <v>26</v>
      </c>
      <c r="G65">
        <v>5</v>
      </c>
      <c r="I65">
        <v>0.03</v>
      </c>
      <c r="J65" t="s">
        <v>16</v>
      </c>
      <c r="K65" t="s">
        <v>17</v>
      </c>
    </row>
    <row r="66" spans="1:11" x14ac:dyDescent="0.2">
      <c r="A66" t="s">
        <v>99</v>
      </c>
      <c r="B66" s="1">
        <v>45140</v>
      </c>
      <c r="C66" t="s">
        <v>37</v>
      </c>
      <c r="E66" t="s">
        <v>44</v>
      </c>
      <c r="F66" t="s">
        <v>39</v>
      </c>
      <c r="J66" t="s">
        <v>21</v>
      </c>
      <c r="K66" t="s">
        <v>17</v>
      </c>
    </row>
    <row r="67" spans="1:11" x14ac:dyDescent="0.2">
      <c r="A67" t="s">
        <v>62</v>
      </c>
      <c r="B67" s="1">
        <v>45239</v>
      </c>
      <c r="C67" t="s">
        <v>54</v>
      </c>
      <c r="E67" t="s">
        <v>20</v>
      </c>
      <c r="F67" t="s">
        <v>15</v>
      </c>
      <c r="H67">
        <v>171.56</v>
      </c>
      <c r="I67">
        <v>0.05</v>
      </c>
      <c r="J67" t="s">
        <v>40</v>
      </c>
      <c r="K67" t="s">
        <v>27</v>
      </c>
    </row>
    <row r="68" spans="1:11" x14ac:dyDescent="0.2">
      <c r="A68" t="s">
        <v>64</v>
      </c>
      <c r="B68" s="1">
        <v>45157</v>
      </c>
      <c r="C68" t="s">
        <v>63</v>
      </c>
      <c r="D68" t="s">
        <v>59</v>
      </c>
      <c r="E68" t="s">
        <v>46</v>
      </c>
      <c r="F68" t="s">
        <v>15</v>
      </c>
      <c r="I68">
        <v>0.02</v>
      </c>
      <c r="J68" t="s">
        <v>52</v>
      </c>
      <c r="K68" t="s">
        <v>17</v>
      </c>
    </row>
    <row r="69" spans="1:11" x14ac:dyDescent="0.2">
      <c r="A69" t="s">
        <v>100</v>
      </c>
      <c r="B69" s="1">
        <v>45028</v>
      </c>
      <c r="C69" t="s">
        <v>57</v>
      </c>
      <c r="D69" t="s">
        <v>19</v>
      </c>
      <c r="E69" t="s">
        <v>44</v>
      </c>
      <c r="F69" t="s">
        <v>15</v>
      </c>
      <c r="H69">
        <v>1655</v>
      </c>
      <c r="J69" t="s">
        <v>21</v>
      </c>
      <c r="K69" t="s">
        <v>17</v>
      </c>
    </row>
    <row r="70" spans="1:11" x14ac:dyDescent="0.2">
      <c r="A70" t="s">
        <v>101</v>
      </c>
      <c r="B70" s="1">
        <v>45151</v>
      </c>
      <c r="C70" t="s">
        <v>54</v>
      </c>
      <c r="D70" t="s">
        <v>83</v>
      </c>
      <c r="E70" t="s">
        <v>48</v>
      </c>
      <c r="F70" t="s">
        <v>34</v>
      </c>
      <c r="J70" t="s">
        <v>16</v>
      </c>
      <c r="K70" t="s">
        <v>22</v>
      </c>
    </row>
    <row r="71" spans="1:11" x14ac:dyDescent="0.2">
      <c r="A71" t="s">
        <v>102</v>
      </c>
      <c r="B71" s="1">
        <v>45092</v>
      </c>
      <c r="C71" t="s">
        <v>24</v>
      </c>
      <c r="D71" t="s">
        <v>19</v>
      </c>
      <c r="E71" t="s">
        <v>46</v>
      </c>
      <c r="F71" t="s">
        <v>15</v>
      </c>
      <c r="J71" t="s">
        <v>16</v>
      </c>
      <c r="K71" t="s">
        <v>35</v>
      </c>
    </row>
    <row r="72" spans="1:11" x14ac:dyDescent="0.2">
      <c r="A72" t="s">
        <v>103</v>
      </c>
      <c r="B72" s="1">
        <v>45192</v>
      </c>
      <c r="C72" t="s">
        <v>63</v>
      </c>
      <c r="D72" t="s">
        <v>59</v>
      </c>
      <c r="E72" t="s">
        <v>20</v>
      </c>
      <c r="H72">
        <v>1630.35</v>
      </c>
      <c r="J72" t="s">
        <v>52</v>
      </c>
      <c r="K72" t="s">
        <v>55</v>
      </c>
    </row>
    <row r="73" spans="1:11" x14ac:dyDescent="0.2">
      <c r="A73" t="s">
        <v>104</v>
      </c>
      <c r="B73" s="1">
        <v>44980</v>
      </c>
      <c r="C73" t="s">
        <v>51</v>
      </c>
      <c r="D73" t="s">
        <v>59</v>
      </c>
      <c r="E73" t="s">
        <v>38</v>
      </c>
      <c r="F73" t="s">
        <v>39</v>
      </c>
      <c r="I73">
        <v>0.01</v>
      </c>
      <c r="J73" t="s">
        <v>52</v>
      </c>
      <c r="K73" t="s">
        <v>55</v>
      </c>
    </row>
    <row r="74" spans="1:11" x14ac:dyDescent="0.2">
      <c r="A74" t="s">
        <v>105</v>
      </c>
      <c r="B74" s="1">
        <v>44986</v>
      </c>
      <c r="C74" t="s">
        <v>57</v>
      </c>
      <c r="E74" t="s">
        <v>44</v>
      </c>
      <c r="F74" t="s">
        <v>26</v>
      </c>
      <c r="H74">
        <v>832.36</v>
      </c>
      <c r="J74" t="s">
        <v>42</v>
      </c>
      <c r="K74" t="s">
        <v>22</v>
      </c>
    </row>
    <row r="75" spans="1:11" x14ac:dyDescent="0.2">
      <c r="A75" t="s">
        <v>106</v>
      </c>
      <c r="B75" s="1">
        <v>44953</v>
      </c>
      <c r="C75" t="s">
        <v>37</v>
      </c>
      <c r="D75" t="s">
        <v>59</v>
      </c>
      <c r="E75" t="s">
        <v>44</v>
      </c>
      <c r="F75" t="s">
        <v>15</v>
      </c>
      <c r="J75" t="s">
        <v>21</v>
      </c>
      <c r="K75" t="s">
        <v>35</v>
      </c>
    </row>
    <row r="76" spans="1:11" x14ac:dyDescent="0.2">
      <c r="A76" t="s">
        <v>107</v>
      </c>
      <c r="B76" s="1">
        <v>45008</v>
      </c>
      <c r="C76" t="s">
        <v>24</v>
      </c>
      <c r="D76" t="s">
        <v>31</v>
      </c>
      <c r="E76" t="s">
        <v>46</v>
      </c>
      <c r="G76">
        <v>14</v>
      </c>
      <c r="H76">
        <v>457.15</v>
      </c>
      <c r="I76">
        <v>0.14000000000000001</v>
      </c>
      <c r="K76" t="s">
        <v>35</v>
      </c>
    </row>
    <row r="77" spans="1:11" x14ac:dyDescent="0.2">
      <c r="A77" t="s">
        <v>108</v>
      </c>
      <c r="B77" s="1">
        <v>45293</v>
      </c>
      <c r="C77" t="s">
        <v>24</v>
      </c>
      <c r="D77" t="s">
        <v>31</v>
      </c>
      <c r="E77" t="s">
        <v>48</v>
      </c>
      <c r="F77" t="s">
        <v>34</v>
      </c>
      <c r="H77">
        <v>1960.69</v>
      </c>
      <c r="I77">
        <v>0.14000000000000001</v>
      </c>
      <c r="J77" t="s">
        <v>42</v>
      </c>
      <c r="K77" t="s">
        <v>35</v>
      </c>
    </row>
    <row r="78" spans="1:11" x14ac:dyDescent="0.2">
      <c r="A78" t="s">
        <v>109</v>
      </c>
      <c r="B78" s="1">
        <v>45187</v>
      </c>
      <c r="C78" t="s">
        <v>51</v>
      </c>
      <c r="E78" t="s">
        <v>46</v>
      </c>
      <c r="F78" t="s">
        <v>34</v>
      </c>
      <c r="I78">
        <v>0.08</v>
      </c>
      <c r="J78" t="s">
        <v>52</v>
      </c>
      <c r="K78" t="s">
        <v>55</v>
      </c>
    </row>
    <row r="79" spans="1:11" x14ac:dyDescent="0.2">
      <c r="A79" t="s">
        <v>110</v>
      </c>
      <c r="B79" s="1">
        <v>45223</v>
      </c>
      <c r="C79" t="s">
        <v>63</v>
      </c>
      <c r="E79" t="s">
        <v>20</v>
      </c>
      <c r="F79" t="s">
        <v>39</v>
      </c>
      <c r="J79" t="s">
        <v>42</v>
      </c>
      <c r="K79" t="s">
        <v>55</v>
      </c>
    </row>
    <row r="80" spans="1:11" x14ac:dyDescent="0.2">
      <c r="A80" t="s">
        <v>111</v>
      </c>
      <c r="B80" s="1">
        <v>45284</v>
      </c>
      <c r="C80" t="s">
        <v>37</v>
      </c>
      <c r="D80" t="s">
        <v>31</v>
      </c>
      <c r="E80" t="s">
        <v>38</v>
      </c>
      <c r="F80" t="s">
        <v>15</v>
      </c>
      <c r="G80">
        <v>14</v>
      </c>
      <c r="J80" t="s">
        <v>42</v>
      </c>
      <c r="K80" t="s">
        <v>35</v>
      </c>
    </row>
    <row r="81" spans="1:11" x14ac:dyDescent="0.2">
      <c r="A81" t="s">
        <v>45</v>
      </c>
      <c r="B81" s="1">
        <v>44945</v>
      </c>
      <c r="C81" t="s">
        <v>51</v>
      </c>
      <c r="D81" t="s">
        <v>31</v>
      </c>
      <c r="E81" t="s">
        <v>44</v>
      </c>
      <c r="F81" t="s">
        <v>34</v>
      </c>
      <c r="I81">
        <v>0</v>
      </c>
      <c r="J81" t="s">
        <v>42</v>
      </c>
      <c r="K81" t="s">
        <v>35</v>
      </c>
    </row>
    <row r="82" spans="1:11" x14ac:dyDescent="0.2">
      <c r="A82" t="s">
        <v>112</v>
      </c>
      <c r="B82" s="1">
        <v>45167</v>
      </c>
      <c r="C82" t="s">
        <v>24</v>
      </c>
      <c r="D82" t="s">
        <v>59</v>
      </c>
      <c r="E82" t="s">
        <v>44</v>
      </c>
      <c r="F82" t="s">
        <v>39</v>
      </c>
      <c r="K82" t="s">
        <v>22</v>
      </c>
    </row>
    <row r="83" spans="1:11" x14ac:dyDescent="0.2">
      <c r="A83" t="s">
        <v>113</v>
      </c>
      <c r="B83" s="1">
        <v>44945</v>
      </c>
      <c r="C83" t="s">
        <v>54</v>
      </c>
      <c r="D83" t="s">
        <v>33</v>
      </c>
      <c r="E83" t="s">
        <v>48</v>
      </c>
      <c r="F83" t="s">
        <v>34</v>
      </c>
      <c r="H83">
        <v>189.85</v>
      </c>
      <c r="J83" t="s">
        <v>16</v>
      </c>
      <c r="K83" t="s">
        <v>22</v>
      </c>
    </row>
    <row r="84" spans="1:11" x14ac:dyDescent="0.2">
      <c r="A84" t="s">
        <v>114</v>
      </c>
      <c r="B84" s="1">
        <v>45282</v>
      </c>
      <c r="C84" t="s">
        <v>24</v>
      </c>
      <c r="D84" t="s">
        <v>19</v>
      </c>
      <c r="E84" t="s">
        <v>46</v>
      </c>
      <c r="F84" t="s">
        <v>34</v>
      </c>
      <c r="J84" t="s">
        <v>42</v>
      </c>
      <c r="K84" t="s">
        <v>17</v>
      </c>
    </row>
    <row r="85" spans="1:11" x14ac:dyDescent="0.2">
      <c r="A85" t="s">
        <v>115</v>
      </c>
      <c r="B85" s="1">
        <v>45019</v>
      </c>
      <c r="C85" t="s">
        <v>51</v>
      </c>
      <c r="D85" t="s">
        <v>33</v>
      </c>
      <c r="E85" t="s">
        <v>46</v>
      </c>
      <c r="I85">
        <v>0.27</v>
      </c>
      <c r="J85" t="s">
        <v>40</v>
      </c>
      <c r="K85" t="s">
        <v>22</v>
      </c>
    </row>
    <row r="86" spans="1:11" x14ac:dyDescent="0.2">
      <c r="A86" t="s">
        <v>11</v>
      </c>
      <c r="B86" s="1">
        <v>45057</v>
      </c>
      <c r="C86" t="s">
        <v>63</v>
      </c>
      <c r="D86" t="s">
        <v>59</v>
      </c>
      <c r="E86" t="s">
        <v>48</v>
      </c>
      <c r="F86" t="s">
        <v>26</v>
      </c>
      <c r="H86">
        <v>1358.45</v>
      </c>
      <c r="J86" t="s">
        <v>21</v>
      </c>
      <c r="K86" t="s">
        <v>55</v>
      </c>
    </row>
    <row r="87" spans="1:11" x14ac:dyDescent="0.2">
      <c r="A87" t="s">
        <v>11</v>
      </c>
      <c r="B87" s="1">
        <v>45144</v>
      </c>
      <c r="C87" t="s">
        <v>24</v>
      </c>
      <c r="D87" t="s">
        <v>83</v>
      </c>
      <c r="E87" t="s">
        <v>25</v>
      </c>
      <c r="F87" t="s">
        <v>34</v>
      </c>
      <c r="H87">
        <v>1708.14</v>
      </c>
      <c r="J87" t="s">
        <v>52</v>
      </c>
      <c r="K87" t="s">
        <v>17</v>
      </c>
    </row>
    <row r="88" spans="1:11" x14ac:dyDescent="0.2">
      <c r="A88" t="s">
        <v>30</v>
      </c>
      <c r="B88" s="1">
        <v>45285</v>
      </c>
      <c r="C88" t="s">
        <v>24</v>
      </c>
      <c r="D88" t="s">
        <v>19</v>
      </c>
      <c r="E88" t="s">
        <v>25</v>
      </c>
      <c r="F88" t="s">
        <v>39</v>
      </c>
      <c r="G88">
        <v>9</v>
      </c>
      <c r="I88">
        <v>0.23</v>
      </c>
      <c r="J88" t="s">
        <v>21</v>
      </c>
      <c r="K88" t="s">
        <v>22</v>
      </c>
    </row>
    <row r="89" spans="1:11" x14ac:dyDescent="0.2">
      <c r="A89" t="s">
        <v>101</v>
      </c>
      <c r="B89" s="1">
        <v>45324</v>
      </c>
      <c r="C89" t="s">
        <v>37</v>
      </c>
      <c r="D89" t="s">
        <v>31</v>
      </c>
      <c r="E89" t="s">
        <v>25</v>
      </c>
      <c r="F89" t="s">
        <v>34</v>
      </c>
      <c r="K89" t="s">
        <v>35</v>
      </c>
    </row>
    <row r="90" spans="1:11" x14ac:dyDescent="0.2">
      <c r="A90" t="s">
        <v>116</v>
      </c>
      <c r="B90" s="1">
        <v>44976</v>
      </c>
      <c r="C90" t="s">
        <v>12</v>
      </c>
      <c r="D90" t="s">
        <v>59</v>
      </c>
      <c r="E90" t="s">
        <v>25</v>
      </c>
      <c r="F90" t="s">
        <v>39</v>
      </c>
      <c r="H90">
        <v>736.07</v>
      </c>
      <c r="J90" t="s">
        <v>52</v>
      </c>
      <c r="K90" t="s">
        <v>22</v>
      </c>
    </row>
    <row r="91" spans="1:11" x14ac:dyDescent="0.2">
      <c r="A91" t="s">
        <v>117</v>
      </c>
      <c r="B91" s="1">
        <v>45029</v>
      </c>
      <c r="C91" t="s">
        <v>51</v>
      </c>
      <c r="E91" t="s">
        <v>44</v>
      </c>
      <c r="F91" t="s">
        <v>34</v>
      </c>
      <c r="H91">
        <v>1827.84</v>
      </c>
      <c r="J91" t="s">
        <v>52</v>
      </c>
      <c r="K91" t="s">
        <v>55</v>
      </c>
    </row>
    <row r="92" spans="1:11" x14ac:dyDescent="0.2">
      <c r="A92" t="s">
        <v>118</v>
      </c>
      <c r="B92" s="1">
        <v>45166</v>
      </c>
      <c r="C92" t="s">
        <v>54</v>
      </c>
      <c r="D92" t="s">
        <v>33</v>
      </c>
      <c r="E92" t="s">
        <v>25</v>
      </c>
      <c r="F92" t="s">
        <v>15</v>
      </c>
      <c r="J92" t="s">
        <v>16</v>
      </c>
      <c r="K92" t="s">
        <v>22</v>
      </c>
    </row>
    <row r="93" spans="1:11" x14ac:dyDescent="0.2">
      <c r="A93" t="s">
        <v>95</v>
      </c>
      <c r="B93" s="1">
        <v>45271</v>
      </c>
      <c r="C93" t="s">
        <v>24</v>
      </c>
      <c r="D93" t="s">
        <v>31</v>
      </c>
      <c r="E93" t="s">
        <v>38</v>
      </c>
      <c r="F93" t="s">
        <v>34</v>
      </c>
      <c r="H93">
        <v>475.31</v>
      </c>
      <c r="J93" t="s">
        <v>52</v>
      </c>
      <c r="K93" t="s">
        <v>17</v>
      </c>
    </row>
    <row r="94" spans="1:11" x14ac:dyDescent="0.2">
      <c r="A94" t="s">
        <v>23</v>
      </c>
      <c r="B94" s="1">
        <v>45258</v>
      </c>
      <c r="C94" t="s">
        <v>54</v>
      </c>
      <c r="D94" t="s">
        <v>13</v>
      </c>
      <c r="E94" t="s">
        <v>25</v>
      </c>
      <c r="F94" t="s">
        <v>39</v>
      </c>
      <c r="H94">
        <v>822.51</v>
      </c>
      <c r="I94">
        <v>0.01</v>
      </c>
      <c r="J94" t="s">
        <v>52</v>
      </c>
      <c r="K94" t="s">
        <v>22</v>
      </c>
    </row>
    <row r="95" spans="1:11" x14ac:dyDescent="0.2">
      <c r="A95" t="s">
        <v>118</v>
      </c>
      <c r="B95" s="1">
        <v>44976</v>
      </c>
      <c r="C95" t="s">
        <v>37</v>
      </c>
      <c r="D95" t="s">
        <v>31</v>
      </c>
      <c r="E95" t="s">
        <v>20</v>
      </c>
      <c r="F95" t="s">
        <v>39</v>
      </c>
      <c r="J95" t="s">
        <v>42</v>
      </c>
      <c r="K95" t="s">
        <v>17</v>
      </c>
    </row>
    <row r="96" spans="1:11" x14ac:dyDescent="0.2">
      <c r="A96" t="s">
        <v>119</v>
      </c>
      <c r="B96" s="1">
        <v>45299</v>
      </c>
      <c r="C96" t="s">
        <v>51</v>
      </c>
      <c r="D96" t="s">
        <v>83</v>
      </c>
      <c r="E96" t="s">
        <v>48</v>
      </c>
      <c r="F96" t="s">
        <v>26</v>
      </c>
      <c r="J96" t="s">
        <v>40</v>
      </c>
      <c r="K96" t="s">
        <v>22</v>
      </c>
    </row>
    <row r="97" spans="1:11" x14ac:dyDescent="0.2">
      <c r="A97" t="s">
        <v>120</v>
      </c>
      <c r="B97" s="1">
        <v>45047</v>
      </c>
      <c r="C97" t="s">
        <v>29</v>
      </c>
      <c r="D97" t="s">
        <v>19</v>
      </c>
      <c r="E97" t="s">
        <v>48</v>
      </c>
      <c r="F97" t="s">
        <v>34</v>
      </c>
      <c r="I97">
        <v>0.08</v>
      </c>
      <c r="J97" t="s">
        <v>42</v>
      </c>
      <c r="K97" t="s">
        <v>27</v>
      </c>
    </row>
    <row r="98" spans="1:11" x14ac:dyDescent="0.2">
      <c r="A98" t="s">
        <v>100</v>
      </c>
      <c r="B98" s="1">
        <v>45035</v>
      </c>
      <c r="C98" t="s">
        <v>12</v>
      </c>
      <c r="D98" t="s">
        <v>19</v>
      </c>
      <c r="E98" t="s">
        <v>25</v>
      </c>
      <c r="F98" t="s">
        <v>34</v>
      </c>
      <c r="G98">
        <v>8</v>
      </c>
      <c r="H98">
        <v>1576.09</v>
      </c>
      <c r="J98" t="s">
        <v>40</v>
      </c>
      <c r="K98" t="s">
        <v>17</v>
      </c>
    </row>
    <row r="99" spans="1:11" x14ac:dyDescent="0.2">
      <c r="A99" t="s">
        <v>121</v>
      </c>
      <c r="B99" s="1">
        <v>45046</v>
      </c>
      <c r="C99" t="s">
        <v>29</v>
      </c>
      <c r="E99" t="s">
        <v>20</v>
      </c>
      <c r="H99">
        <v>1718.23</v>
      </c>
      <c r="J99" t="s">
        <v>52</v>
      </c>
      <c r="K99" t="s">
        <v>35</v>
      </c>
    </row>
    <row r="100" spans="1:11" x14ac:dyDescent="0.2">
      <c r="A100" t="s">
        <v>122</v>
      </c>
      <c r="B100" s="1">
        <v>45265</v>
      </c>
      <c r="C100" t="s">
        <v>12</v>
      </c>
      <c r="D100" t="s">
        <v>33</v>
      </c>
      <c r="E100" t="s">
        <v>46</v>
      </c>
      <c r="F100" t="s">
        <v>34</v>
      </c>
      <c r="H100">
        <v>654.30999999999995</v>
      </c>
      <c r="I100">
        <v>0.08</v>
      </c>
      <c r="K100" t="s">
        <v>22</v>
      </c>
    </row>
    <row r="101" spans="1:11" x14ac:dyDescent="0.2">
      <c r="A101" t="s">
        <v>123</v>
      </c>
      <c r="B101" s="1">
        <v>44985</v>
      </c>
      <c r="C101" t="s">
        <v>54</v>
      </c>
      <c r="D101" t="s">
        <v>83</v>
      </c>
      <c r="E101" t="s">
        <v>38</v>
      </c>
      <c r="F101" t="s">
        <v>34</v>
      </c>
      <c r="J101" t="s">
        <v>16</v>
      </c>
      <c r="K101" t="s">
        <v>17</v>
      </c>
    </row>
    <row r="102" spans="1:11" x14ac:dyDescent="0.2">
      <c r="A102" t="s">
        <v>79</v>
      </c>
      <c r="B102" s="1">
        <v>45161</v>
      </c>
      <c r="C102" t="s">
        <v>12</v>
      </c>
      <c r="D102" t="s">
        <v>19</v>
      </c>
      <c r="E102" t="s">
        <v>38</v>
      </c>
      <c r="F102" t="s">
        <v>39</v>
      </c>
      <c r="I102">
        <v>0.27</v>
      </c>
      <c r="J102" t="s">
        <v>16</v>
      </c>
      <c r="K102" t="s">
        <v>55</v>
      </c>
    </row>
    <row r="103" spans="1:11" x14ac:dyDescent="0.2">
      <c r="A103" t="s">
        <v>124</v>
      </c>
      <c r="B103" s="1">
        <v>45002</v>
      </c>
      <c r="C103" t="s">
        <v>54</v>
      </c>
      <c r="D103" t="s">
        <v>33</v>
      </c>
      <c r="E103" t="s">
        <v>14</v>
      </c>
      <c r="J103" t="s">
        <v>52</v>
      </c>
      <c r="K103" t="s">
        <v>22</v>
      </c>
    </row>
    <row r="104" spans="1:11" x14ac:dyDescent="0.2">
      <c r="A104" t="s">
        <v>91</v>
      </c>
      <c r="B104" s="1">
        <v>45236</v>
      </c>
      <c r="C104" t="s">
        <v>57</v>
      </c>
      <c r="D104" t="s">
        <v>19</v>
      </c>
      <c r="E104" t="s">
        <v>25</v>
      </c>
      <c r="F104" t="s">
        <v>26</v>
      </c>
      <c r="I104">
        <v>0.14000000000000001</v>
      </c>
      <c r="J104" t="s">
        <v>42</v>
      </c>
      <c r="K104" t="s">
        <v>55</v>
      </c>
    </row>
    <row r="105" spans="1:11" x14ac:dyDescent="0.2">
      <c r="A105" t="s">
        <v>125</v>
      </c>
      <c r="B105" s="1">
        <v>45131</v>
      </c>
      <c r="C105" t="s">
        <v>57</v>
      </c>
      <c r="D105" t="s">
        <v>13</v>
      </c>
      <c r="E105" t="s">
        <v>46</v>
      </c>
      <c r="F105" t="s">
        <v>34</v>
      </c>
      <c r="J105" t="s">
        <v>42</v>
      </c>
      <c r="K105" t="s">
        <v>27</v>
      </c>
    </row>
    <row r="106" spans="1:11" x14ac:dyDescent="0.2">
      <c r="A106" t="s">
        <v>126</v>
      </c>
      <c r="B106" s="1">
        <v>44970</v>
      </c>
      <c r="C106" t="s">
        <v>54</v>
      </c>
      <c r="D106" t="s">
        <v>83</v>
      </c>
      <c r="E106" t="s">
        <v>46</v>
      </c>
      <c r="F106" t="s">
        <v>34</v>
      </c>
      <c r="J106" t="s">
        <v>16</v>
      </c>
      <c r="K106" t="s">
        <v>22</v>
      </c>
    </row>
    <row r="107" spans="1:11" x14ac:dyDescent="0.2">
      <c r="A107" t="s">
        <v>127</v>
      </c>
      <c r="B107" s="1">
        <v>45267</v>
      </c>
      <c r="C107" t="s">
        <v>57</v>
      </c>
      <c r="E107" t="s">
        <v>48</v>
      </c>
      <c r="F107" t="s">
        <v>26</v>
      </c>
      <c r="H107">
        <v>631.77</v>
      </c>
      <c r="I107">
        <v>0.17</v>
      </c>
      <c r="J107" t="s">
        <v>40</v>
      </c>
      <c r="K107" t="s">
        <v>22</v>
      </c>
    </row>
    <row r="108" spans="1:11" x14ac:dyDescent="0.2">
      <c r="A108" t="s">
        <v>81</v>
      </c>
      <c r="B108" s="1">
        <v>44982</v>
      </c>
      <c r="C108" t="s">
        <v>29</v>
      </c>
      <c r="E108" t="s">
        <v>44</v>
      </c>
      <c r="F108" t="s">
        <v>34</v>
      </c>
      <c r="J108" t="s">
        <v>21</v>
      </c>
      <c r="K108" t="s">
        <v>17</v>
      </c>
    </row>
    <row r="109" spans="1:11" x14ac:dyDescent="0.2">
      <c r="A109" t="s">
        <v>128</v>
      </c>
      <c r="B109" s="1">
        <v>45238</v>
      </c>
      <c r="C109" t="s">
        <v>24</v>
      </c>
      <c r="D109" t="s">
        <v>19</v>
      </c>
      <c r="E109" t="s">
        <v>20</v>
      </c>
      <c r="F109" t="s">
        <v>34</v>
      </c>
      <c r="H109">
        <v>708.54</v>
      </c>
      <c r="K109" t="s">
        <v>22</v>
      </c>
    </row>
    <row r="110" spans="1:11" x14ac:dyDescent="0.2">
      <c r="A110" t="s">
        <v>60</v>
      </c>
      <c r="B110" s="1">
        <v>44999</v>
      </c>
      <c r="C110" t="s">
        <v>12</v>
      </c>
      <c r="D110" t="s">
        <v>19</v>
      </c>
      <c r="E110" t="s">
        <v>48</v>
      </c>
      <c r="K110" t="s">
        <v>55</v>
      </c>
    </row>
    <row r="111" spans="1:11" x14ac:dyDescent="0.2">
      <c r="A111" t="s">
        <v>129</v>
      </c>
      <c r="B111" s="1">
        <v>45217</v>
      </c>
      <c r="C111" t="s">
        <v>54</v>
      </c>
      <c r="D111" t="s">
        <v>19</v>
      </c>
      <c r="E111" t="s">
        <v>20</v>
      </c>
      <c r="F111" t="s">
        <v>15</v>
      </c>
      <c r="G111">
        <v>20</v>
      </c>
      <c r="J111" t="s">
        <v>42</v>
      </c>
      <c r="K111" t="s">
        <v>17</v>
      </c>
    </row>
    <row r="112" spans="1:11" x14ac:dyDescent="0.2">
      <c r="A112" t="s">
        <v>120</v>
      </c>
      <c r="B112" s="1">
        <v>45139</v>
      </c>
      <c r="C112" t="s">
        <v>24</v>
      </c>
      <c r="D112" t="s">
        <v>33</v>
      </c>
      <c r="E112" t="s">
        <v>25</v>
      </c>
      <c r="J112" t="s">
        <v>42</v>
      </c>
      <c r="K112" t="s">
        <v>17</v>
      </c>
    </row>
    <row r="113" spans="1:11" x14ac:dyDescent="0.2">
      <c r="A113" t="s">
        <v>130</v>
      </c>
      <c r="B113" s="1">
        <v>45084</v>
      </c>
      <c r="C113" t="s">
        <v>12</v>
      </c>
      <c r="D113" t="s">
        <v>33</v>
      </c>
      <c r="E113" t="s">
        <v>38</v>
      </c>
      <c r="G113">
        <v>2</v>
      </c>
      <c r="H113">
        <v>416.8</v>
      </c>
      <c r="J113" t="s">
        <v>52</v>
      </c>
      <c r="K113" t="s">
        <v>55</v>
      </c>
    </row>
    <row r="114" spans="1:11" x14ac:dyDescent="0.2">
      <c r="A114" t="s">
        <v>131</v>
      </c>
      <c r="B114" s="1">
        <v>44930</v>
      </c>
      <c r="C114" t="s">
        <v>63</v>
      </c>
      <c r="D114" t="s">
        <v>13</v>
      </c>
      <c r="E114" t="s">
        <v>38</v>
      </c>
      <c r="F114" t="s">
        <v>15</v>
      </c>
      <c r="H114">
        <v>1069.8399999999999</v>
      </c>
      <c r="J114" t="s">
        <v>52</v>
      </c>
      <c r="K114" t="s">
        <v>27</v>
      </c>
    </row>
    <row r="115" spans="1:11" x14ac:dyDescent="0.2">
      <c r="A115" t="s">
        <v>132</v>
      </c>
      <c r="B115" s="1">
        <v>45306</v>
      </c>
      <c r="C115" t="s">
        <v>12</v>
      </c>
      <c r="D115" t="s">
        <v>83</v>
      </c>
      <c r="E115" t="s">
        <v>46</v>
      </c>
      <c r="F115" t="s">
        <v>39</v>
      </c>
      <c r="J115" t="s">
        <v>42</v>
      </c>
      <c r="K115" t="s">
        <v>55</v>
      </c>
    </row>
    <row r="116" spans="1:11" x14ac:dyDescent="0.2">
      <c r="A116" t="s">
        <v>118</v>
      </c>
      <c r="B116" s="1">
        <v>45134</v>
      </c>
      <c r="C116" t="s">
        <v>12</v>
      </c>
      <c r="D116" t="s">
        <v>59</v>
      </c>
      <c r="E116" t="s">
        <v>20</v>
      </c>
      <c r="H116">
        <v>1840.34</v>
      </c>
      <c r="I116">
        <v>0.13</v>
      </c>
      <c r="J116" t="s">
        <v>40</v>
      </c>
      <c r="K116" t="s">
        <v>22</v>
      </c>
    </row>
    <row r="117" spans="1:11" x14ac:dyDescent="0.2">
      <c r="A117" t="s">
        <v>110</v>
      </c>
      <c r="B117" s="1">
        <v>45132</v>
      </c>
      <c r="C117" t="s">
        <v>54</v>
      </c>
      <c r="D117" t="s">
        <v>83</v>
      </c>
      <c r="E117" t="s">
        <v>25</v>
      </c>
      <c r="F117" t="s">
        <v>34</v>
      </c>
      <c r="G117">
        <v>11</v>
      </c>
      <c r="H117">
        <v>672.81</v>
      </c>
      <c r="J117" t="s">
        <v>16</v>
      </c>
      <c r="K117" t="s">
        <v>17</v>
      </c>
    </row>
    <row r="118" spans="1:11" x14ac:dyDescent="0.2">
      <c r="A118" t="s">
        <v>80</v>
      </c>
      <c r="B118" s="1">
        <v>45026</v>
      </c>
      <c r="C118" t="s">
        <v>29</v>
      </c>
      <c r="D118" t="s">
        <v>59</v>
      </c>
      <c r="E118" t="s">
        <v>48</v>
      </c>
      <c r="F118" t="s">
        <v>15</v>
      </c>
      <c r="G118">
        <v>8</v>
      </c>
      <c r="H118">
        <v>301.42</v>
      </c>
      <c r="I118">
        <v>0.05</v>
      </c>
      <c r="K118" t="s">
        <v>27</v>
      </c>
    </row>
    <row r="119" spans="1:11" x14ac:dyDescent="0.2">
      <c r="A119" t="s">
        <v>75</v>
      </c>
      <c r="B119" s="1">
        <v>45322</v>
      </c>
      <c r="C119" t="s">
        <v>63</v>
      </c>
      <c r="D119" t="s">
        <v>83</v>
      </c>
      <c r="E119" t="s">
        <v>25</v>
      </c>
      <c r="J119" t="s">
        <v>52</v>
      </c>
      <c r="K119" t="s">
        <v>55</v>
      </c>
    </row>
    <row r="120" spans="1:11" x14ac:dyDescent="0.2">
      <c r="A120" t="s">
        <v>133</v>
      </c>
      <c r="B120" s="1">
        <v>45152</v>
      </c>
      <c r="C120" t="s">
        <v>54</v>
      </c>
      <c r="D120" t="s">
        <v>83</v>
      </c>
      <c r="E120" t="s">
        <v>38</v>
      </c>
      <c r="F120" t="s">
        <v>34</v>
      </c>
      <c r="J120" t="s">
        <v>42</v>
      </c>
      <c r="K120" t="s">
        <v>27</v>
      </c>
    </row>
    <row r="121" spans="1:11" x14ac:dyDescent="0.2">
      <c r="A121" t="s">
        <v>53</v>
      </c>
      <c r="B121" s="1">
        <v>45115</v>
      </c>
      <c r="C121" t="s">
        <v>24</v>
      </c>
      <c r="D121" t="s">
        <v>19</v>
      </c>
      <c r="E121" t="s">
        <v>48</v>
      </c>
      <c r="F121" t="s">
        <v>26</v>
      </c>
      <c r="J121" t="s">
        <v>16</v>
      </c>
      <c r="K121" t="s">
        <v>22</v>
      </c>
    </row>
    <row r="122" spans="1:11" x14ac:dyDescent="0.2">
      <c r="A122" t="s">
        <v>134</v>
      </c>
      <c r="B122" s="1">
        <v>45260</v>
      </c>
      <c r="C122" t="s">
        <v>37</v>
      </c>
      <c r="D122" t="s">
        <v>59</v>
      </c>
      <c r="E122" t="s">
        <v>44</v>
      </c>
      <c r="F122" t="s">
        <v>39</v>
      </c>
      <c r="G122">
        <v>17</v>
      </c>
      <c r="K122" t="s">
        <v>27</v>
      </c>
    </row>
    <row r="123" spans="1:11" x14ac:dyDescent="0.2">
      <c r="A123" t="s">
        <v>91</v>
      </c>
      <c r="B123" s="1">
        <v>45257</v>
      </c>
      <c r="C123" t="s">
        <v>51</v>
      </c>
      <c r="D123" t="s">
        <v>19</v>
      </c>
      <c r="E123" t="s">
        <v>20</v>
      </c>
      <c r="F123" t="s">
        <v>39</v>
      </c>
      <c r="H123">
        <v>1050.27</v>
      </c>
      <c r="J123" t="s">
        <v>42</v>
      </c>
      <c r="K123" t="s">
        <v>22</v>
      </c>
    </row>
    <row r="124" spans="1:11" x14ac:dyDescent="0.2">
      <c r="A124" t="s">
        <v>129</v>
      </c>
      <c r="B124" s="1">
        <v>45100</v>
      </c>
      <c r="C124" t="s">
        <v>12</v>
      </c>
      <c r="E124" t="s">
        <v>48</v>
      </c>
      <c r="F124" t="s">
        <v>34</v>
      </c>
      <c r="K124" t="s">
        <v>17</v>
      </c>
    </row>
    <row r="125" spans="1:11" x14ac:dyDescent="0.2">
      <c r="A125" t="s">
        <v>133</v>
      </c>
      <c r="B125" s="1">
        <v>45097</v>
      </c>
      <c r="C125" t="s">
        <v>54</v>
      </c>
      <c r="D125" t="s">
        <v>31</v>
      </c>
      <c r="E125" t="s">
        <v>48</v>
      </c>
      <c r="F125" t="s">
        <v>15</v>
      </c>
      <c r="I125">
        <v>0.2</v>
      </c>
      <c r="J125" t="s">
        <v>21</v>
      </c>
      <c r="K125" t="s">
        <v>27</v>
      </c>
    </row>
    <row r="126" spans="1:11" x14ac:dyDescent="0.2">
      <c r="A126" t="s">
        <v>90</v>
      </c>
      <c r="B126" s="1">
        <v>45213</v>
      </c>
      <c r="C126" t="s">
        <v>57</v>
      </c>
      <c r="D126" t="s">
        <v>13</v>
      </c>
      <c r="E126" t="s">
        <v>25</v>
      </c>
      <c r="F126" t="s">
        <v>34</v>
      </c>
      <c r="J126" t="s">
        <v>16</v>
      </c>
      <c r="K126" t="s">
        <v>22</v>
      </c>
    </row>
    <row r="127" spans="1:11" x14ac:dyDescent="0.2">
      <c r="A127" t="s">
        <v>80</v>
      </c>
      <c r="B127" s="1">
        <v>45112</v>
      </c>
      <c r="C127" t="s">
        <v>12</v>
      </c>
      <c r="D127" t="s">
        <v>59</v>
      </c>
      <c r="E127" t="s">
        <v>14</v>
      </c>
      <c r="F127" t="s">
        <v>15</v>
      </c>
      <c r="I127">
        <v>0.06</v>
      </c>
      <c r="J127" t="s">
        <v>40</v>
      </c>
      <c r="K127" t="s">
        <v>27</v>
      </c>
    </row>
    <row r="128" spans="1:11" x14ac:dyDescent="0.2">
      <c r="A128" t="s">
        <v>30</v>
      </c>
      <c r="B128" s="1">
        <v>44978</v>
      </c>
      <c r="C128" t="s">
        <v>12</v>
      </c>
      <c r="D128" t="s">
        <v>13</v>
      </c>
      <c r="E128" t="s">
        <v>14</v>
      </c>
      <c r="H128">
        <v>759.67</v>
      </c>
      <c r="J128" t="s">
        <v>21</v>
      </c>
      <c r="K128" t="s">
        <v>35</v>
      </c>
    </row>
    <row r="129" spans="1:11" x14ac:dyDescent="0.2">
      <c r="A129" t="s">
        <v>135</v>
      </c>
      <c r="B129" s="1">
        <v>45151</v>
      </c>
      <c r="C129" t="s">
        <v>12</v>
      </c>
      <c r="D129" t="s">
        <v>83</v>
      </c>
      <c r="E129" t="s">
        <v>14</v>
      </c>
      <c r="F129" t="s">
        <v>15</v>
      </c>
      <c r="I129">
        <v>0.24</v>
      </c>
      <c r="J129" t="s">
        <v>21</v>
      </c>
      <c r="K129" t="s">
        <v>35</v>
      </c>
    </row>
    <row r="130" spans="1:11" x14ac:dyDescent="0.2">
      <c r="A130" t="s">
        <v>90</v>
      </c>
      <c r="B130" s="1">
        <v>45167</v>
      </c>
      <c r="C130" t="s">
        <v>37</v>
      </c>
      <c r="D130" t="s">
        <v>59</v>
      </c>
      <c r="E130" t="s">
        <v>48</v>
      </c>
      <c r="J130" t="s">
        <v>40</v>
      </c>
      <c r="K130" t="s">
        <v>35</v>
      </c>
    </row>
    <row r="131" spans="1:11" x14ac:dyDescent="0.2">
      <c r="A131" t="s">
        <v>136</v>
      </c>
      <c r="B131" s="1">
        <v>44997</v>
      </c>
      <c r="C131" t="s">
        <v>24</v>
      </c>
      <c r="D131" t="s">
        <v>19</v>
      </c>
      <c r="E131" t="s">
        <v>48</v>
      </c>
      <c r="F131" t="s">
        <v>39</v>
      </c>
      <c r="I131">
        <v>0.25</v>
      </c>
      <c r="J131" t="s">
        <v>52</v>
      </c>
      <c r="K131" t="s">
        <v>27</v>
      </c>
    </row>
    <row r="132" spans="1:11" x14ac:dyDescent="0.2">
      <c r="A132" t="s">
        <v>99</v>
      </c>
      <c r="B132" s="1">
        <v>45009</v>
      </c>
      <c r="C132" t="s">
        <v>24</v>
      </c>
      <c r="D132" t="s">
        <v>83</v>
      </c>
      <c r="E132" t="s">
        <v>44</v>
      </c>
      <c r="F132" t="s">
        <v>15</v>
      </c>
      <c r="G132">
        <v>14</v>
      </c>
      <c r="H132">
        <v>1893.36</v>
      </c>
      <c r="J132" t="s">
        <v>16</v>
      </c>
      <c r="K132" t="s">
        <v>22</v>
      </c>
    </row>
    <row r="133" spans="1:11" x14ac:dyDescent="0.2">
      <c r="A133" t="s">
        <v>137</v>
      </c>
      <c r="B133" s="1">
        <v>45129</v>
      </c>
      <c r="C133" t="s">
        <v>29</v>
      </c>
      <c r="D133" t="s">
        <v>33</v>
      </c>
      <c r="E133" t="s">
        <v>38</v>
      </c>
      <c r="F133" t="s">
        <v>26</v>
      </c>
      <c r="G133">
        <v>12</v>
      </c>
      <c r="H133">
        <v>66.09</v>
      </c>
      <c r="J133" t="s">
        <v>52</v>
      </c>
      <c r="K133" t="s">
        <v>35</v>
      </c>
    </row>
    <row r="134" spans="1:11" x14ac:dyDescent="0.2">
      <c r="A134" t="s">
        <v>138</v>
      </c>
      <c r="B134" s="1">
        <v>44946</v>
      </c>
      <c r="C134" t="s">
        <v>24</v>
      </c>
      <c r="E134" t="s">
        <v>38</v>
      </c>
      <c r="F134" t="s">
        <v>15</v>
      </c>
      <c r="H134">
        <v>1234.54</v>
      </c>
      <c r="I134">
        <v>0.01</v>
      </c>
      <c r="J134" t="s">
        <v>40</v>
      </c>
      <c r="K134" t="s">
        <v>17</v>
      </c>
    </row>
    <row r="135" spans="1:11" x14ac:dyDescent="0.2">
      <c r="A135" t="s">
        <v>139</v>
      </c>
      <c r="B135" s="1">
        <v>45238</v>
      </c>
      <c r="C135" t="s">
        <v>57</v>
      </c>
      <c r="D135" t="s">
        <v>19</v>
      </c>
      <c r="E135" t="s">
        <v>25</v>
      </c>
      <c r="F135" t="s">
        <v>34</v>
      </c>
      <c r="H135">
        <v>252.48</v>
      </c>
      <c r="J135" t="s">
        <v>42</v>
      </c>
      <c r="K135" t="s">
        <v>27</v>
      </c>
    </row>
    <row r="136" spans="1:11" x14ac:dyDescent="0.2">
      <c r="A136" t="s">
        <v>122</v>
      </c>
      <c r="B136" s="1">
        <v>45182</v>
      </c>
      <c r="C136" t="s">
        <v>12</v>
      </c>
      <c r="D136" t="s">
        <v>13</v>
      </c>
      <c r="E136" t="s">
        <v>44</v>
      </c>
      <c r="J136" t="s">
        <v>40</v>
      </c>
      <c r="K136" t="s">
        <v>17</v>
      </c>
    </row>
    <row r="137" spans="1:11" x14ac:dyDescent="0.2">
      <c r="A137" t="s">
        <v>140</v>
      </c>
      <c r="B137" s="1">
        <v>45022</v>
      </c>
      <c r="C137" t="s">
        <v>54</v>
      </c>
      <c r="D137" t="s">
        <v>31</v>
      </c>
      <c r="E137" t="s">
        <v>14</v>
      </c>
      <c r="F137" t="s">
        <v>26</v>
      </c>
      <c r="J137" t="s">
        <v>42</v>
      </c>
      <c r="K137" t="s">
        <v>27</v>
      </c>
    </row>
    <row r="138" spans="1:11" x14ac:dyDescent="0.2">
      <c r="A138" t="s">
        <v>69</v>
      </c>
      <c r="B138" s="1">
        <v>45125</v>
      </c>
      <c r="C138" t="s">
        <v>29</v>
      </c>
      <c r="D138" t="s">
        <v>59</v>
      </c>
      <c r="E138" t="s">
        <v>48</v>
      </c>
      <c r="F138" t="s">
        <v>26</v>
      </c>
      <c r="G138">
        <v>12</v>
      </c>
      <c r="I138">
        <v>0.2</v>
      </c>
      <c r="J138" t="s">
        <v>21</v>
      </c>
      <c r="K138" t="s">
        <v>55</v>
      </c>
    </row>
    <row r="139" spans="1:11" x14ac:dyDescent="0.2">
      <c r="A139" t="s">
        <v>141</v>
      </c>
      <c r="B139" s="1">
        <v>44949</v>
      </c>
      <c r="C139" t="s">
        <v>29</v>
      </c>
      <c r="D139" t="s">
        <v>31</v>
      </c>
      <c r="E139" t="s">
        <v>14</v>
      </c>
      <c r="F139" t="s">
        <v>15</v>
      </c>
      <c r="H139">
        <v>962.28</v>
      </c>
      <c r="I139">
        <v>0.24</v>
      </c>
      <c r="K139" t="s">
        <v>22</v>
      </c>
    </row>
    <row r="140" spans="1:11" x14ac:dyDescent="0.2">
      <c r="A140" t="s">
        <v>73</v>
      </c>
      <c r="B140" s="1">
        <v>45077</v>
      </c>
      <c r="C140" t="s">
        <v>37</v>
      </c>
      <c r="D140" t="s">
        <v>19</v>
      </c>
      <c r="E140" t="s">
        <v>25</v>
      </c>
      <c r="F140" t="s">
        <v>15</v>
      </c>
      <c r="J140" t="s">
        <v>42</v>
      </c>
      <c r="K140" t="s">
        <v>55</v>
      </c>
    </row>
    <row r="141" spans="1:11" x14ac:dyDescent="0.2">
      <c r="A141" t="s">
        <v>73</v>
      </c>
      <c r="B141" s="1">
        <v>45312</v>
      </c>
      <c r="C141" t="s">
        <v>37</v>
      </c>
      <c r="D141" t="s">
        <v>59</v>
      </c>
      <c r="E141" t="s">
        <v>14</v>
      </c>
      <c r="F141" t="s">
        <v>26</v>
      </c>
      <c r="K141" t="s">
        <v>22</v>
      </c>
    </row>
    <row r="142" spans="1:11" x14ac:dyDescent="0.2">
      <c r="A142" t="s">
        <v>142</v>
      </c>
      <c r="B142" s="1">
        <v>45100</v>
      </c>
      <c r="C142" t="s">
        <v>51</v>
      </c>
      <c r="D142" t="s">
        <v>83</v>
      </c>
      <c r="E142" t="s">
        <v>48</v>
      </c>
      <c r="F142" t="s">
        <v>39</v>
      </c>
      <c r="H142">
        <v>540.77</v>
      </c>
      <c r="I142">
        <v>0.22</v>
      </c>
      <c r="J142" t="s">
        <v>42</v>
      </c>
      <c r="K142" t="s">
        <v>17</v>
      </c>
    </row>
    <row r="143" spans="1:11" x14ac:dyDescent="0.2">
      <c r="A143" t="s">
        <v>143</v>
      </c>
      <c r="B143" s="1">
        <v>45206</v>
      </c>
      <c r="C143" t="s">
        <v>24</v>
      </c>
      <c r="D143" t="s">
        <v>59</v>
      </c>
      <c r="E143" t="s">
        <v>46</v>
      </c>
      <c r="F143" t="s">
        <v>26</v>
      </c>
      <c r="J143" t="s">
        <v>40</v>
      </c>
      <c r="K143" t="s">
        <v>22</v>
      </c>
    </row>
    <row r="144" spans="1:11" x14ac:dyDescent="0.2">
      <c r="A144" t="s">
        <v>144</v>
      </c>
      <c r="B144" s="1">
        <v>45155</v>
      </c>
      <c r="C144" t="s">
        <v>12</v>
      </c>
      <c r="D144" t="s">
        <v>13</v>
      </c>
      <c r="E144" t="s">
        <v>25</v>
      </c>
      <c r="F144" t="s">
        <v>34</v>
      </c>
      <c r="H144">
        <v>556.37</v>
      </c>
      <c r="J144" t="s">
        <v>42</v>
      </c>
      <c r="K144" t="s">
        <v>55</v>
      </c>
    </row>
    <row r="145" spans="1:11" x14ac:dyDescent="0.2">
      <c r="A145" t="s">
        <v>145</v>
      </c>
      <c r="B145" s="1">
        <v>45310</v>
      </c>
      <c r="C145" t="s">
        <v>51</v>
      </c>
      <c r="D145" t="s">
        <v>19</v>
      </c>
      <c r="E145" t="s">
        <v>20</v>
      </c>
      <c r="G145">
        <v>15</v>
      </c>
      <c r="H145">
        <v>261.2</v>
      </c>
      <c r="J145" t="s">
        <v>52</v>
      </c>
      <c r="K145" t="s">
        <v>22</v>
      </c>
    </row>
    <row r="146" spans="1:11" x14ac:dyDescent="0.2">
      <c r="A146" t="s">
        <v>146</v>
      </c>
      <c r="B146" s="1">
        <v>44943</v>
      </c>
      <c r="C146" t="s">
        <v>51</v>
      </c>
      <c r="D146" t="s">
        <v>13</v>
      </c>
      <c r="E146" t="s">
        <v>38</v>
      </c>
      <c r="F146" t="s">
        <v>34</v>
      </c>
      <c r="J146" t="s">
        <v>42</v>
      </c>
      <c r="K146" t="s">
        <v>55</v>
      </c>
    </row>
    <row r="147" spans="1:11" x14ac:dyDescent="0.2">
      <c r="A147" t="s">
        <v>147</v>
      </c>
      <c r="B147" s="1">
        <v>45069</v>
      </c>
      <c r="C147" t="s">
        <v>37</v>
      </c>
      <c r="D147" t="s">
        <v>19</v>
      </c>
      <c r="E147" t="s">
        <v>46</v>
      </c>
      <c r="F147" t="s">
        <v>15</v>
      </c>
      <c r="K147" t="s">
        <v>22</v>
      </c>
    </row>
    <row r="148" spans="1:11" x14ac:dyDescent="0.2">
      <c r="A148" t="s">
        <v>93</v>
      </c>
      <c r="B148" s="1">
        <v>45240</v>
      </c>
      <c r="C148" t="s">
        <v>24</v>
      </c>
      <c r="D148" t="s">
        <v>13</v>
      </c>
      <c r="E148" t="s">
        <v>38</v>
      </c>
      <c r="F148" t="s">
        <v>15</v>
      </c>
      <c r="G148">
        <v>4</v>
      </c>
      <c r="J148" t="s">
        <v>42</v>
      </c>
      <c r="K148" t="s">
        <v>27</v>
      </c>
    </row>
    <row r="149" spans="1:11" x14ac:dyDescent="0.2">
      <c r="A149" t="s">
        <v>115</v>
      </c>
      <c r="B149" s="1">
        <v>45090</v>
      </c>
      <c r="C149" t="s">
        <v>29</v>
      </c>
      <c r="D149" t="s">
        <v>13</v>
      </c>
      <c r="E149" t="s">
        <v>46</v>
      </c>
      <c r="H149">
        <v>1783.75</v>
      </c>
      <c r="K149" t="s">
        <v>35</v>
      </c>
    </row>
    <row r="150" spans="1:11" x14ac:dyDescent="0.2">
      <c r="A150" t="s">
        <v>148</v>
      </c>
      <c r="B150" s="1">
        <v>45187</v>
      </c>
      <c r="C150" t="s">
        <v>37</v>
      </c>
      <c r="D150" t="s">
        <v>19</v>
      </c>
      <c r="E150" t="s">
        <v>20</v>
      </c>
      <c r="F150" t="s">
        <v>15</v>
      </c>
      <c r="J150" t="s">
        <v>21</v>
      </c>
      <c r="K150" t="s">
        <v>35</v>
      </c>
    </row>
    <row r="151" spans="1:11" x14ac:dyDescent="0.2">
      <c r="A151" t="s">
        <v>68</v>
      </c>
      <c r="B151" s="1">
        <v>44971</v>
      </c>
      <c r="C151" t="s">
        <v>54</v>
      </c>
      <c r="D151" t="s">
        <v>59</v>
      </c>
      <c r="E151" t="s">
        <v>38</v>
      </c>
      <c r="F151" t="s">
        <v>39</v>
      </c>
      <c r="K151" t="s">
        <v>27</v>
      </c>
    </row>
    <row r="152" spans="1:11" x14ac:dyDescent="0.2">
      <c r="A152" t="s">
        <v>149</v>
      </c>
      <c r="B152" s="1">
        <v>45165</v>
      </c>
      <c r="C152" t="s">
        <v>29</v>
      </c>
      <c r="D152" t="s">
        <v>33</v>
      </c>
      <c r="E152" t="s">
        <v>25</v>
      </c>
      <c r="G152">
        <v>19</v>
      </c>
      <c r="H152">
        <v>1537.89</v>
      </c>
      <c r="I152">
        <v>0.13</v>
      </c>
      <c r="J152" t="s">
        <v>16</v>
      </c>
      <c r="K152" t="s">
        <v>17</v>
      </c>
    </row>
    <row r="153" spans="1:11" x14ac:dyDescent="0.2">
      <c r="A153" t="s">
        <v>50</v>
      </c>
      <c r="B153" s="1">
        <v>45082</v>
      </c>
      <c r="C153" t="s">
        <v>51</v>
      </c>
      <c r="D153" t="s">
        <v>33</v>
      </c>
      <c r="E153" t="s">
        <v>14</v>
      </c>
      <c r="F153" t="s">
        <v>15</v>
      </c>
      <c r="H153">
        <v>1790.9</v>
      </c>
      <c r="J153" t="s">
        <v>21</v>
      </c>
      <c r="K153" t="s">
        <v>55</v>
      </c>
    </row>
    <row r="154" spans="1:11" x14ac:dyDescent="0.2">
      <c r="A154" t="s">
        <v>88</v>
      </c>
      <c r="B154" s="1">
        <v>45247</v>
      </c>
      <c r="C154" t="s">
        <v>24</v>
      </c>
      <c r="D154" t="s">
        <v>31</v>
      </c>
      <c r="E154" t="s">
        <v>44</v>
      </c>
      <c r="F154" t="s">
        <v>26</v>
      </c>
      <c r="J154" t="s">
        <v>21</v>
      </c>
      <c r="K154" t="s">
        <v>17</v>
      </c>
    </row>
    <row r="155" spans="1:11" x14ac:dyDescent="0.2">
      <c r="A155" t="s">
        <v>150</v>
      </c>
      <c r="B155" s="1">
        <v>45215</v>
      </c>
      <c r="C155" t="s">
        <v>12</v>
      </c>
      <c r="E155" t="s">
        <v>25</v>
      </c>
      <c r="F155" t="s">
        <v>26</v>
      </c>
      <c r="G155">
        <v>3</v>
      </c>
      <c r="I155">
        <v>0.08</v>
      </c>
      <c r="J155" t="s">
        <v>21</v>
      </c>
      <c r="K155" t="s">
        <v>22</v>
      </c>
    </row>
    <row r="156" spans="1:11" x14ac:dyDescent="0.2">
      <c r="A156" t="s">
        <v>151</v>
      </c>
      <c r="B156" s="1">
        <v>45254</v>
      </c>
      <c r="C156" t="s">
        <v>12</v>
      </c>
      <c r="D156" t="s">
        <v>83</v>
      </c>
      <c r="E156" t="s">
        <v>48</v>
      </c>
      <c r="J156" t="s">
        <v>42</v>
      </c>
      <c r="K156" t="s">
        <v>55</v>
      </c>
    </row>
    <row r="157" spans="1:11" x14ac:dyDescent="0.2">
      <c r="A157" t="s">
        <v>125</v>
      </c>
      <c r="B157" s="1">
        <v>44964</v>
      </c>
      <c r="C157" t="s">
        <v>12</v>
      </c>
      <c r="D157" t="s">
        <v>33</v>
      </c>
      <c r="E157" t="s">
        <v>38</v>
      </c>
      <c r="F157" t="s">
        <v>39</v>
      </c>
      <c r="J157" t="s">
        <v>52</v>
      </c>
      <c r="K157" t="s">
        <v>55</v>
      </c>
    </row>
    <row r="158" spans="1:11" x14ac:dyDescent="0.2">
      <c r="A158" t="s">
        <v>98</v>
      </c>
      <c r="B158" s="1">
        <v>44993</v>
      </c>
      <c r="C158" t="s">
        <v>29</v>
      </c>
      <c r="D158" t="s">
        <v>31</v>
      </c>
      <c r="E158" t="s">
        <v>44</v>
      </c>
      <c r="F158" t="s">
        <v>26</v>
      </c>
      <c r="G158">
        <v>11</v>
      </c>
      <c r="I158">
        <v>0.13</v>
      </c>
      <c r="J158" t="s">
        <v>16</v>
      </c>
      <c r="K158" t="s">
        <v>27</v>
      </c>
    </row>
    <row r="159" spans="1:11" x14ac:dyDescent="0.2">
      <c r="A159" t="s">
        <v>152</v>
      </c>
      <c r="B159" s="1">
        <v>45123</v>
      </c>
      <c r="C159" t="s">
        <v>57</v>
      </c>
      <c r="D159" t="s">
        <v>33</v>
      </c>
      <c r="E159" t="s">
        <v>25</v>
      </c>
      <c r="F159" t="s">
        <v>15</v>
      </c>
      <c r="H159">
        <v>1445.05</v>
      </c>
      <c r="J159" t="s">
        <v>21</v>
      </c>
      <c r="K159" t="s">
        <v>22</v>
      </c>
    </row>
    <row r="160" spans="1:11" x14ac:dyDescent="0.2">
      <c r="A160" t="s">
        <v>108</v>
      </c>
      <c r="B160" s="1">
        <v>45084</v>
      </c>
      <c r="C160" t="s">
        <v>63</v>
      </c>
      <c r="D160" t="s">
        <v>19</v>
      </c>
      <c r="E160" t="s">
        <v>46</v>
      </c>
      <c r="F160" t="s">
        <v>39</v>
      </c>
      <c r="H160">
        <v>1933.71</v>
      </c>
      <c r="I160">
        <v>0.18</v>
      </c>
      <c r="J160" t="s">
        <v>16</v>
      </c>
      <c r="K160" t="s">
        <v>55</v>
      </c>
    </row>
    <row r="161" spans="1:11" x14ac:dyDescent="0.2">
      <c r="A161" t="s">
        <v>45</v>
      </c>
      <c r="B161" s="1">
        <v>45232</v>
      </c>
      <c r="C161" t="s">
        <v>63</v>
      </c>
      <c r="D161" t="s">
        <v>59</v>
      </c>
      <c r="E161" t="s">
        <v>44</v>
      </c>
      <c r="F161" t="s">
        <v>26</v>
      </c>
      <c r="J161" t="s">
        <v>52</v>
      </c>
      <c r="K161" t="s">
        <v>27</v>
      </c>
    </row>
    <row r="162" spans="1:11" x14ac:dyDescent="0.2">
      <c r="A162" t="s">
        <v>98</v>
      </c>
      <c r="B162" s="1">
        <v>44953</v>
      </c>
      <c r="C162" t="s">
        <v>37</v>
      </c>
      <c r="D162" t="s">
        <v>59</v>
      </c>
      <c r="E162" t="s">
        <v>44</v>
      </c>
      <c r="F162" t="s">
        <v>34</v>
      </c>
      <c r="K162" t="s">
        <v>17</v>
      </c>
    </row>
    <row r="163" spans="1:11" x14ac:dyDescent="0.2">
      <c r="A163" t="s">
        <v>131</v>
      </c>
      <c r="B163" s="1">
        <v>44992</v>
      </c>
      <c r="C163" t="s">
        <v>54</v>
      </c>
      <c r="D163" t="s">
        <v>83</v>
      </c>
      <c r="E163" t="s">
        <v>14</v>
      </c>
      <c r="F163" t="s">
        <v>34</v>
      </c>
      <c r="H163">
        <v>1512.38</v>
      </c>
      <c r="J163" t="s">
        <v>21</v>
      </c>
      <c r="K163" t="s">
        <v>27</v>
      </c>
    </row>
    <row r="164" spans="1:11" x14ac:dyDescent="0.2">
      <c r="A164" t="s">
        <v>153</v>
      </c>
      <c r="B164" s="1">
        <v>44946</v>
      </c>
      <c r="C164" t="s">
        <v>51</v>
      </c>
      <c r="D164" t="s">
        <v>13</v>
      </c>
      <c r="E164" t="s">
        <v>14</v>
      </c>
      <c r="F164" t="s">
        <v>39</v>
      </c>
      <c r="J164" t="s">
        <v>52</v>
      </c>
      <c r="K164" t="s">
        <v>35</v>
      </c>
    </row>
    <row r="165" spans="1:11" x14ac:dyDescent="0.2">
      <c r="A165" t="s">
        <v>154</v>
      </c>
      <c r="B165" s="1">
        <v>45242</v>
      </c>
      <c r="C165" t="s">
        <v>24</v>
      </c>
      <c r="D165" t="s">
        <v>31</v>
      </c>
      <c r="E165" t="s">
        <v>14</v>
      </c>
      <c r="I165">
        <v>0.09</v>
      </c>
      <c r="J165" t="s">
        <v>52</v>
      </c>
      <c r="K165" t="s">
        <v>55</v>
      </c>
    </row>
    <row r="166" spans="1:11" x14ac:dyDescent="0.2">
      <c r="A166" t="s">
        <v>155</v>
      </c>
      <c r="B166" s="1">
        <v>44983</v>
      </c>
      <c r="C166" t="s">
        <v>57</v>
      </c>
      <c r="D166" t="s">
        <v>31</v>
      </c>
      <c r="E166" t="s">
        <v>14</v>
      </c>
      <c r="F166" t="s">
        <v>26</v>
      </c>
      <c r="J166" t="s">
        <v>21</v>
      </c>
      <c r="K166" t="s">
        <v>35</v>
      </c>
    </row>
    <row r="167" spans="1:11" x14ac:dyDescent="0.2">
      <c r="A167" t="s">
        <v>135</v>
      </c>
      <c r="B167" s="1">
        <v>44953</v>
      </c>
      <c r="C167" t="s">
        <v>63</v>
      </c>
      <c r="D167" t="s">
        <v>33</v>
      </c>
      <c r="E167" t="s">
        <v>44</v>
      </c>
      <c r="G167">
        <v>13</v>
      </c>
      <c r="H167">
        <v>1645.11</v>
      </c>
      <c r="J167" t="s">
        <v>16</v>
      </c>
      <c r="K167" t="s">
        <v>35</v>
      </c>
    </row>
    <row r="168" spans="1:11" x14ac:dyDescent="0.2">
      <c r="A168" t="s">
        <v>156</v>
      </c>
      <c r="B168" s="1">
        <v>45152</v>
      </c>
      <c r="C168" t="s">
        <v>29</v>
      </c>
      <c r="D168" t="s">
        <v>83</v>
      </c>
      <c r="E168" t="s">
        <v>20</v>
      </c>
      <c r="F168" t="s">
        <v>39</v>
      </c>
      <c r="K168" t="s">
        <v>27</v>
      </c>
    </row>
    <row r="169" spans="1:11" x14ac:dyDescent="0.2">
      <c r="A169" t="s">
        <v>157</v>
      </c>
      <c r="B169" s="1">
        <v>44997</v>
      </c>
      <c r="C169" t="s">
        <v>37</v>
      </c>
      <c r="D169" t="s">
        <v>31</v>
      </c>
      <c r="E169" t="s">
        <v>14</v>
      </c>
      <c r="F169" t="s">
        <v>39</v>
      </c>
      <c r="H169">
        <v>634.37</v>
      </c>
      <c r="J169" t="s">
        <v>52</v>
      </c>
      <c r="K169" t="s">
        <v>17</v>
      </c>
    </row>
    <row r="170" spans="1:11" x14ac:dyDescent="0.2">
      <c r="A170" t="s">
        <v>127</v>
      </c>
      <c r="B170" s="1">
        <v>45273</v>
      </c>
      <c r="C170" t="s">
        <v>24</v>
      </c>
      <c r="D170" t="s">
        <v>31</v>
      </c>
      <c r="E170" t="s">
        <v>38</v>
      </c>
      <c r="F170" t="s">
        <v>15</v>
      </c>
      <c r="H170">
        <v>1120.5899999999999</v>
      </c>
      <c r="J170" t="s">
        <v>52</v>
      </c>
      <c r="K170" t="s">
        <v>35</v>
      </c>
    </row>
    <row r="171" spans="1:11" x14ac:dyDescent="0.2">
      <c r="A171" t="s">
        <v>158</v>
      </c>
      <c r="B171" s="1">
        <v>45287</v>
      </c>
      <c r="C171" t="s">
        <v>63</v>
      </c>
      <c r="D171" t="s">
        <v>59</v>
      </c>
      <c r="E171" t="s">
        <v>38</v>
      </c>
      <c r="F171" t="s">
        <v>34</v>
      </c>
      <c r="H171">
        <v>554.17999999999995</v>
      </c>
      <c r="J171" t="s">
        <v>42</v>
      </c>
      <c r="K171" t="s">
        <v>22</v>
      </c>
    </row>
    <row r="172" spans="1:11" x14ac:dyDescent="0.2">
      <c r="A172" t="s">
        <v>159</v>
      </c>
      <c r="B172" s="1">
        <v>45322</v>
      </c>
      <c r="C172" t="s">
        <v>51</v>
      </c>
      <c r="D172" t="s">
        <v>59</v>
      </c>
      <c r="E172" t="s">
        <v>46</v>
      </c>
      <c r="F172" t="s">
        <v>34</v>
      </c>
      <c r="J172" t="s">
        <v>40</v>
      </c>
      <c r="K172" t="s">
        <v>35</v>
      </c>
    </row>
    <row r="173" spans="1:11" x14ac:dyDescent="0.2">
      <c r="A173" t="s">
        <v>160</v>
      </c>
      <c r="B173" s="1">
        <v>45065</v>
      </c>
      <c r="C173" t="s">
        <v>24</v>
      </c>
      <c r="D173" t="s">
        <v>33</v>
      </c>
      <c r="E173" t="s">
        <v>46</v>
      </c>
      <c r="G173">
        <v>19</v>
      </c>
      <c r="I173">
        <v>0.27</v>
      </c>
      <c r="K173" t="s">
        <v>35</v>
      </c>
    </row>
    <row r="174" spans="1:11" x14ac:dyDescent="0.2">
      <c r="A174" t="s">
        <v>137</v>
      </c>
      <c r="B174" s="1">
        <v>44978</v>
      </c>
      <c r="C174" t="s">
        <v>57</v>
      </c>
      <c r="D174" t="s">
        <v>59</v>
      </c>
      <c r="E174" t="s">
        <v>48</v>
      </c>
      <c r="F174" t="s">
        <v>39</v>
      </c>
      <c r="H174">
        <v>1543.82</v>
      </c>
      <c r="I174">
        <v>0.28999999999999998</v>
      </c>
      <c r="J174" t="s">
        <v>42</v>
      </c>
      <c r="K174" t="s">
        <v>22</v>
      </c>
    </row>
    <row r="175" spans="1:11" x14ac:dyDescent="0.2">
      <c r="A175" t="s">
        <v>161</v>
      </c>
      <c r="B175" s="1">
        <v>45260</v>
      </c>
      <c r="C175" t="s">
        <v>37</v>
      </c>
      <c r="E175" t="s">
        <v>14</v>
      </c>
      <c r="F175" t="s">
        <v>34</v>
      </c>
      <c r="H175">
        <v>127.73</v>
      </c>
      <c r="I175">
        <v>0.2</v>
      </c>
      <c r="J175" t="s">
        <v>21</v>
      </c>
      <c r="K175" t="s">
        <v>27</v>
      </c>
    </row>
    <row r="176" spans="1:11" x14ac:dyDescent="0.2">
      <c r="A176" t="s">
        <v>117</v>
      </c>
      <c r="B176" s="1">
        <v>45140</v>
      </c>
      <c r="C176" t="s">
        <v>51</v>
      </c>
      <c r="D176" t="s">
        <v>19</v>
      </c>
      <c r="E176" t="s">
        <v>25</v>
      </c>
      <c r="F176" t="s">
        <v>39</v>
      </c>
      <c r="G176">
        <v>16</v>
      </c>
      <c r="I176">
        <v>0.26</v>
      </c>
      <c r="J176" t="s">
        <v>52</v>
      </c>
      <c r="K176" t="s">
        <v>17</v>
      </c>
    </row>
    <row r="177" spans="1:11" x14ac:dyDescent="0.2">
      <c r="A177" t="s">
        <v>136</v>
      </c>
      <c r="B177" s="1">
        <v>44981</v>
      </c>
      <c r="C177" t="s">
        <v>29</v>
      </c>
      <c r="D177" t="s">
        <v>59</v>
      </c>
      <c r="E177" t="s">
        <v>38</v>
      </c>
      <c r="H177">
        <v>1779.63</v>
      </c>
      <c r="J177" t="s">
        <v>52</v>
      </c>
      <c r="K177" t="s">
        <v>35</v>
      </c>
    </row>
    <row r="178" spans="1:11" x14ac:dyDescent="0.2">
      <c r="A178" t="s">
        <v>122</v>
      </c>
      <c r="B178" s="1">
        <v>45096</v>
      </c>
      <c r="C178" t="s">
        <v>51</v>
      </c>
      <c r="D178" t="s">
        <v>13</v>
      </c>
      <c r="E178" t="s">
        <v>38</v>
      </c>
      <c r="F178" t="s">
        <v>34</v>
      </c>
      <c r="G178">
        <v>6</v>
      </c>
      <c r="I178">
        <v>0.17</v>
      </c>
      <c r="J178" t="s">
        <v>40</v>
      </c>
      <c r="K178" t="s">
        <v>17</v>
      </c>
    </row>
    <row r="179" spans="1:11" x14ac:dyDescent="0.2">
      <c r="A179" t="s">
        <v>11</v>
      </c>
      <c r="B179" s="1">
        <v>45134</v>
      </c>
      <c r="C179" t="s">
        <v>57</v>
      </c>
      <c r="D179" t="s">
        <v>31</v>
      </c>
      <c r="E179" t="s">
        <v>14</v>
      </c>
      <c r="F179" t="s">
        <v>26</v>
      </c>
      <c r="H179">
        <v>199.82</v>
      </c>
      <c r="I179">
        <v>0.14000000000000001</v>
      </c>
      <c r="J179" t="s">
        <v>16</v>
      </c>
      <c r="K179" t="s">
        <v>55</v>
      </c>
    </row>
    <row r="180" spans="1:11" x14ac:dyDescent="0.2">
      <c r="A180" t="s">
        <v>142</v>
      </c>
      <c r="B180" s="1">
        <v>45047</v>
      </c>
      <c r="C180" t="s">
        <v>63</v>
      </c>
      <c r="E180" t="s">
        <v>14</v>
      </c>
      <c r="F180" t="s">
        <v>34</v>
      </c>
      <c r="H180">
        <v>1448.54</v>
      </c>
      <c r="K180" t="s">
        <v>35</v>
      </c>
    </row>
    <row r="181" spans="1:11" x14ac:dyDescent="0.2">
      <c r="A181" t="s">
        <v>62</v>
      </c>
      <c r="B181" s="1">
        <v>45268</v>
      </c>
      <c r="C181" t="s">
        <v>54</v>
      </c>
      <c r="D181" t="s">
        <v>83</v>
      </c>
      <c r="E181" t="s">
        <v>14</v>
      </c>
      <c r="F181" t="s">
        <v>15</v>
      </c>
      <c r="J181" t="s">
        <v>16</v>
      </c>
      <c r="K181" t="s">
        <v>55</v>
      </c>
    </row>
    <row r="182" spans="1:11" x14ac:dyDescent="0.2">
      <c r="A182" t="s">
        <v>95</v>
      </c>
      <c r="B182" s="1">
        <v>45241</v>
      </c>
      <c r="C182" t="s">
        <v>37</v>
      </c>
      <c r="D182" t="s">
        <v>33</v>
      </c>
      <c r="E182" t="s">
        <v>20</v>
      </c>
      <c r="F182" t="s">
        <v>39</v>
      </c>
      <c r="J182" t="s">
        <v>21</v>
      </c>
      <c r="K182" t="s">
        <v>22</v>
      </c>
    </row>
    <row r="183" spans="1:11" x14ac:dyDescent="0.2">
      <c r="A183" t="s">
        <v>162</v>
      </c>
      <c r="B183" s="1">
        <v>45202</v>
      </c>
      <c r="C183" t="s">
        <v>37</v>
      </c>
      <c r="E183" t="s">
        <v>20</v>
      </c>
      <c r="J183" t="s">
        <v>16</v>
      </c>
      <c r="K183" t="s">
        <v>27</v>
      </c>
    </row>
    <row r="184" spans="1:11" x14ac:dyDescent="0.2">
      <c r="A184" t="s">
        <v>163</v>
      </c>
      <c r="B184" s="1">
        <v>45185</v>
      </c>
      <c r="C184" t="s">
        <v>37</v>
      </c>
      <c r="D184" t="s">
        <v>31</v>
      </c>
      <c r="E184" t="s">
        <v>44</v>
      </c>
      <c r="F184" t="s">
        <v>15</v>
      </c>
      <c r="I184">
        <v>0.03</v>
      </c>
      <c r="K184" t="s">
        <v>17</v>
      </c>
    </row>
    <row r="185" spans="1:11" x14ac:dyDescent="0.2">
      <c r="A185" t="s">
        <v>164</v>
      </c>
      <c r="B185" s="1">
        <v>44973</v>
      </c>
      <c r="C185" t="s">
        <v>63</v>
      </c>
      <c r="E185" t="s">
        <v>46</v>
      </c>
      <c r="F185" t="s">
        <v>39</v>
      </c>
      <c r="K185" t="s">
        <v>55</v>
      </c>
    </row>
    <row r="186" spans="1:11" x14ac:dyDescent="0.2">
      <c r="A186" t="s">
        <v>165</v>
      </c>
      <c r="B186" s="1">
        <v>44938</v>
      </c>
      <c r="C186" t="s">
        <v>57</v>
      </c>
      <c r="D186" t="s">
        <v>59</v>
      </c>
      <c r="E186" t="s">
        <v>25</v>
      </c>
      <c r="F186" t="s">
        <v>26</v>
      </c>
      <c r="I186">
        <v>0.1</v>
      </c>
      <c r="J186" t="s">
        <v>21</v>
      </c>
      <c r="K186" t="s">
        <v>27</v>
      </c>
    </row>
    <row r="187" spans="1:11" x14ac:dyDescent="0.2">
      <c r="A187" t="s">
        <v>60</v>
      </c>
      <c r="B187" s="1">
        <v>45168</v>
      </c>
      <c r="C187" t="s">
        <v>12</v>
      </c>
      <c r="D187" t="s">
        <v>59</v>
      </c>
      <c r="E187" t="s">
        <v>38</v>
      </c>
      <c r="F187" t="s">
        <v>15</v>
      </c>
      <c r="J187" t="s">
        <v>42</v>
      </c>
      <c r="K187" t="s">
        <v>22</v>
      </c>
    </row>
    <row r="188" spans="1:11" x14ac:dyDescent="0.2">
      <c r="A188" t="s">
        <v>166</v>
      </c>
      <c r="B188" s="1">
        <v>45119</v>
      </c>
      <c r="C188" t="s">
        <v>54</v>
      </c>
      <c r="D188" t="s">
        <v>13</v>
      </c>
      <c r="E188" t="s">
        <v>48</v>
      </c>
      <c r="H188">
        <v>1721.97</v>
      </c>
      <c r="J188" t="s">
        <v>42</v>
      </c>
      <c r="K188" t="s">
        <v>17</v>
      </c>
    </row>
    <row r="189" spans="1:11" x14ac:dyDescent="0.2">
      <c r="A189" t="s">
        <v>88</v>
      </c>
      <c r="B189" s="1">
        <v>45299</v>
      </c>
      <c r="C189" t="s">
        <v>37</v>
      </c>
      <c r="E189" t="s">
        <v>46</v>
      </c>
      <c r="F189" t="s">
        <v>26</v>
      </c>
      <c r="J189" t="s">
        <v>40</v>
      </c>
      <c r="K189" t="s">
        <v>35</v>
      </c>
    </row>
    <row r="190" spans="1:11" x14ac:dyDescent="0.2">
      <c r="A190" t="s">
        <v>167</v>
      </c>
      <c r="B190" s="1">
        <v>45104</v>
      </c>
      <c r="C190" t="s">
        <v>51</v>
      </c>
      <c r="D190" t="s">
        <v>59</v>
      </c>
      <c r="E190" t="s">
        <v>20</v>
      </c>
      <c r="F190" t="s">
        <v>26</v>
      </c>
      <c r="H190">
        <v>844.29</v>
      </c>
      <c r="I190">
        <v>7.0000000000000007E-2</v>
      </c>
      <c r="J190" t="s">
        <v>16</v>
      </c>
      <c r="K190" t="s">
        <v>17</v>
      </c>
    </row>
    <row r="191" spans="1:11" x14ac:dyDescent="0.2">
      <c r="A191" t="s">
        <v>168</v>
      </c>
      <c r="B191" s="1">
        <v>45155</v>
      </c>
      <c r="C191" t="s">
        <v>12</v>
      </c>
      <c r="D191" t="s">
        <v>33</v>
      </c>
      <c r="E191" t="s">
        <v>48</v>
      </c>
      <c r="F191" t="s">
        <v>26</v>
      </c>
      <c r="H191">
        <v>476.34</v>
      </c>
      <c r="I191">
        <v>0.23</v>
      </c>
      <c r="J191" t="s">
        <v>40</v>
      </c>
      <c r="K191" t="s">
        <v>17</v>
      </c>
    </row>
    <row r="192" spans="1:11" x14ac:dyDescent="0.2">
      <c r="A192" t="s">
        <v>152</v>
      </c>
      <c r="B192" s="1">
        <v>45046</v>
      </c>
      <c r="C192" t="s">
        <v>29</v>
      </c>
      <c r="D192" t="s">
        <v>31</v>
      </c>
      <c r="E192" t="s">
        <v>44</v>
      </c>
      <c r="F192" t="s">
        <v>34</v>
      </c>
      <c r="J192" t="s">
        <v>52</v>
      </c>
      <c r="K192" t="s">
        <v>55</v>
      </c>
    </row>
    <row r="193" spans="1:11" x14ac:dyDescent="0.2">
      <c r="A193" t="s">
        <v>62</v>
      </c>
      <c r="B193" s="1">
        <v>45212</v>
      </c>
      <c r="C193" t="s">
        <v>51</v>
      </c>
      <c r="D193" t="s">
        <v>13</v>
      </c>
      <c r="E193" t="s">
        <v>48</v>
      </c>
      <c r="F193" t="s">
        <v>39</v>
      </c>
      <c r="J193" t="s">
        <v>42</v>
      </c>
      <c r="K193" t="s">
        <v>17</v>
      </c>
    </row>
    <row r="194" spans="1:11" x14ac:dyDescent="0.2">
      <c r="A194" t="s">
        <v>169</v>
      </c>
      <c r="B194" s="1">
        <v>45283</v>
      </c>
      <c r="C194" t="s">
        <v>57</v>
      </c>
      <c r="D194" t="s">
        <v>83</v>
      </c>
      <c r="E194" t="s">
        <v>20</v>
      </c>
      <c r="F194" t="s">
        <v>34</v>
      </c>
      <c r="G194">
        <v>13</v>
      </c>
      <c r="I194">
        <v>7.0000000000000007E-2</v>
      </c>
      <c r="J194" t="s">
        <v>52</v>
      </c>
      <c r="K194" t="s">
        <v>35</v>
      </c>
    </row>
    <row r="195" spans="1:11" x14ac:dyDescent="0.2">
      <c r="A195" t="s">
        <v>84</v>
      </c>
      <c r="B195" s="1">
        <v>44956</v>
      </c>
      <c r="C195" t="s">
        <v>57</v>
      </c>
      <c r="D195" t="s">
        <v>83</v>
      </c>
      <c r="E195" t="s">
        <v>44</v>
      </c>
      <c r="H195">
        <v>493.29</v>
      </c>
      <c r="I195">
        <v>0.1</v>
      </c>
      <c r="J195" t="s">
        <v>42</v>
      </c>
      <c r="K195" t="s">
        <v>55</v>
      </c>
    </row>
    <row r="196" spans="1:11" x14ac:dyDescent="0.2">
      <c r="A196" t="s">
        <v>126</v>
      </c>
      <c r="B196" s="1">
        <v>45201</v>
      </c>
      <c r="C196" t="s">
        <v>37</v>
      </c>
      <c r="D196" t="s">
        <v>19</v>
      </c>
      <c r="E196" t="s">
        <v>14</v>
      </c>
      <c r="F196" t="s">
        <v>39</v>
      </c>
      <c r="H196">
        <v>88.7</v>
      </c>
      <c r="K196" t="s">
        <v>17</v>
      </c>
    </row>
    <row r="197" spans="1:11" x14ac:dyDescent="0.2">
      <c r="A197" t="s">
        <v>121</v>
      </c>
      <c r="B197" s="1">
        <v>45172</v>
      </c>
      <c r="C197" t="s">
        <v>37</v>
      </c>
      <c r="E197" t="s">
        <v>14</v>
      </c>
      <c r="F197" t="s">
        <v>34</v>
      </c>
      <c r="G197">
        <v>1</v>
      </c>
      <c r="J197" t="s">
        <v>40</v>
      </c>
      <c r="K197" t="s">
        <v>17</v>
      </c>
    </row>
    <row r="198" spans="1:11" x14ac:dyDescent="0.2">
      <c r="A198" t="s">
        <v>157</v>
      </c>
      <c r="B198" s="1">
        <v>45031</v>
      </c>
      <c r="C198" t="s">
        <v>57</v>
      </c>
      <c r="D198" t="s">
        <v>33</v>
      </c>
      <c r="E198" t="s">
        <v>44</v>
      </c>
      <c r="F198" t="s">
        <v>34</v>
      </c>
      <c r="J198" t="s">
        <v>52</v>
      </c>
      <c r="K198" t="s">
        <v>17</v>
      </c>
    </row>
    <row r="199" spans="1:11" x14ac:dyDescent="0.2">
      <c r="A199" t="s">
        <v>108</v>
      </c>
      <c r="B199" s="1">
        <v>45165</v>
      </c>
      <c r="C199" t="s">
        <v>54</v>
      </c>
      <c r="E199" t="s">
        <v>48</v>
      </c>
      <c r="F199" t="s">
        <v>39</v>
      </c>
      <c r="G199">
        <v>11</v>
      </c>
      <c r="I199">
        <v>0.01</v>
      </c>
      <c r="K199" t="s">
        <v>35</v>
      </c>
    </row>
    <row r="200" spans="1:11" x14ac:dyDescent="0.2">
      <c r="A200" t="s">
        <v>156</v>
      </c>
      <c r="B200" s="1">
        <v>45060</v>
      </c>
      <c r="C200" t="s">
        <v>57</v>
      </c>
      <c r="D200" t="s">
        <v>59</v>
      </c>
      <c r="E200" t="s">
        <v>20</v>
      </c>
      <c r="F200" t="s">
        <v>15</v>
      </c>
      <c r="G200">
        <v>11</v>
      </c>
      <c r="H200">
        <v>765.88</v>
      </c>
      <c r="K200" t="s">
        <v>55</v>
      </c>
    </row>
    <row r="201" spans="1:11" x14ac:dyDescent="0.2">
      <c r="A201" t="s">
        <v>170</v>
      </c>
      <c r="B201" s="1">
        <v>45317</v>
      </c>
      <c r="C201" t="s">
        <v>63</v>
      </c>
      <c r="D201" t="s">
        <v>13</v>
      </c>
      <c r="E201" t="s">
        <v>48</v>
      </c>
      <c r="F201" t="s">
        <v>39</v>
      </c>
      <c r="G201">
        <v>15</v>
      </c>
      <c r="J201" t="s">
        <v>21</v>
      </c>
      <c r="K201" t="s">
        <v>22</v>
      </c>
    </row>
    <row r="202" spans="1:11" x14ac:dyDescent="0.2">
      <c r="A202" t="s">
        <v>171</v>
      </c>
      <c r="B202" s="1">
        <v>45204</v>
      </c>
      <c r="C202" t="s">
        <v>12</v>
      </c>
      <c r="D202" t="s">
        <v>31</v>
      </c>
      <c r="E202" t="s">
        <v>46</v>
      </c>
      <c r="F202" t="s">
        <v>26</v>
      </c>
      <c r="G202">
        <v>2</v>
      </c>
      <c r="J202" t="s">
        <v>40</v>
      </c>
      <c r="K202" t="s">
        <v>27</v>
      </c>
    </row>
    <row r="203" spans="1:11" x14ac:dyDescent="0.2">
      <c r="A203" t="s">
        <v>121</v>
      </c>
      <c r="B203" s="1">
        <v>45185</v>
      </c>
      <c r="C203" t="s">
        <v>63</v>
      </c>
      <c r="D203" t="s">
        <v>59</v>
      </c>
      <c r="E203" t="s">
        <v>46</v>
      </c>
      <c r="H203">
        <v>1321.98</v>
      </c>
      <c r="J203" t="s">
        <v>42</v>
      </c>
      <c r="K203" t="s">
        <v>27</v>
      </c>
    </row>
    <row r="204" spans="1:11" x14ac:dyDescent="0.2">
      <c r="A204" t="s">
        <v>156</v>
      </c>
      <c r="B204" s="1">
        <v>45198</v>
      </c>
      <c r="C204" t="s">
        <v>24</v>
      </c>
      <c r="D204" t="s">
        <v>31</v>
      </c>
      <c r="E204" t="s">
        <v>14</v>
      </c>
      <c r="F204" t="s">
        <v>26</v>
      </c>
      <c r="H204">
        <v>1351.33</v>
      </c>
      <c r="I204">
        <v>0.03</v>
      </c>
      <c r="J204" t="s">
        <v>21</v>
      </c>
      <c r="K204" t="s">
        <v>35</v>
      </c>
    </row>
    <row r="205" spans="1:11" x14ac:dyDescent="0.2">
      <c r="A205" t="s">
        <v>172</v>
      </c>
      <c r="B205" s="1">
        <v>45025</v>
      </c>
      <c r="C205" t="s">
        <v>24</v>
      </c>
      <c r="E205" t="s">
        <v>14</v>
      </c>
      <c r="F205" t="s">
        <v>34</v>
      </c>
      <c r="G205">
        <v>13</v>
      </c>
      <c r="I205">
        <v>0.14000000000000001</v>
      </c>
      <c r="K205" t="s">
        <v>35</v>
      </c>
    </row>
    <row r="206" spans="1:11" x14ac:dyDescent="0.2">
      <c r="A206" t="s">
        <v>173</v>
      </c>
      <c r="B206" s="1">
        <v>45277</v>
      </c>
      <c r="C206" t="s">
        <v>54</v>
      </c>
      <c r="D206" t="s">
        <v>13</v>
      </c>
      <c r="E206" t="s">
        <v>25</v>
      </c>
      <c r="F206" t="s">
        <v>26</v>
      </c>
      <c r="J206" t="s">
        <v>16</v>
      </c>
      <c r="K206" t="s">
        <v>35</v>
      </c>
    </row>
    <row r="207" spans="1:11" x14ac:dyDescent="0.2">
      <c r="A207" t="s">
        <v>174</v>
      </c>
      <c r="B207" s="1">
        <v>45182</v>
      </c>
      <c r="C207" t="s">
        <v>57</v>
      </c>
      <c r="D207" t="s">
        <v>13</v>
      </c>
      <c r="E207" t="s">
        <v>25</v>
      </c>
      <c r="F207" t="s">
        <v>34</v>
      </c>
      <c r="G207">
        <v>19</v>
      </c>
      <c r="H207">
        <v>1790.63</v>
      </c>
      <c r="J207" t="s">
        <v>21</v>
      </c>
      <c r="K207" t="s">
        <v>22</v>
      </c>
    </row>
    <row r="208" spans="1:11" x14ac:dyDescent="0.2">
      <c r="A208" t="s">
        <v>175</v>
      </c>
      <c r="B208" s="1">
        <v>44950</v>
      </c>
      <c r="C208" t="s">
        <v>54</v>
      </c>
      <c r="D208" t="s">
        <v>13</v>
      </c>
      <c r="E208" t="s">
        <v>14</v>
      </c>
      <c r="I208">
        <v>0</v>
      </c>
      <c r="J208" t="s">
        <v>21</v>
      </c>
      <c r="K208" t="s">
        <v>35</v>
      </c>
    </row>
    <row r="209" spans="1:11" x14ac:dyDescent="0.2">
      <c r="A209" t="s">
        <v>176</v>
      </c>
      <c r="B209" s="1">
        <v>45291</v>
      </c>
      <c r="C209" t="s">
        <v>57</v>
      </c>
      <c r="D209" t="s">
        <v>19</v>
      </c>
      <c r="E209" t="s">
        <v>14</v>
      </c>
      <c r="F209" t="s">
        <v>15</v>
      </c>
      <c r="G209">
        <v>19</v>
      </c>
      <c r="J209" t="s">
        <v>52</v>
      </c>
      <c r="K209" t="s">
        <v>22</v>
      </c>
    </row>
    <row r="210" spans="1:11" x14ac:dyDescent="0.2">
      <c r="A210" t="s">
        <v>162</v>
      </c>
      <c r="B210" s="1">
        <v>45305</v>
      </c>
      <c r="C210" t="s">
        <v>51</v>
      </c>
      <c r="E210" t="s">
        <v>48</v>
      </c>
      <c r="F210" t="s">
        <v>26</v>
      </c>
      <c r="H210">
        <v>1948.9</v>
      </c>
      <c r="I210">
        <v>0.03</v>
      </c>
      <c r="J210" t="s">
        <v>16</v>
      </c>
      <c r="K210" t="s">
        <v>55</v>
      </c>
    </row>
    <row r="211" spans="1:11" x14ac:dyDescent="0.2">
      <c r="A211" t="s">
        <v>136</v>
      </c>
      <c r="B211" s="1">
        <v>45320</v>
      </c>
      <c r="C211" t="s">
        <v>57</v>
      </c>
      <c r="E211" t="s">
        <v>14</v>
      </c>
      <c r="F211" t="s">
        <v>26</v>
      </c>
      <c r="J211" t="s">
        <v>42</v>
      </c>
      <c r="K211" t="s">
        <v>35</v>
      </c>
    </row>
    <row r="212" spans="1:11" x14ac:dyDescent="0.2">
      <c r="A212" t="s">
        <v>115</v>
      </c>
      <c r="B212" s="1">
        <v>45226</v>
      </c>
      <c r="C212" t="s">
        <v>57</v>
      </c>
      <c r="D212" t="s">
        <v>19</v>
      </c>
      <c r="E212" t="s">
        <v>25</v>
      </c>
      <c r="G212">
        <v>10</v>
      </c>
      <c r="H212">
        <v>1429.09</v>
      </c>
      <c r="K212" t="s">
        <v>35</v>
      </c>
    </row>
    <row r="213" spans="1:11" x14ac:dyDescent="0.2">
      <c r="A213" t="s">
        <v>177</v>
      </c>
      <c r="B213" s="1">
        <v>45126</v>
      </c>
      <c r="C213" t="s">
        <v>29</v>
      </c>
      <c r="D213" t="s">
        <v>59</v>
      </c>
      <c r="E213" t="s">
        <v>46</v>
      </c>
      <c r="F213" t="s">
        <v>26</v>
      </c>
      <c r="I213">
        <v>0.03</v>
      </c>
      <c r="J213" t="s">
        <v>40</v>
      </c>
      <c r="K213" t="s">
        <v>22</v>
      </c>
    </row>
    <row r="214" spans="1:11" x14ac:dyDescent="0.2">
      <c r="A214" t="s">
        <v>178</v>
      </c>
      <c r="B214" s="1">
        <v>45212</v>
      </c>
      <c r="C214" t="s">
        <v>57</v>
      </c>
      <c r="D214" t="s">
        <v>19</v>
      </c>
      <c r="E214" t="s">
        <v>46</v>
      </c>
      <c r="F214" t="s">
        <v>26</v>
      </c>
      <c r="J214" t="s">
        <v>16</v>
      </c>
      <c r="K214" t="s">
        <v>55</v>
      </c>
    </row>
    <row r="215" spans="1:11" x14ac:dyDescent="0.2">
      <c r="A215" t="s">
        <v>179</v>
      </c>
      <c r="B215" s="1">
        <v>45125</v>
      </c>
      <c r="C215" t="s">
        <v>54</v>
      </c>
      <c r="D215" t="s">
        <v>13</v>
      </c>
      <c r="E215" t="s">
        <v>44</v>
      </c>
      <c r="F215" t="s">
        <v>15</v>
      </c>
      <c r="J215" t="s">
        <v>52</v>
      </c>
      <c r="K215" t="s">
        <v>55</v>
      </c>
    </row>
    <row r="216" spans="1:11" x14ac:dyDescent="0.2">
      <c r="A216" t="s">
        <v>45</v>
      </c>
      <c r="B216" s="1">
        <v>45001</v>
      </c>
      <c r="C216" t="s">
        <v>54</v>
      </c>
      <c r="D216" t="s">
        <v>33</v>
      </c>
      <c r="E216" t="s">
        <v>38</v>
      </c>
      <c r="F216" t="s">
        <v>34</v>
      </c>
      <c r="H216">
        <v>973.62</v>
      </c>
      <c r="I216">
        <v>0.11</v>
      </c>
      <c r="K216" t="s">
        <v>22</v>
      </c>
    </row>
    <row r="217" spans="1:11" x14ac:dyDescent="0.2">
      <c r="A217" t="s">
        <v>180</v>
      </c>
      <c r="B217" s="1">
        <v>45242</v>
      </c>
      <c r="C217" t="s">
        <v>37</v>
      </c>
      <c r="D217" t="s">
        <v>83</v>
      </c>
      <c r="E217" t="s">
        <v>46</v>
      </c>
      <c r="F217" t="s">
        <v>15</v>
      </c>
      <c r="G217">
        <v>10</v>
      </c>
      <c r="J217" t="s">
        <v>52</v>
      </c>
      <c r="K217" t="s">
        <v>22</v>
      </c>
    </row>
    <row r="218" spans="1:11" x14ac:dyDescent="0.2">
      <c r="A218" t="s">
        <v>181</v>
      </c>
      <c r="B218" s="1">
        <v>45147</v>
      </c>
      <c r="C218" t="s">
        <v>51</v>
      </c>
      <c r="D218" t="s">
        <v>59</v>
      </c>
      <c r="E218" t="s">
        <v>14</v>
      </c>
      <c r="K218" t="s">
        <v>22</v>
      </c>
    </row>
    <row r="219" spans="1:11" x14ac:dyDescent="0.2">
      <c r="A219" t="s">
        <v>76</v>
      </c>
      <c r="B219" s="1">
        <v>45327</v>
      </c>
      <c r="C219" t="s">
        <v>37</v>
      </c>
      <c r="D219" t="s">
        <v>59</v>
      </c>
      <c r="E219" t="s">
        <v>38</v>
      </c>
      <c r="F219" t="s">
        <v>34</v>
      </c>
      <c r="J219" t="s">
        <v>40</v>
      </c>
      <c r="K219" t="s">
        <v>17</v>
      </c>
    </row>
    <row r="220" spans="1:11" x14ac:dyDescent="0.2">
      <c r="A220" t="s">
        <v>128</v>
      </c>
      <c r="B220" s="1">
        <v>45299</v>
      </c>
      <c r="C220" t="s">
        <v>63</v>
      </c>
      <c r="D220" t="s">
        <v>13</v>
      </c>
      <c r="E220" t="s">
        <v>20</v>
      </c>
      <c r="F220" t="s">
        <v>39</v>
      </c>
      <c r="I220">
        <v>0.2</v>
      </c>
      <c r="K220" t="s">
        <v>55</v>
      </c>
    </row>
    <row r="221" spans="1:11" x14ac:dyDescent="0.2">
      <c r="A221" t="s">
        <v>172</v>
      </c>
      <c r="B221" s="1">
        <v>45056</v>
      </c>
      <c r="C221" t="s">
        <v>51</v>
      </c>
      <c r="D221" t="s">
        <v>13</v>
      </c>
      <c r="E221" t="s">
        <v>38</v>
      </c>
      <c r="F221" t="s">
        <v>39</v>
      </c>
      <c r="J221" t="s">
        <v>21</v>
      </c>
      <c r="K221" t="s">
        <v>22</v>
      </c>
    </row>
    <row r="222" spans="1:11" x14ac:dyDescent="0.2">
      <c r="A222" t="s">
        <v>182</v>
      </c>
      <c r="B222" s="1">
        <v>44945</v>
      </c>
      <c r="C222" t="s">
        <v>29</v>
      </c>
      <c r="D222" t="s">
        <v>13</v>
      </c>
      <c r="E222" t="s">
        <v>25</v>
      </c>
      <c r="H222">
        <v>1829.66</v>
      </c>
      <c r="K222" t="s">
        <v>55</v>
      </c>
    </row>
    <row r="223" spans="1:11" x14ac:dyDescent="0.2">
      <c r="A223" t="s">
        <v>114</v>
      </c>
      <c r="B223" s="1">
        <v>45258</v>
      </c>
      <c r="C223" t="s">
        <v>12</v>
      </c>
      <c r="D223" t="s">
        <v>31</v>
      </c>
      <c r="E223" t="s">
        <v>48</v>
      </c>
      <c r="F223" t="s">
        <v>39</v>
      </c>
      <c r="H223">
        <v>220.83</v>
      </c>
      <c r="K223" t="s">
        <v>17</v>
      </c>
    </row>
    <row r="224" spans="1:11" x14ac:dyDescent="0.2">
      <c r="A224" t="s">
        <v>94</v>
      </c>
      <c r="B224" s="1">
        <v>45224</v>
      </c>
      <c r="C224" t="s">
        <v>37</v>
      </c>
      <c r="D224" t="s">
        <v>83</v>
      </c>
      <c r="E224" t="s">
        <v>14</v>
      </c>
      <c r="F224" t="s">
        <v>39</v>
      </c>
      <c r="I224">
        <v>0.05</v>
      </c>
      <c r="J224" t="s">
        <v>42</v>
      </c>
      <c r="K224" t="s">
        <v>27</v>
      </c>
    </row>
    <row r="225" spans="1:11" x14ac:dyDescent="0.2">
      <c r="A225" t="s">
        <v>30</v>
      </c>
      <c r="B225" s="1">
        <v>45139</v>
      </c>
      <c r="C225" t="s">
        <v>54</v>
      </c>
      <c r="D225" t="s">
        <v>19</v>
      </c>
      <c r="E225" t="s">
        <v>25</v>
      </c>
      <c r="F225" t="s">
        <v>15</v>
      </c>
      <c r="H225">
        <v>692.7</v>
      </c>
      <c r="J225" t="s">
        <v>42</v>
      </c>
      <c r="K225" t="s">
        <v>27</v>
      </c>
    </row>
    <row r="226" spans="1:11" x14ac:dyDescent="0.2">
      <c r="A226" t="s">
        <v>183</v>
      </c>
      <c r="B226" s="1">
        <v>45296</v>
      </c>
      <c r="C226" t="s">
        <v>63</v>
      </c>
      <c r="D226" t="s">
        <v>59</v>
      </c>
      <c r="E226" t="s">
        <v>46</v>
      </c>
      <c r="F226" t="s">
        <v>34</v>
      </c>
      <c r="J226" t="s">
        <v>40</v>
      </c>
      <c r="K226" t="s">
        <v>35</v>
      </c>
    </row>
    <row r="227" spans="1:11" x14ac:dyDescent="0.2">
      <c r="A227" t="s">
        <v>184</v>
      </c>
      <c r="B227" s="1">
        <v>45016</v>
      </c>
      <c r="C227" t="s">
        <v>51</v>
      </c>
      <c r="D227" t="s">
        <v>59</v>
      </c>
      <c r="E227" t="s">
        <v>44</v>
      </c>
      <c r="F227" t="s">
        <v>39</v>
      </c>
      <c r="G227">
        <v>15</v>
      </c>
      <c r="K227" t="s">
        <v>22</v>
      </c>
    </row>
    <row r="228" spans="1:11" x14ac:dyDescent="0.2">
      <c r="A228" t="s">
        <v>132</v>
      </c>
      <c r="B228" s="1">
        <v>44941</v>
      </c>
      <c r="C228" t="s">
        <v>37</v>
      </c>
      <c r="D228" t="s">
        <v>83</v>
      </c>
      <c r="E228" t="s">
        <v>44</v>
      </c>
      <c r="F228" t="s">
        <v>39</v>
      </c>
      <c r="G228">
        <v>13</v>
      </c>
      <c r="H228">
        <v>1412.42</v>
      </c>
      <c r="J228" t="s">
        <v>16</v>
      </c>
      <c r="K228" t="s">
        <v>17</v>
      </c>
    </row>
    <row r="229" spans="1:11" x14ac:dyDescent="0.2">
      <c r="A229" t="s">
        <v>97</v>
      </c>
      <c r="B229" s="1">
        <v>45201</v>
      </c>
      <c r="C229" t="s">
        <v>51</v>
      </c>
      <c r="D229" t="s">
        <v>59</v>
      </c>
      <c r="E229" t="s">
        <v>14</v>
      </c>
      <c r="F229" t="s">
        <v>15</v>
      </c>
      <c r="G229">
        <v>15</v>
      </c>
      <c r="J229" t="s">
        <v>52</v>
      </c>
      <c r="K229" t="s">
        <v>17</v>
      </c>
    </row>
    <row r="230" spans="1:11" x14ac:dyDescent="0.2">
      <c r="A230" t="s">
        <v>185</v>
      </c>
      <c r="B230" s="1">
        <v>45239</v>
      </c>
      <c r="C230" t="s">
        <v>57</v>
      </c>
      <c r="D230" t="s">
        <v>31</v>
      </c>
      <c r="E230" t="s">
        <v>46</v>
      </c>
      <c r="F230" t="s">
        <v>34</v>
      </c>
      <c r="J230" t="s">
        <v>21</v>
      </c>
      <c r="K230" t="s">
        <v>17</v>
      </c>
    </row>
    <row r="231" spans="1:11" x14ac:dyDescent="0.2">
      <c r="A231" t="s">
        <v>174</v>
      </c>
      <c r="B231" s="1">
        <v>45271</v>
      </c>
      <c r="C231" t="s">
        <v>51</v>
      </c>
      <c r="D231" t="s">
        <v>59</v>
      </c>
      <c r="E231" t="s">
        <v>46</v>
      </c>
      <c r="F231" t="s">
        <v>15</v>
      </c>
      <c r="G231">
        <v>10</v>
      </c>
      <c r="J231" t="s">
        <v>42</v>
      </c>
      <c r="K231" t="s">
        <v>17</v>
      </c>
    </row>
    <row r="232" spans="1:11" x14ac:dyDescent="0.2">
      <c r="A232" t="s">
        <v>138</v>
      </c>
      <c r="B232" s="1">
        <v>45221</v>
      </c>
      <c r="C232" t="s">
        <v>57</v>
      </c>
      <c r="D232" t="s">
        <v>83</v>
      </c>
      <c r="E232" t="s">
        <v>20</v>
      </c>
      <c r="F232" t="s">
        <v>39</v>
      </c>
      <c r="H232">
        <v>1839.13</v>
      </c>
      <c r="J232" t="s">
        <v>52</v>
      </c>
      <c r="K232" t="s">
        <v>35</v>
      </c>
    </row>
    <row r="233" spans="1:11" x14ac:dyDescent="0.2">
      <c r="A233" t="s">
        <v>171</v>
      </c>
      <c r="B233" s="1">
        <v>45088</v>
      </c>
      <c r="C233" t="s">
        <v>63</v>
      </c>
      <c r="D233" t="s">
        <v>31</v>
      </c>
      <c r="E233" t="s">
        <v>46</v>
      </c>
      <c r="F233" t="s">
        <v>34</v>
      </c>
      <c r="K233" t="s">
        <v>22</v>
      </c>
    </row>
    <row r="234" spans="1:11" x14ac:dyDescent="0.2">
      <c r="A234" t="s">
        <v>64</v>
      </c>
      <c r="B234" s="1">
        <v>45277</v>
      </c>
      <c r="C234" t="s">
        <v>63</v>
      </c>
      <c r="D234" t="s">
        <v>83</v>
      </c>
      <c r="E234" t="s">
        <v>48</v>
      </c>
      <c r="F234" t="s">
        <v>39</v>
      </c>
      <c r="G234">
        <v>16</v>
      </c>
      <c r="H234">
        <v>174.51</v>
      </c>
      <c r="I234">
        <v>0.24</v>
      </c>
      <c r="J234" t="s">
        <v>52</v>
      </c>
      <c r="K234" t="s">
        <v>27</v>
      </c>
    </row>
    <row r="235" spans="1:11" x14ac:dyDescent="0.2">
      <c r="A235" t="s">
        <v>86</v>
      </c>
      <c r="B235" s="1">
        <v>45042</v>
      </c>
      <c r="C235" t="s">
        <v>24</v>
      </c>
      <c r="D235" t="s">
        <v>33</v>
      </c>
      <c r="E235" t="s">
        <v>25</v>
      </c>
      <c r="F235" t="s">
        <v>39</v>
      </c>
      <c r="I235">
        <v>0.16</v>
      </c>
      <c r="J235" t="s">
        <v>21</v>
      </c>
      <c r="K235" t="s">
        <v>27</v>
      </c>
    </row>
    <row r="236" spans="1:11" x14ac:dyDescent="0.2">
      <c r="A236" t="s">
        <v>186</v>
      </c>
      <c r="B236" s="1">
        <v>45323</v>
      </c>
      <c r="C236" t="s">
        <v>29</v>
      </c>
      <c r="D236" t="s">
        <v>31</v>
      </c>
      <c r="E236" t="s">
        <v>25</v>
      </c>
      <c r="F236" t="s">
        <v>26</v>
      </c>
      <c r="J236" t="s">
        <v>40</v>
      </c>
      <c r="K236" t="s">
        <v>55</v>
      </c>
    </row>
    <row r="237" spans="1:11" x14ac:dyDescent="0.2">
      <c r="A237" t="s">
        <v>168</v>
      </c>
      <c r="B237" s="1">
        <v>45157</v>
      </c>
      <c r="C237" t="s">
        <v>24</v>
      </c>
      <c r="D237" t="s">
        <v>59</v>
      </c>
      <c r="E237" t="s">
        <v>25</v>
      </c>
      <c r="F237" t="s">
        <v>26</v>
      </c>
      <c r="G237">
        <v>15</v>
      </c>
      <c r="H237">
        <v>1553.51</v>
      </c>
      <c r="J237" t="s">
        <v>21</v>
      </c>
      <c r="K237" t="s">
        <v>55</v>
      </c>
    </row>
    <row r="238" spans="1:11" x14ac:dyDescent="0.2">
      <c r="A238" t="s">
        <v>107</v>
      </c>
      <c r="B238" s="1">
        <v>45239</v>
      </c>
      <c r="C238" t="s">
        <v>57</v>
      </c>
      <c r="D238" t="s">
        <v>33</v>
      </c>
      <c r="E238" t="s">
        <v>44</v>
      </c>
      <c r="F238" t="s">
        <v>15</v>
      </c>
      <c r="G238">
        <v>7</v>
      </c>
      <c r="J238" t="s">
        <v>21</v>
      </c>
      <c r="K238" t="s">
        <v>17</v>
      </c>
    </row>
    <row r="239" spans="1:11" x14ac:dyDescent="0.2">
      <c r="A239" t="s">
        <v>187</v>
      </c>
      <c r="B239" s="1">
        <v>45092</v>
      </c>
      <c r="C239" t="s">
        <v>24</v>
      </c>
      <c r="D239" t="s">
        <v>59</v>
      </c>
      <c r="E239" t="s">
        <v>44</v>
      </c>
      <c r="F239" t="s">
        <v>34</v>
      </c>
      <c r="H239">
        <v>1632.21</v>
      </c>
      <c r="J239" t="s">
        <v>16</v>
      </c>
      <c r="K239" t="s">
        <v>55</v>
      </c>
    </row>
    <row r="240" spans="1:11" x14ac:dyDescent="0.2">
      <c r="A240" t="s">
        <v>188</v>
      </c>
      <c r="B240" s="1">
        <v>44991</v>
      </c>
      <c r="C240" t="s">
        <v>51</v>
      </c>
      <c r="D240" t="s">
        <v>33</v>
      </c>
      <c r="E240" t="s">
        <v>20</v>
      </c>
      <c r="F240" t="s">
        <v>34</v>
      </c>
      <c r="H240">
        <v>791.47</v>
      </c>
      <c r="K240" t="s">
        <v>22</v>
      </c>
    </row>
    <row r="241" spans="1:11" x14ac:dyDescent="0.2">
      <c r="A241" t="s">
        <v>166</v>
      </c>
      <c r="B241" s="1">
        <v>45158</v>
      </c>
      <c r="C241" t="s">
        <v>54</v>
      </c>
      <c r="D241" t="s">
        <v>13</v>
      </c>
      <c r="E241" t="s">
        <v>25</v>
      </c>
      <c r="F241" t="s">
        <v>26</v>
      </c>
      <c r="J241" t="s">
        <v>42</v>
      </c>
      <c r="K241" t="s">
        <v>22</v>
      </c>
    </row>
    <row r="242" spans="1:11" x14ac:dyDescent="0.2">
      <c r="A242" t="s">
        <v>78</v>
      </c>
      <c r="B242" s="1">
        <v>45224</v>
      </c>
      <c r="C242" t="s">
        <v>12</v>
      </c>
      <c r="E242" t="s">
        <v>25</v>
      </c>
      <c r="F242" t="s">
        <v>26</v>
      </c>
      <c r="J242" t="s">
        <v>42</v>
      </c>
      <c r="K242" t="s">
        <v>35</v>
      </c>
    </row>
    <row r="243" spans="1:11" x14ac:dyDescent="0.2">
      <c r="A243" t="s">
        <v>85</v>
      </c>
      <c r="B243" s="1">
        <v>45035</v>
      </c>
      <c r="C243" t="s">
        <v>63</v>
      </c>
      <c r="D243" t="s">
        <v>59</v>
      </c>
      <c r="E243" t="s">
        <v>14</v>
      </c>
      <c r="F243" t="s">
        <v>34</v>
      </c>
      <c r="K243" t="s">
        <v>27</v>
      </c>
    </row>
    <row r="244" spans="1:11" x14ac:dyDescent="0.2">
      <c r="A244" t="s">
        <v>153</v>
      </c>
      <c r="B244" s="1">
        <v>44977</v>
      </c>
      <c r="C244" t="s">
        <v>63</v>
      </c>
      <c r="D244" t="s">
        <v>19</v>
      </c>
      <c r="E244" t="s">
        <v>46</v>
      </c>
      <c r="F244" t="s">
        <v>15</v>
      </c>
      <c r="J244" t="s">
        <v>40</v>
      </c>
      <c r="K244" t="s">
        <v>55</v>
      </c>
    </row>
    <row r="245" spans="1:11" x14ac:dyDescent="0.2">
      <c r="A245" t="s">
        <v>189</v>
      </c>
      <c r="B245" s="1">
        <v>45067</v>
      </c>
      <c r="C245" t="s">
        <v>54</v>
      </c>
      <c r="D245" t="s">
        <v>13</v>
      </c>
      <c r="E245" t="s">
        <v>14</v>
      </c>
      <c r="F245" t="s">
        <v>34</v>
      </c>
      <c r="K245" t="s">
        <v>55</v>
      </c>
    </row>
    <row r="246" spans="1:11" x14ac:dyDescent="0.2">
      <c r="A246" t="s">
        <v>165</v>
      </c>
      <c r="B246" s="1">
        <v>45285</v>
      </c>
      <c r="C246" t="s">
        <v>37</v>
      </c>
      <c r="D246" t="s">
        <v>83</v>
      </c>
      <c r="E246" t="s">
        <v>48</v>
      </c>
      <c r="F246" t="s">
        <v>26</v>
      </c>
      <c r="G246">
        <v>4</v>
      </c>
      <c r="H246">
        <v>434.71</v>
      </c>
      <c r="I246">
        <v>0.04</v>
      </c>
      <c r="J246" t="s">
        <v>21</v>
      </c>
      <c r="K246" t="s">
        <v>22</v>
      </c>
    </row>
    <row r="247" spans="1:11" x14ac:dyDescent="0.2">
      <c r="A247" t="s">
        <v>190</v>
      </c>
      <c r="B247" s="1">
        <v>44931</v>
      </c>
      <c r="C247" t="s">
        <v>29</v>
      </c>
      <c r="E247" t="s">
        <v>46</v>
      </c>
      <c r="F247" t="s">
        <v>39</v>
      </c>
      <c r="I247">
        <v>0.03</v>
      </c>
      <c r="J247" t="s">
        <v>16</v>
      </c>
      <c r="K247" t="s">
        <v>55</v>
      </c>
    </row>
    <row r="248" spans="1:11" x14ac:dyDescent="0.2">
      <c r="A248" t="s">
        <v>95</v>
      </c>
      <c r="B248" s="1">
        <v>45080</v>
      </c>
      <c r="C248" t="s">
        <v>51</v>
      </c>
      <c r="D248" t="s">
        <v>83</v>
      </c>
      <c r="E248" t="s">
        <v>25</v>
      </c>
      <c r="F248" t="s">
        <v>15</v>
      </c>
      <c r="G248">
        <v>5</v>
      </c>
      <c r="H248">
        <v>1065.71</v>
      </c>
      <c r="I248">
        <v>0.18</v>
      </c>
      <c r="J248" t="s">
        <v>42</v>
      </c>
      <c r="K248" t="s">
        <v>55</v>
      </c>
    </row>
    <row r="249" spans="1:11" x14ac:dyDescent="0.2">
      <c r="A249" t="s">
        <v>135</v>
      </c>
      <c r="B249" s="1">
        <v>45036</v>
      </c>
      <c r="C249" t="s">
        <v>51</v>
      </c>
      <c r="D249" t="s">
        <v>83</v>
      </c>
      <c r="E249" t="s">
        <v>44</v>
      </c>
      <c r="F249" t="s">
        <v>39</v>
      </c>
      <c r="G249">
        <v>7</v>
      </c>
      <c r="H249">
        <v>1794.22</v>
      </c>
      <c r="K249" t="s">
        <v>22</v>
      </c>
    </row>
    <row r="250" spans="1:11" x14ac:dyDescent="0.2">
      <c r="A250" t="s">
        <v>144</v>
      </c>
      <c r="B250" s="1">
        <v>45146</v>
      </c>
      <c r="C250" t="s">
        <v>29</v>
      </c>
      <c r="E250" t="s">
        <v>20</v>
      </c>
      <c r="F250" t="s">
        <v>15</v>
      </c>
      <c r="J250" t="s">
        <v>21</v>
      </c>
      <c r="K250" t="s">
        <v>55</v>
      </c>
    </row>
    <row r="251" spans="1:11" x14ac:dyDescent="0.2">
      <c r="A251" t="s">
        <v>191</v>
      </c>
      <c r="B251" s="1">
        <v>45280</v>
      </c>
      <c r="C251" t="s">
        <v>12</v>
      </c>
      <c r="E251" t="s">
        <v>25</v>
      </c>
      <c r="F251" t="s">
        <v>34</v>
      </c>
      <c r="H251">
        <v>1217.78</v>
      </c>
      <c r="K251" t="s">
        <v>27</v>
      </c>
    </row>
    <row r="252" spans="1:11" x14ac:dyDescent="0.2">
      <c r="A252" t="s">
        <v>192</v>
      </c>
      <c r="B252" s="1">
        <v>45049</v>
      </c>
      <c r="C252" t="s">
        <v>63</v>
      </c>
      <c r="D252" t="s">
        <v>83</v>
      </c>
      <c r="E252" t="s">
        <v>46</v>
      </c>
      <c r="F252" t="s">
        <v>15</v>
      </c>
      <c r="I252">
        <v>0.27</v>
      </c>
      <c r="J252" t="s">
        <v>52</v>
      </c>
      <c r="K252" t="s">
        <v>55</v>
      </c>
    </row>
    <row r="253" spans="1:11" x14ac:dyDescent="0.2">
      <c r="A253" t="s">
        <v>193</v>
      </c>
      <c r="B253" s="1">
        <v>45125</v>
      </c>
      <c r="C253" t="s">
        <v>57</v>
      </c>
      <c r="D253" t="s">
        <v>59</v>
      </c>
      <c r="E253" t="s">
        <v>44</v>
      </c>
      <c r="F253" t="s">
        <v>15</v>
      </c>
      <c r="G253">
        <v>16</v>
      </c>
      <c r="H253">
        <v>43.21</v>
      </c>
      <c r="I253">
        <v>0</v>
      </c>
      <c r="J253" t="s">
        <v>16</v>
      </c>
      <c r="K253" t="s">
        <v>27</v>
      </c>
    </row>
    <row r="254" spans="1:11" x14ac:dyDescent="0.2">
      <c r="A254" t="s">
        <v>132</v>
      </c>
      <c r="B254" s="1">
        <v>45186</v>
      </c>
      <c r="C254" t="s">
        <v>24</v>
      </c>
      <c r="D254" t="s">
        <v>13</v>
      </c>
      <c r="E254" t="s">
        <v>48</v>
      </c>
      <c r="H254">
        <v>1406.6</v>
      </c>
      <c r="J254" t="s">
        <v>21</v>
      </c>
      <c r="K254" t="s">
        <v>35</v>
      </c>
    </row>
    <row r="255" spans="1:11" x14ac:dyDescent="0.2">
      <c r="A255" t="s">
        <v>32</v>
      </c>
      <c r="B255" s="1">
        <v>44969</v>
      </c>
      <c r="C255" t="s">
        <v>24</v>
      </c>
      <c r="D255" t="s">
        <v>19</v>
      </c>
      <c r="E255" t="s">
        <v>44</v>
      </c>
      <c r="F255" t="s">
        <v>15</v>
      </c>
      <c r="K255" t="s">
        <v>27</v>
      </c>
    </row>
    <row r="256" spans="1:11" x14ac:dyDescent="0.2">
      <c r="A256" t="s">
        <v>90</v>
      </c>
      <c r="B256" s="1">
        <v>45284</v>
      </c>
      <c r="C256" t="s">
        <v>57</v>
      </c>
      <c r="D256" t="s">
        <v>13</v>
      </c>
      <c r="E256" t="s">
        <v>25</v>
      </c>
      <c r="F256" t="s">
        <v>15</v>
      </c>
      <c r="G256">
        <v>2</v>
      </c>
      <c r="J256" t="s">
        <v>21</v>
      </c>
      <c r="K256" t="s">
        <v>27</v>
      </c>
    </row>
    <row r="257" spans="1:11" x14ac:dyDescent="0.2">
      <c r="A257" t="s">
        <v>90</v>
      </c>
      <c r="B257" s="1">
        <v>45268</v>
      </c>
      <c r="C257" t="s">
        <v>51</v>
      </c>
      <c r="D257" t="s">
        <v>19</v>
      </c>
      <c r="E257" t="s">
        <v>46</v>
      </c>
      <c r="F257" t="s">
        <v>15</v>
      </c>
      <c r="G257">
        <v>1</v>
      </c>
      <c r="J257" t="s">
        <v>52</v>
      </c>
      <c r="K257" t="s">
        <v>35</v>
      </c>
    </row>
    <row r="258" spans="1:11" x14ac:dyDescent="0.2">
      <c r="A258" t="s">
        <v>194</v>
      </c>
      <c r="B258" s="1">
        <v>44991</v>
      </c>
      <c r="C258" t="s">
        <v>24</v>
      </c>
      <c r="D258" t="s">
        <v>13</v>
      </c>
      <c r="E258" t="s">
        <v>46</v>
      </c>
      <c r="F258" t="s">
        <v>26</v>
      </c>
      <c r="H258">
        <v>551.24</v>
      </c>
      <c r="K258" t="s">
        <v>27</v>
      </c>
    </row>
    <row r="259" spans="1:11" x14ac:dyDescent="0.2">
      <c r="A259" t="s">
        <v>108</v>
      </c>
      <c r="B259" s="1">
        <v>45160</v>
      </c>
      <c r="C259" t="s">
        <v>29</v>
      </c>
      <c r="D259" t="s">
        <v>19</v>
      </c>
      <c r="E259" t="s">
        <v>38</v>
      </c>
      <c r="H259">
        <v>323.05</v>
      </c>
      <c r="K259" t="s">
        <v>27</v>
      </c>
    </row>
    <row r="260" spans="1:11" x14ac:dyDescent="0.2">
      <c r="A260" t="s">
        <v>96</v>
      </c>
      <c r="B260" s="1">
        <v>45306</v>
      </c>
      <c r="C260" t="s">
        <v>12</v>
      </c>
      <c r="D260" t="s">
        <v>19</v>
      </c>
      <c r="E260" t="s">
        <v>25</v>
      </c>
      <c r="F260" t="s">
        <v>26</v>
      </c>
      <c r="G260">
        <v>8</v>
      </c>
      <c r="I260">
        <v>0.28000000000000003</v>
      </c>
      <c r="J260" t="s">
        <v>16</v>
      </c>
      <c r="K260" t="s">
        <v>17</v>
      </c>
    </row>
    <row r="261" spans="1:11" x14ac:dyDescent="0.2">
      <c r="A261" t="s">
        <v>195</v>
      </c>
      <c r="B261" s="1">
        <v>45306</v>
      </c>
      <c r="C261" t="s">
        <v>57</v>
      </c>
      <c r="D261" t="s">
        <v>33</v>
      </c>
      <c r="E261" t="s">
        <v>14</v>
      </c>
      <c r="F261" t="s">
        <v>15</v>
      </c>
      <c r="H261">
        <v>646.66999999999996</v>
      </c>
      <c r="I261">
        <v>0.17</v>
      </c>
      <c r="J261" t="s">
        <v>21</v>
      </c>
      <c r="K261" t="s">
        <v>27</v>
      </c>
    </row>
    <row r="262" spans="1:11" x14ac:dyDescent="0.2">
      <c r="A262" t="s">
        <v>75</v>
      </c>
      <c r="B262" s="1">
        <v>45041</v>
      </c>
      <c r="C262" t="s">
        <v>12</v>
      </c>
      <c r="D262" t="s">
        <v>83</v>
      </c>
      <c r="E262" t="s">
        <v>46</v>
      </c>
      <c r="F262" t="s">
        <v>39</v>
      </c>
      <c r="J262" t="s">
        <v>40</v>
      </c>
      <c r="K262" t="s">
        <v>55</v>
      </c>
    </row>
    <row r="263" spans="1:11" x14ac:dyDescent="0.2">
      <c r="A263" t="s">
        <v>196</v>
      </c>
      <c r="B263" s="1">
        <v>45082</v>
      </c>
      <c r="C263" t="s">
        <v>37</v>
      </c>
      <c r="D263" t="s">
        <v>83</v>
      </c>
      <c r="E263" t="s">
        <v>14</v>
      </c>
      <c r="G263">
        <v>16</v>
      </c>
      <c r="I263">
        <v>0.23</v>
      </c>
      <c r="J263" t="s">
        <v>40</v>
      </c>
      <c r="K263" t="s">
        <v>27</v>
      </c>
    </row>
    <row r="264" spans="1:11" x14ac:dyDescent="0.2">
      <c r="A264" t="s">
        <v>64</v>
      </c>
      <c r="B264" s="1">
        <v>44939</v>
      </c>
      <c r="C264" t="s">
        <v>37</v>
      </c>
      <c r="D264" t="s">
        <v>31</v>
      </c>
      <c r="E264" t="s">
        <v>14</v>
      </c>
      <c r="F264" t="s">
        <v>26</v>
      </c>
      <c r="G264">
        <v>11</v>
      </c>
      <c r="J264" t="s">
        <v>52</v>
      </c>
      <c r="K264" t="s">
        <v>27</v>
      </c>
    </row>
    <row r="265" spans="1:11" x14ac:dyDescent="0.2">
      <c r="A265" t="s">
        <v>197</v>
      </c>
      <c r="B265" s="1">
        <v>45198</v>
      </c>
      <c r="C265" t="s">
        <v>37</v>
      </c>
      <c r="D265" t="s">
        <v>83</v>
      </c>
      <c r="E265" t="s">
        <v>38</v>
      </c>
      <c r="F265" t="s">
        <v>26</v>
      </c>
      <c r="H265">
        <v>566.85</v>
      </c>
      <c r="J265" t="s">
        <v>42</v>
      </c>
      <c r="K265" t="s">
        <v>55</v>
      </c>
    </row>
    <row r="266" spans="1:11" x14ac:dyDescent="0.2">
      <c r="A266" t="s">
        <v>167</v>
      </c>
      <c r="B266" s="1">
        <v>45309</v>
      </c>
      <c r="C266" t="s">
        <v>54</v>
      </c>
      <c r="D266" t="s">
        <v>31</v>
      </c>
      <c r="E266" t="s">
        <v>46</v>
      </c>
      <c r="H266">
        <v>1641.73</v>
      </c>
      <c r="I266">
        <v>0.18</v>
      </c>
      <c r="J266" t="s">
        <v>42</v>
      </c>
      <c r="K266" t="s">
        <v>35</v>
      </c>
    </row>
    <row r="267" spans="1:11" x14ac:dyDescent="0.2">
      <c r="A267" t="s">
        <v>198</v>
      </c>
      <c r="B267" s="1">
        <v>45076</v>
      </c>
      <c r="C267" t="s">
        <v>24</v>
      </c>
      <c r="E267" t="s">
        <v>14</v>
      </c>
      <c r="F267" t="s">
        <v>39</v>
      </c>
      <c r="H267">
        <v>910.99</v>
      </c>
      <c r="I267">
        <v>0.02</v>
      </c>
      <c r="J267" t="s">
        <v>40</v>
      </c>
      <c r="K267" t="s">
        <v>17</v>
      </c>
    </row>
    <row r="268" spans="1:11" x14ac:dyDescent="0.2">
      <c r="A268" t="s">
        <v>199</v>
      </c>
      <c r="B268" s="1">
        <v>45006</v>
      </c>
      <c r="C268" t="s">
        <v>54</v>
      </c>
      <c r="D268" t="s">
        <v>33</v>
      </c>
      <c r="E268" t="s">
        <v>38</v>
      </c>
      <c r="F268" t="s">
        <v>39</v>
      </c>
      <c r="I268">
        <v>0.28999999999999998</v>
      </c>
      <c r="J268" t="s">
        <v>42</v>
      </c>
      <c r="K268" t="s">
        <v>55</v>
      </c>
    </row>
    <row r="269" spans="1:11" x14ac:dyDescent="0.2">
      <c r="A269" t="s">
        <v>84</v>
      </c>
      <c r="B269" s="1">
        <v>45062</v>
      </c>
      <c r="C269" t="s">
        <v>54</v>
      </c>
      <c r="D269" t="s">
        <v>19</v>
      </c>
      <c r="E269" t="s">
        <v>20</v>
      </c>
      <c r="F269" t="s">
        <v>34</v>
      </c>
      <c r="G269">
        <v>20</v>
      </c>
      <c r="J269" t="s">
        <v>40</v>
      </c>
      <c r="K269" t="s">
        <v>55</v>
      </c>
    </row>
    <row r="270" spans="1:11" x14ac:dyDescent="0.2">
      <c r="A270" t="s">
        <v>132</v>
      </c>
      <c r="B270" s="1">
        <v>45189</v>
      </c>
      <c r="C270" t="s">
        <v>12</v>
      </c>
      <c r="D270" t="s">
        <v>13</v>
      </c>
      <c r="E270" t="s">
        <v>14</v>
      </c>
      <c r="F270" t="s">
        <v>34</v>
      </c>
      <c r="G270">
        <v>6</v>
      </c>
      <c r="J270" t="s">
        <v>40</v>
      </c>
      <c r="K270" t="s">
        <v>27</v>
      </c>
    </row>
    <row r="271" spans="1:11" x14ac:dyDescent="0.2">
      <c r="A271" t="s">
        <v>84</v>
      </c>
      <c r="B271" s="1">
        <v>44979</v>
      </c>
      <c r="C271" t="s">
        <v>51</v>
      </c>
      <c r="D271" t="s">
        <v>19</v>
      </c>
      <c r="E271" t="s">
        <v>46</v>
      </c>
      <c r="F271" t="s">
        <v>26</v>
      </c>
      <c r="G271">
        <v>8</v>
      </c>
      <c r="K271" t="s">
        <v>27</v>
      </c>
    </row>
    <row r="272" spans="1:11" x14ac:dyDescent="0.2">
      <c r="A272" t="s">
        <v>66</v>
      </c>
      <c r="B272" s="1">
        <v>45227</v>
      </c>
      <c r="C272" t="s">
        <v>24</v>
      </c>
      <c r="E272" t="s">
        <v>46</v>
      </c>
      <c r="F272" t="s">
        <v>26</v>
      </c>
      <c r="G272">
        <v>3</v>
      </c>
      <c r="I272">
        <v>0.24</v>
      </c>
      <c r="J272" t="s">
        <v>52</v>
      </c>
      <c r="K272" t="s">
        <v>27</v>
      </c>
    </row>
    <row r="273" spans="1:11" x14ac:dyDescent="0.2">
      <c r="A273" t="s">
        <v>200</v>
      </c>
      <c r="B273" s="1">
        <v>45163</v>
      </c>
      <c r="C273" t="s">
        <v>12</v>
      </c>
      <c r="D273" t="s">
        <v>33</v>
      </c>
      <c r="E273" t="s">
        <v>44</v>
      </c>
      <c r="F273" t="s">
        <v>39</v>
      </c>
      <c r="J273" t="s">
        <v>40</v>
      </c>
      <c r="K273" t="s">
        <v>35</v>
      </c>
    </row>
    <row r="274" spans="1:11" x14ac:dyDescent="0.2">
      <c r="A274" t="s">
        <v>86</v>
      </c>
      <c r="B274" s="1">
        <v>45070</v>
      </c>
      <c r="C274" t="s">
        <v>63</v>
      </c>
      <c r="D274" t="s">
        <v>33</v>
      </c>
      <c r="E274" t="s">
        <v>46</v>
      </c>
      <c r="J274" t="s">
        <v>42</v>
      </c>
      <c r="K274" t="s">
        <v>27</v>
      </c>
    </row>
    <row r="275" spans="1:11" x14ac:dyDescent="0.2">
      <c r="A275" t="s">
        <v>201</v>
      </c>
      <c r="B275" s="1">
        <v>45070</v>
      </c>
      <c r="C275" t="s">
        <v>57</v>
      </c>
      <c r="D275" t="s">
        <v>33</v>
      </c>
      <c r="E275" t="s">
        <v>38</v>
      </c>
      <c r="F275" t="s">
        <v>15</v>
      </c>
      <c r="G275">
        <v>17</v>
      </c>
      <c r="K275" t="s">
        <v>55</v>
      </c>
    </row>
    <row r="276" spans="1:11" x14ac:dyDescent="0.2">
      <c r="A276" t="s">
        <v>161</v>
      </c>
      <c r="B276" s="1">
        <v>45205</v>
      </c>
      <c r="C276" t="s">
        <v>63</v>
      </c>
      <c r="D276" t="s">
        <v>59</v>
      </c>
      <c r="E276" t="s">
        <v>44</v>
      </c>
      <c r="H276">
        <v>548.16999999999996</v>
      </c>
      <c r="I276">
        <v>0.1</v>
      </c>
      <c r="J276" t="s">
        <v>16</v>
      </c>
      <c r="K276" t="s">
        <v>55</v>
      </c>
    </row>
    <row r="277" spans="1:11" x14ac:dyDescent="0.2">
      <c r="A277" t="s">
        <v>53</v>
      </c>
      <c r="B277" s="1">
        <v>45168</v>
      </c>
      <c r="C277" t="s">
        <v>29</v>
      </c>
      <c r="E277" t="s">
        <v>44</v>
      </c>
      <c r="F277" t="s">
        <v>15</v>
      </c>
      <c r="G277">
        <v>6</v>
      </c>
      <c r="H277">
        <v>503.24</v>
      </c>
      <c r="J277" t="s">
        <v>16</v>
      </c>
      <c r="K277" t="s">
        <v>35</v>
      </c>
    </row>
    <row r="278" spans="1:11" x14ac:dyDescent="0.2">
      <c r="A278" t="s">
        <v>76</v>
      </c>
      <c r="B278" s="1">
        <v>45125</v>
      </c>
      <c r="C278" t="s">
        <v>29</v>
      </c>
      <c r="E278" t="s">
        <v>25</v>
      </c>
      <c r="F278" t="s">
        <v>15</v>
      </c>
      <c r="G278">
        <v>6</v>
      </c>
      <c r="J278" t="s">
        <v>16</v>
      </c>
      <c r="K278" t="s">
        <v>55</v>
      </c>
    </row>
    <row r="279" spans="1:11" x14ac:dyDescent="0.2">
      <c r="A279" t="s">
        <v>146</v>
      </c>
      <c r="B279" s="1">
        <v>45215</v>
      </c>
      <c r="C279" t="s">
        <v>51</v>
      </c>
      <c r="D279" t="s">
        <v>31</v>
      </c>
      <c r="E279" t="s">
        <v>20</v>
      </c>
      <c r="F279" t="s">
        <v>39</v>
      </c>
      <c r="H279">
        <v>359.36</v>
      </c>
      <c r="I279">
        <v>0.03</v>
      </c>
      <c r="J279" t="s">
        <v>21</v>
      </c>
      <c r="K279" t="s">
        <v>35</v>
      </c>
    </row>
    <row r="280" spans="1:11" x14ac:dyDescent="0.2">
      <c r="A280" t="s">
        <v>202</v>
      </c>
      <c r="B280" s="1">
        <v>45196</v>
      </c>
      <c r="C280" t="s">
        <v>63</v>
      </c>
      <c r="D280" t="s">
        <v>19</v>
      </c>
      <c r="E280" t="s">
        <v>14</v>
      </c>
      <c r="G280">
        <v>7</v>
      </c>
      <c r="H280">
        <v>688.11</v>
      </c>
      <c r="J280" t="s">
        <v>16</v>
      </c>
      <c r="K280" t="s">
        <v>27</v>
      </c>
    </row>
    <row r="281" spans="1:11" x14ac:dyDescent="0.2">
      <c r="A281" t="s">
        <v>203</v>
      </c>
      <c r="B281" s="1">
        <v>45227</v>
      </c>
      <c r="C281" t="s">
        <v>51</v>
      </c>
      <c r="E281" t="s">
        <v>46</v>
      </c>
      <c r="G281">
        <v>12</v>
      </c>
      <c r="I281">
        <v>0.12</v>
      </c>
      <c r="J281" t="s">
        <v>52</v>
      </c>
      <c r="K281" t="s">
        <v>55</v>
      </c>
    </row>
    <row r="282" spans="1:11" x14ac:dyDescent="0.2">
      <c r="A282" t="s">
        <v>105</v>
      </c>
      <c r="B282" s="1">
        <v>44996</v>
      </c>
      <c r="C282" t="s">
        <v>51</v>
      </c>
      <c r="D282" t="s">
        <v>13</v>
      </c>
      <c r="E282" t="s">
        <v>38</v>
      </c>
      <c r="F282" t="s">
        <v>39</v>
      </c>
      <c r="G282">
        <v>11</v>
      </c>
      <c r="J282" t="s">
        <v>52</v>
      </c>
      <c r="K282" t="s">
        <v>35</v>
      </c>
    </row>
    <row r="283" spans="1:11" x14ac:dyDescent="0.2">
      <c r="A283" t="s">
        <v>130</v>
      </c>
      <c r="B283" s="1">
        <v>45228</v>
      </c>
      <c r="C283" t="s">
        <v>51</v>
      </c>
      <c r="D283" t="s">
        <v>83</v>
      </c>
      <c r="E283" t="s">
        <v>14</v>
      </c>
      <c r="F283" t="s">
        <v>34</v>
      </c>
      <c r="G283">
        <v>5</v>
      </c>
      <c r="J283" t="s">
        <v>21</v>
      </c>
      <c r="K283" t="s">
        <v>27</v>
      </c>
    </row>
    <row r="284" spans="1:11" x14ac:dyDescent="0.2">
      <c r="A284" t="s">
        <v>143</v>
      </c>
      <c r="B284" s="1">
        <v>45235</v>
      </c>
      <c r="C284" t="s">
        <v>29</v>
      </c>
      <c r="E284" t="s">
        <v>44</v>
      </c>
      <c r="F284" t="s">
        <v>15</v>
      </c>
      <c r="G284">
        <v>19</v>
      </c>
      <c r="H284">
        <v>1874.01</v>
      </c>
      <c r="I284">
        <v>0.1</v>
      </c>
      <c r="J284" t="s">
        <v>40</v>
      </c>
      <c r="K284" t="s">
        <v>55</v>
      </c>
    </row>
    <row r="285" spans="1:11" x14ac:dyDescent="0.2">
      <c r="A285" t="s">
        <v>169</v>
      </c>
      <c r="B285" s="1">
        <v>45012</v>
      </c>
      <c r="C285" t="s">
        <v>54</v>
      </c>
      <c r="E285" t="s">
        <v>48</v>
      </c>
      <c r="F285" t="s">
        <v>34</v>
      </c>
      <c r="G285">
        <v>15</v>
      </c>
      <c r="H285">
        <v>537.77</v>
      </c>
      <c r="J285" t="s">
        <v>52</v>
      </c>
      <c r="K285" t="s">
        <v>27</v>
      </c>
    </row>
    <row r="286" spans="1:11" x14ac:dyDescent="0.2">
      <c r="A286" t="s">
        <v>135</v>
      </c>
      <c r="B286" s="1">
        <v>44927</v>
      </c>
      <c r="C286" t="s">
        <v>12</v>
      </c>
      <c r="D286" t="s">
        <v>83</v>
      </c>
      <c r="E286" t="s">
        <v>38</v>
      </c>
      <c r="F286" t="s">
        <v>39</v>
      </c>
      <c r="J286" t="s">
        <v>16</v>
      </c>
      <c r="K286" t="s">
        <v>22</v>
      </c>
    </row>
    <row r="287" spans="1:11" x14ac:dyDescent="0.2">
      <c r="A287" t="s">
        <v>76</v>
      </c>
      <c r="B287" s="1">
        <v>45260</v>
      </c>
      <c r="C287" t="s">
        <v>37</v>
      </c>
      <c r="D287" t="s">
        <v>33</v>
      </c>
      <c r="E287" t="s">
        <v>38</v>
      </c>
      <c r="F287" t="s">
        <v>26</v>
      </c>
      <c r="I287">
        <v>0.28999999999999998</v>
      </c>
      <c r="J287" t="s">
        <v>52</v>
      </c>
      <c r="K287" t="s">
        <v>35</v>
      </c>
    </row>
    <row r="288" spans="1:11" x14ac:dyDescent="0.2">
      <c r="A288" t="s">
        <v>166</v>
      </c>
      <c r="B288" s="1">
        <v>45009</v>
      </c>
      <c r="C288" t="s">
        <v>54</v>
      </c>
      <c r="D288" t="s">
        <v>31</v>
      </c>
      <c r="E288" t="s">
        <v>46</v>
      </c>
      <c r="F288" t="s">
        <v>34</v>
      </c>
      <c r="J288" t="s">
        <v>40</v>
      </c>
      <c r="K288" t="s">
        <v>17</v>
      </c>
    </row>
    <row r="289" spans="1:11" x14ac:dyDescent="0.2">
      <c r="A289" t="s">
        <v>92</v>
      </c>
      <c r="B289" s="1">
        <v>45007</v>
      </c>
      <c r="C289" t="s">
        <v>12</v>
      </c>
      <c r="D289" t="s">
        <v>19</v>
      </c>
      <c r="E289" t="s">
        <v>14</v>
      </c>
      <c r="F289" t="s">
        <v>15</v>
      </c>
      <c r="J289" t="s">
        <v>52</v>
      </c>
      <c r="K289" t="s">
        <v>55</v>
      </c>
    </row>
    <row r="290" spans="1:11" x14ac:dyDescent="0.2">
      <c r="A290" t="s">
        <v>173</v>
      </c>
      <c r="B290" s="1">
        <v>45048</v>
      </c>
      <c r="C290" t="s">
        <v>54</v>
      </c>
      <c r="D290" t="s">
        <v>19</v>
      </c>
      <c r="E290" t="s">
        <v>38</v>
      </c>
      <c r="I290">
        <v>0</v>
      </c>
      <c r="J290" t="s">
        <v>52</v>
      </c>
      <c r="K290" t="s">
        <v>17</v>
      </c>
    </row>
    <row r="291" spans="1:11" x14ac:dyDescent="0.2">
      <c r="A291" t="s">
        <v>161</v>
      </c>
      <c r="B291" s="1">
        <v>45029</v>
      </c>
      <c r="C291" t="s">
        <v>54</v>
      </c>
      <c r="D291" t="s">
        <v>19</v>
      </c>
      <c r="E291" t="s">
        <v>20</v>
      </c>
      <c r="F291" t="s">
        <v>15</v>
      </c>
      <c r="G291">
        <v>10</v>
      </c>
      <c r="H291">
        <v>952.41</v>
      </c>
      <c r="J291" t="s">
        <v>42</v>
      </c>
      <c r="K291" t="s">
        <v>22</v>
      </c>
    </row>
    <row r="292" spans="1:11" x14ac:dyDescent="0.2">
      <c r="A292" t="s">
        <v>100</v>
      </c>
      <c r="B292" s="1">
        <v>45062</v>
      </c>
      <c r="C292" t="s">
        <v>54</v>
      </c>
      <c r="D292" t="s">
        <v>13</v>
      </c>
      <c r="E292" t="s">
        <v>44</v>
      </c>
      <c r="F292" t="s">
        <v>39</v>
      </c>
      <c r="I292">
        <v>0.06</v>
      </c>
      <c r="J292" t="s">
        <v>52</v>
      </c>
      <c r="K292" t="s">
        <v>22</v>
      </c>
    </row>
    <row r="293" spans="1:11" x14ac:dyDescent="0.2">
      <c r="A293" t="s">
        <v>204</v>
      </c>
      <c r="B293" s="1">
        <v>45061</v>
      </c>
      <c r="C293" t="s">
        <v>37</v>
      </c>
      <c r="E293" t="s">
        <v>14</v>
      </c>
      <c r="G293">
        <v>2</v>
      </c>
      <c r="J293" t="s">
        <v>52</v>
      </c>
      <c r="K293" t="s">
        <v>17</v>
      </c>
    </row>
    <row r="294" spans="1:11" x14ac:dyDescent="0.2">
      <c r="A294" t="s">
        <v>179</v>
      </c>
      <c r="B294" s="1">
        <v>45314</v>
      </c>
      <c r="C294" t="s">
        <v>37</v>
      </c>
      <c r="D294" t="s">
        <v>31</v>
      </c>
      <c r="E294" t="s">
        <v>46</v>
      </c>
      <c r="F294" t="s">
        <v>39</v>
      </c>
      <c r="J294" t="s">
        <v>21</v>
      </c>
      <c r="K294" t="s">
        <v>35</v>
      </c>
    </row>
    <row r="295" spans="1:11" x14ac:dyDescent="0.2">
      <c r="A295" t="s">
        <v>205</v>
      </c>
      <c r="B295" s="1">
        <v>45080</v>
      </c>
      <c r="C295" t="s">
        <v>54</v>
      </c>
      <c r="D295" t="s">
        <v>83</v>
      </c>
      <c r="E295" t="s">
        <v>25</v>
      </c>
      <c r="F295" t="s">
        <v>26</v>
      </c>
      <c r="J295" t="s">
        <v>40</v>
      </c>
      <c r="K295" t="s">
        <v>27</v>
      </c>
    </row>
    <row r="296" spans="1:11" x14ac:dyDescent="0.2">
      <c r="A296" t="s">
        <v>162</v>
      </c>
      <c r="B296" s="1">
        <v>45156</v>
      </c>
      <c r="C296" t="s">
        <v>51</v>
      </c>
      <c r="D296" t="s">
        <v>33</v>
      </c>
      <c r="E296" t="s">
        <v>20</v>
      </c>
      <c r="F296" t="s">
        <v>15</v>
      </c>
      <c r="G296">
        <v>5</v>
      </c>
      <c r="J296" t="s">
        <v>40</v>
      </c>
      <c r="K296" t="s">
        <v>17</v>
      </c>
    </row>
    <row r="297" spans="1:11" x14ac:dyDescent="0.2">
      <c r="A297" t="s">
        <v>206</v>
      </c>
      <c r="B297" s="1">
        <v>45090</v>
      </c>
      <c r="C297" t="s">
        <v>54</v>
      </c>
      <c r="D297" t="s">
        <v>19</v>
      </c>
      <c r="E297" t="s">
        <v>38</v>
      </c>
      <c r="I297">
        <v>0.16</v>
      </c>
      <c r="K297" t="s">
        <v>17</v>
      </c>
    </row>
    <row r="298" spans="1:11" x14ac:dyDescent="0.2">
      <c r="A298" t="s">
        <v>110</v>
      </c>
      <c r="B298" s="1">
        <v>45194</v>
      </c>
      <c r="C298" t="s">
        <v>57</v>
      </c>
      <c r="D298" t="s">
        <v>19</v>
      </c>
      <c r="E298" t="s">
        <v>38</v>
      </c>
      <c r="F298" t="s">
        <v>15</v>
      </c>
      <c r="H298">
        <v>1179.99</v>
      </c>
      <c r="J298" t="s">
        <v>16</v>
      </c>
      <c r="K298" t="s">
        <v>55</v>
      </c>
    </row>
    <row r="299" spans="1:11" x14ac:dyDescent="0.2">
      <c r="A299" t="s">
        <v>160</v>
      </c>
      <c r="B299" s="1">
        <v>45103</v>
      </c>
      <c r="C299" t="s">
        <v>57</v>
      </c>
      <c r="D299" t="s">
        <v>59</v>
      </c>
      <c r="E299" t="s">
        <v>38</v>
      </c>
      <c r="F299" t="s">
        <v>39</v>
      </c>
      <c r="H299">
        <v>951.36</v>
      </c>
      <c r="I299">
        <v>0.08</v>
      </c>
      <c r="J299" t="s">
        <v>21</v>
      </c>
      <c r="K299" t="s">
        <v>17</v>
      </c>
    </row>
    <row r="300" spans="1:11" x14ac:dyDescent="0.2">
      <c r="A300" t="s">
        <v>115</v>
      </c>
      <c r="B300" s="1">
        <v>45282</v>
      </c>
      <c r="C300" t="s">
        <v>57</v>
      </c>
      <c r="D300" t="s">
        <v>19</v>
      </c>
      <c r="E300" t="s">
        <v>38</v>
      </c>
      <c r="F300" t="s">
        <v>34</v>
      </c>
      <c r="G300">
        <v>8</v>
      </c>
      <c r="I300">
        <v>0.27</v>
      </c>
      <c r="J300" t="s">
        <v>52</v>
      </c>
      <c r="K300" t="s">
        <v>55</v>
      </c>
    </row>
    <row r="301" spans="1:11" x14ac:dyDescent="0.2">
      <c r="A301" t="s">
        <v>90</v>
      </c>
      <c r="B301" s="1">
        <v>45070</v>
      </c>
      <c r="C301" t="s">
        <v>63</v>
      </c>
      <c r="E301" t="s">
        <v>48</v>
      </c>
      <c r="F301" t="s">
        <v>26</v>
      </c>
      <c r="G301">
        <v>8</v>
      </c>
      <c r="J301" t="s">
        <v>52</v>
      </c>
      <c r="K301" t="s">
        <v>22</v>
      </c>
    </row>
    <row r="302" spans="1:11" x14ac:dyDescent="0.2">
      <c r="A302" t="s">
        <v>136</v>
      </c>
      <c r="B302" s="1">
        <v>45257</v>
      </c>
      <c r="C302" t="s">
        <v>54</v>
      </c>
      <c r="D302" t="s">
        <v>33</v>
      </c>
      <c r="E302" t="s">
        <v>38</v>
      </c>
      <c r="F302" t="s">
        <v>15</v>
      </c>
      <c r="I302">
        <v>0.26</v>
      </c>
      <c r="J302" t="s">
        <v>21</v>
      </c>
      <c r="K302" t="s">
        <v>35</v>
      </c>
    </row>
    <row r="303" spans="1:11" x14ac:dyDescent="0.2">
      <c r="A303" t="s">
        <v>207</v>
      </c>
      <c r="B303" s="1">
        <v>45086</v>
      </c>
      <c r="C303" t="s">
        <v>57</v>
      </c>
      <c r="D303" t="s">
        <v>33</v>
      </c>
      <c r="E303" t="s">
        <v>25</v>
      </c>
      <c r="G303">
        <v>19</v>
      </c>
      <c r="H303">
        <v>355.74</v>
      </c>
      <c r="I303">
        <v>0.25</v>
      </c>
      <c r="J303" t="s">
        <v>16</v>
      </c>
      <c r="K303" t="s">
        <v>22</v>
      </c>
    </row>
    <row r="304" spans="1:11" x14ac:dyDescent="0.2">
      <c r="A304" t="s">
        <v>208</v>
      </c>
      <c r="B304" s="1">
        <v>45111</v>
      </c>
      <c r="C304" t="s">
        <v>37</v>
      </c>
      <c r="D304" t="s">
        <v>59</v>
      </c>
      <c r="E304" t="s">
        <v>14</v>
      </c>
      <c r="F304" t="s">
        <v>39</v>
      </c>
      <c r="H304">
        <v>1274.47</v>
      </c>
      <c r="I304">
        <v>0.2</v>
      </c>
      <c r="J304" t="s">
        <v>52</v>
      </c>
      <c r="K304" t="s">
        <v>22</v>
      </c>
    </row>
    <row r="305" spans="1:11" x14ac:dyDescent="0.2">
      <c r="A305" t="s">
        <v>180</v>
      </c>
      <c r="B305" s="1">
        <v>45155</v>
      </c>
      <c r="C305" t="s">
        <v>51</v>
      </c>
      <c r="E305" t="s">
        <v>38</v>
      </c>
      <c r="J305" t="s">
        <v>16</v>
      </c>
      <c r="K305" t="s">
        <v>55</v>
      </c>
    </row>
    <row r="306" spans="1:11" x14ac:dyDescent="0.2">
      <c r="A306" t="s">
        <v>209</v>
      </c>
      <c r="B306" s="1">
        <v>45124</v>
      </c>
      <c r="C306" t="s">
        <v>12</v>
      </c>
      <c r="D306" t="s">
        <v>33</v>
      </c>
      <c r="E306" t="s">
        <v>25</v>
      </c>
      <c r="G306">
        <v>7</v>
      </c>
      <c r="J306" t="s">
        <v>42</v>
      </c>
      <c r="K306" t="s">
        <v>17</v>
      </c>
    </row>
    <row r="307" spans="1:11" x14ac:dyDescent="0.2">
      <c r="A307" t="s">
        <v>202</v>
      </c>
      <c r="B307" s="1">
        <v>45326</v>
      </c>
      <c r="C307" t="s">
        <v>12</v>
      </c>
      <c r="D307" t="s">
        <v>83</v>
      </c>
      <c r="E307" t="s">
        <v>20</v>
      </c>
      <c r="F307" t="s">
        <v>15</v>
      </c>
      <c r="G307">
        <v>20</v>
      </c>
      <c r="K307" t="s">
        <v>55</v>
      </c>
    </row>
    <row r="308" spans="1:11" x14ac:dyDescent="0.2">
      <c r="A308" t="s">
        <v>18</v>
      </c>
      <c r="B308" s="1">
        <v>45119</v>
      </c>
      <c r="C308" t="s">
        <v>29</v>
      </c>
      <c r="D308" t="s">
        <v>83</v>
      </c>
      <c r="E308" t="s">
        <v>14</v>
      </c>
      <c r="F308" t="s">
        <v>15</v>
      </c>
      <c r="I308">
        <v>0.12</v>
      </c>
      <c r="J308" t="s">
        <v>16</v>
      </c>
      <c r="K308" t="s">
        <v>17</v>
      </c>
    </row>
    <row r="309" spans="1:11" x14ac:dyDescent="0.2">
      <c r="A309" t="s">
        <v>100</v>
      </c>
      <c r="B309" s="1">
        <v>45118</v>
      </c>
      <c r="C309" t="s">
        <v>24</v>
      </c>
      <c r="D309" t="s">
        <v>59</v>
      </c>
      <c r="E309" t="s">
        <v>48</v>
      </c>
      <c r="F309" t="s">
        <v>26</v>
      </c>
      <c r="G309">
        <v>16</v>
      </c>
      <c r="J309" t="s">
        <v>52</v>
      </c>
      <c r="K309" t="s">
        <v>55</v>
      </c>
    </row>
    <row r="310" spans="1:11" x14ac:dyDescent="0.2">
      <c r="A310" t="s">
        <v>111</v>
      </c>
      <c r="B310" s="1">
        <v>45003</v>
      </c>
      <c r="C310" t="s">
        <v>37</v>
      </c>
      <c r="D310" t="s">
        <v>19</v>
      </c>
      <c r="E310" t="s">
        <v>25</v>
      </c>
      <c r="H310">
        <v>645.98</v>
      </c>
      <c r="J310" t="s">
        <v>42</v>
      </c>
      <c r="K310" t="s">
        <v>55</v>
      </c>
    </row>
    <row r="311" spans="1:11" x14ac:dyDescent="0.2">
      <c r="A311" t="s">
        <v>206</v>
      </c>
      <c r="B311" s="1">
        <v>45141</v>
      </c>
      <c r="C311" t="s">
        <v>57</v>
      </c>
      <c r="D311" t="s">
        <v>83</v>
      </c>
      <c r="E311" t="s">
        <v>48</v>
      </c>
      <c r="F311" t="s">
        <v>26</v>
      </c>
      <c r="H311">
        <v>1989.56</v>
      </c>
      <c r="J311" t="s">
        <v>40</v>
      </c>
      <c r="K311" t="s">
        <v>17</v>
      </c>
    </row>
    <row r="312" spans="1:11" x14ac:dyDescent="0.2">
      <c r="A312" t="s">
        <v>11</v>
      </c>
      <c r="B312" s="1">
        <v>45170</v>
      </c>
      <c r="C312" t="s">
        <v>29</v>
      </c>
      <c r="D312" t="s">
        <v>31</v>
      </c>
      <c r="E312" t="s">
        <v>14</v>
      </c>
      <c r="F312" t="s">
        <v>15</v>
      </c>
      <c r="G312">
        <v>18</v>
      </c>
      <c r="K312" t="s">
        <v>17</v>
      </c>
    </row>
    <row r="313" spans="1:11" x14ac:dyDescent="0.2">
      <c r="A313" t="s">
        <v>99</v>
      </c>
      <c r="B313" s="1">
        <v>45020</v>
      </c>
      <c r="C313" t="s">
        <v>29</v>
      </c>
      <c r="D313" t="s">
        <v>13</v>
      </c>
      <c r="E313" t="s">
        <v>46</v>
      </c>
      <c r="F313" t="s">
        <v>15</v>
      </c>
      <c r="G313">
        <v>12</v>
      </c>
      <c r="J313" t="s">
        <v>52</v>
      </c>
      <c r="K313" t="s">
        <v>55</v>
      </c>
    </row>
    <row r="314" spans="1:11" x14ac:dyDescent="0.2">
      <c r="A314" t="s">
        <v>66</v>
      </c>
      <c r="B314" s="1">
        <v>45077</v>
      </c>
      <c r="C314" t="s">
        <v>63</v>
      </c>
      <c r="E314" t="s">
        <v>46</v>
      </c>
      <c r="F314" t="s">
        <v>39</v>
      </c>
      <c r="I314">
        <v>0.02</v>
      </c>
      <c r="J314" t="s">
        <v>21</v>
      </c>
      <c r="K314" t="s">
        <v>27</v>
      </c>
    </row>
    <row r="315" spans="1:11" x14ac:dyDescent="0.2">
      <c r="A315" t="s">
        <v>115</v>
      </c>
      <c r="B315" s="1">
        <v>45122</v>
      </c>
      <c r="C315" t="s">
        <v>24</v>
      </c>
      <c r="D315" t="s">
        <v>83</v>
      </c>
      <c r="E315" t="s">
        <v>46</v>
      </c>
      <c r="F315" t="s">
        <v>15</v>
      </c>
      <c r="G315">
        <v>5</v>
      </c>
      <c r="J315" t="s">
        <v>40</v>
      </c>
      <c r="K315" t="s">
        <v>55</v>
      </c>
    </row>
    <row r="316" spans="1:11" x14ac:dyDescent="0.2">
      <c r="A316" t="s">
        <v>82</v>
      </c>
      <c r="B316" s="1">
        <v>45019</v>
      </c>
      <c r="C316" t="s">
        <v>54</v>
      </c>
      <c r="D316" t="s">
        <v>83</v>
      </c>
      <c r="E316" t="s">
        <v>14</v>
      </c>
      <c r="F316" t="s">
        <v>15</v>
      </c>
      <c r="I316">
        <v>0.08</v>
      </c>
      <c r="J316" t="s">
        <v>21</v>
      </c>
      <c r="K316" t="s">
        <v>35</v>
      </c>
    </row>
    <row r="317" spans="1:11" x14ac:dyDescent="0.2">
      <c r="A317" t="s">
        <v>164</v>
      </c>
      <c r="B317" s="1">
        <v>45317</v>
      </c>
      <c r="C317" t="s">
        <v>54</v>
      </c>
      <c r="D317" t="s">
        <v>33</v>
      </c>
      <c r="E317" t="s">
        <v>44</v>
      </c>
      <c r="F317" t="s">
        <v>39</v>
      </c>
      <c r="I317">
        <v>0.11</v>
      </c>
      <c r="J317" t="s">
        <v>21</v>
      </c>
      <c r="K317" t="s">
        <v>35</v>
      </c>
    </row>
    <row r="318" spans="1:11" x14ac:dyDescent="0.2">
      <c r="A318" t="s">
        <v>210</v>
      </c>
      <c r="B318" s="1">
        <v>45118</v>
      </c>
      <c r="C318" t="s">
        <v>12</v>
      </c>
      <c r="D318" t="s">
        <v>59</v>
      </c>
      <c r="E318" t="s">
        <v>25</v>
      </c>
      <c r="G318">
        <v>7</v>
      </c>
      <c r="I318">
        <v>0.22</v>
      </c>
      <c r="K318" t="s">
        <v>55</v>
      </c>
    </row>
    <row r="319" spans="1:11" x14ac:dyDescent="0.2">
      <c r="A319" t="s">
        <v>90</v>
      </c>
      <c r="B319" s="1">
        <v>44993</v>
      </c>
      <c r="C319" t="s">
        <v>54</v>
      </c>
      <c r="D319" t="s">
        <v>83</v>
      </c>
      <c r="E319" t="s">
        <v>44</v>
      </c>
      <c r="G319">
        <v>10</v>
      </c>
      <c r="H319">
        <v>139.91999999999999</v>
      </c>
      <c r="J319" t="s">
        <v>42</v>
      </c>
      <c r="K319" t="s">
        <v>17</v>
      </c>
    </row>
    <row r="320" spans="1:11" x14ac:dyDescent="0.2">
      <c r="A320" t="s">
        <v>180</v>
      </c>
      <c r="B320" s="1">
        <v>45195</v>
      </c>
      <c r="C320" t="s">
        <v>29</v>
      </c>
      <c r="D320" t="s">
        <v>83</v>
      </c>
      <c r="E320" t="s">
        <v>48</v>
      </c>
      <c r="F320" t="s">
        <v>15</v>
      </c>
      <c r="H320">
        <v>724.91</v>
      </c>
      <c r="J320" t="s">
        <v>16</v>
      </c>
      <c r="K320" t="s">
        <v>35</v>
      </c>
    </row>
    <row r="321" spans="1:11" x14ac:dyDescent="0.2">
      <c r="A321" t="s">
        <v>81</v>
      </c>
      <c r="B321" s="1">
        <v>45299</v>
      </c>
      <c r="C321" t="s">
        <v>51</v>
      </c>
      <c r="D321" t="s">
        <v>33</v>
      </c>
      <c r="E321" t="s">
        <v>48</v>
      </c>
      <c r="F321" t="s">
        <v>26</v>
      </c>
      <c r="I321">
        <v>0.21</v>
      </c>
      <c r="J321" t="s">
        <v>42</v>
      </c>
      <c r="K321" t="s">
        <v>55</v>
      </c>
    </row>
    <row r="322" spans="1:11" x14ac:dyDescent="0.2">
      <c r="A322" t="s">
        <v>211</v>
      </c>
      <c r="B322" s="1">
        <v>45200</v>
      </c>
      <c r="C322" t="s">
        <v>12</v>
      </c>
      <c r="D322" t="s">
        <v>31</v>
      </c>
      <c r="E322" t="s">
        <v>46</v>
      </c>
      <c r="F322" t="s">
        <v>26</v>
      </c>
      <c r="G322">
        <v>1</v>
      </c>
      <c r="I322">
        <v>0.13</v>
      </c>
      <c r="J322" t="s">
        <v>21</v>
      </c>
      <c r="K322" t="s">
        <v>55</v>
      </c>
    </row>
    <row r="323" spans="1:11" x14ac:dyDescent="0.2">
      <c r="A323" t="s">
        <v>205</v>
      </c>
      <c r="B323" s="1">
        <v>45286</v>
      </c>
      <c r="C323" t="s">
        <v>51</v>
      </c>
      <c r="D323" t="s">
        <v>33</v>
      </c>
      <c r="E323" t="s">
        <v>48</v>
      </c>
      <c r="F323" t="s">
        <v>26</v>
      </c>
      <c r="J323" t="s">
        <v>21</v>
      </c>
      <c r="K323" t="s">
        <v>35</v>
      </c>
    </row>
    <row r="324" spans="1:11" x14ac:dyDescent="0.2">
      <c r="A324" t="s">
        <v>212</v>
      </c>
      <c r="B324" s="1">
        <v>44980</v>
      </c>
      <c r="C324" t="s">
        <v>54</v>
      </c>
      <c r="D324" t="s">
        <v>59</v>
      </c>
      <c r="E324" t="s">
        <v>46</v>
      </c>
      <c r="F324" t="s">
        <v>26</v>
      </c>
      <c r="G324">
        <v>16</v>
      </c>
      <c r="I324">
        <v>0.25</v>
      </c>
      <c r="J324" t="s">
        <v>52</v>
      </c>
      <c r="K324" t="s">
        <v>22</v>
      </c>
    </row>
    <row r="325" spans="1:11" x14ac:dyDescent="0.2">
      <c r="A325" t="s">
        <v>30</v>
      </c>
      <c r="B325" s="1">
        <v>45009</v>
      </c>
      <c r="C325" t="s">
        <v>12</v>
      </c>
      <c r="D325" t="s">
        <v>31</v>
      </c>
      <c r="E325" t="s">
        <v>38</v>
      </c>
      <c r="F325" t="s">
        <v>15</v>
      </c>
      <c r="H325">
        <v>476.67</v>
      </c>
      <c r="I325">
        <v>0.2</v>
      </c>
      <c r="J325" t="s">
        <v>21</v>
      </c>
      <c r="K325" t="s">
        <v>22</v>
      </c>
    </row>
    <row r="326" spans="1:11" x14ac:dyDescent="0.2">
      <c r="A326" t="s">
        <v>133</v>
      </c>
      <c r="B326" s="1">
        <v>44973</v>
      </c>
      <c r="C326" t="s">
        <v>54</v>
      </c>
      <c r="D326" t="s">
        <v>13</v>
      </c>
      <c r="E326" t="s">
        <v>48</v>
      </c>
      <c r="F326" t="s">
        <v>26</v>
      </c>
      <c r="I326">
        <v>0.08</v>
      </c>
      <c r="J326" t="s">
        <v>16</v>
      </c>
      <c r="K326" t="s">
        <v>35</v>
      </c>
    </row>
    <row r="327" spans="1:11" x14ac:dyDescent="0.2">
      <c r="A327" t="s">
        <v>200</v>
      </c>
      <c r="B327" s="1">
        <v>45075</v>
      </c>
      <c r="C327" t="s">
        <v>29</v>
      </c>
      <c r="E327" t="s">
        <v>48</v>
      </c>
      <c r="F327" t="s">
        <v>34</v>
      </c>
      <c r="H327">
        <v>240.64</v>
      </c>
      <c r="I327">
        <v>0</v>
      </c>
      <c r="K327" t="s">
        <v>35</v>
      </c>
    </row>
    <row r="328" spans="1:11" x14ac:dyDescent="0.2">
      <c r="A328" t="s">
        <v>74</v>
      </c>
      <c r="B328" s="1">
        <v>45110</v>
      </c>
      <c r="C328" t="s">
        <v>63</v>
      </c>
      <c r="D328" t="s">
        <v>31</v>
      </c>
      <c r="E328" t="s">
        <v>14</v>
      </c>
      <c r="F328" t="s">
        <v>26</v>
      </c>
      <c r="J328" t="s">
        <v>52</v>
      </c>
      <c r="K328" t="s">
        <v>22</v>
      </c>
    </row>
    <row r="329" spans="1:11" x14ac:dyDescent="0.2">
      <c r="A329" t="s">
        <v>158</v>
      </c>
      <c r="B329" s="1">
        <v>45171</v>
      </c>
      <c r="C329" t="s">
        <v>57</v>
      </c>
      <c r="D329" t="s">
        <v>13</v>
      </c>
      <c r="E329" t="s">
        <v>25</v>
      </c>
      <c r="F329" t="s">
        <v>15</v>
      </c>
      <c r="G329">
        <v>4</v>
      </c>
      <c r="H329">
        <v>1395.38</v>
      </c>
      <c r="I329">
        <v>0.28999999999999998</v>
      </c>
      <c r="J329" t="s">
        <v>16</v>
      </c>
      <c r="K329" t="s">
        <v>22</v>
      </c>
    </row>
    <row r="330" spans="1:11" x14ac:dyDescent="0.2">
      <c r="A330" t="s">
        <v>213</v>
      </c>
      <c r="B330" s="1">
        <v>45174</v>
      </c>
      <c r="C330" t="s">
        <v>63</v>
      </c>
      <c r="D330" t="s">
        <v>33</v>
      </c>
      <c r="E330" t="s">
        <v>44</v>
      </c>
      <c r="F330" t="s">
        <v>39</v>
      </c>
      <c r="J330" t="s">
        <v>40</v>
      </c>
      <c r="K330" t="s">
        <v>22</v>
      </c>
    </row>
    <row r="331" spans="1:11" x14ac:dyDescent="0.2">
      <c r="A331" t="s">
        <v>214</v>
      </c>
      <c r="B331" s="1">
        <v>44984</v>
      </c>
      <c r="C331" t="s">
        <v>57</v>
      </c>
      <c r="D331" t="s">
        <v>83</v>
      </c>
      <c r="E331" t="s">
        <v>46</v>
      </c>
      <c r="F331" t="s">
        <v>26</v>
      </c>
      <c r="K331" t="s">
        <v>17</v>
      </c>
    </row>
    <row r="332" spans="1:11" x14ac:dyDescent="0.2">
      <c r="A332" t="s">
        <v>165</v>
      </c>
      <c r="B332" s="1">
        <v>45216</v>
      </c>
      <c r="C332" t="s">
        <v>37</v>
      </c>
      <c r="D332" t="s">
        <v>13</v>
      </c>
      <c r="E332" t="s">
        <v>25</v>
      </c>
      <c r="F332" t="s">
        <v>34</v>
      </c>
      <c r="K332" t="s">
        <v>35</v>
      </c>
    </row>
    <row r="333" spans="1:11" x14ac:dyDescent="0.2">
      <c r="A333" t="s">
        <v>215</v>
      </c>
      <c r="B333" s="1">
        <v>45104</v>
      </c>
      <c r="C333" t="s">
        <v>57</v>
      </c>
      <c r="D333" t="s">
        <v>33</v>
      </c>
      <c r="E333" t="s">
        <v>25</v>
      </c>
      <c r="G333">
        <v>20</v>
      </c>
      <c r="H333">
        <v>33.17</v>
      </c>
      <c r="J333" t="s">
        <v>42</v>
      </c>
      <c r="K333" t="s">
        <v>35</v>
      </c>
    </row>
    <row r="334" spans="1:11" x14ac:dyDescent="0.2">
      <c r="A334" t="s">
        <v>112</v>
      </c>
      <c r="B334" s="1">
        <v>45311</v>
      </c>
      <c r="C334" t="s">
        <v>63</v>
      </c>
      <c r="D334" t="s">
        <v>59</v>
      </c>
      <c r="E334" t="s">
        <v>20</v>
      </c>
      <c r="F334" t="s">
        <v>34</v>
      </c>
      <c r="G334">
        <v>9</v>
      </c>
      <c r="J334" t="s">
        <v>40</v>
      </c>
      <c r="K334" t="s">
        <v>27</v>
      </c>
    </row>
    <row r="335" spans="1:11" x14ac:dyDescent="0.2">
      <c r="A335" t="s">
        <v>167</v>
      </c>
      <c r="B335" s="1">
        <v>45154</v>
      </c>
      <c r="C335" t="s">
        <v>63</v>
      </c>
      <c r="D335" t="s">
        <v>19</v>
      </c>
      <c r="E335" t="s">
        <v>25</v>
      </c>
      <c r="F335" t="s">
        <v>39</v>
      </c>
      <c r="I335">
        <v>0.22</v>
      </c>
      <c r="J335" t="s">
        <v>16</v>
      </c>
      <c r="K335" t="s">
        <v>22</v>
      </c>
    </row>
    <row r="336" spans="1:11" x14ac:dyDescent="0.2">
      <c r="A336" t="s">
        <v>179</v>
      </c>
      <c r="B336" s="1">
        <v>44945</v>
      </c>
      <c r="C336" t="s">
        <v>12</v>
      </c>
      <c r="E336" t="s">
        <v>46</v>
      </c>
      <c r="K336" t="s">
        <v>22</v>
      </c>
    </row>
    <row r="337" spans="1:11" x14ac:dyDescent="0.2">
      <c r="A337" t="s">
        <v>216</v>
      </c>
      <c r="B337" s="1">
        <v>45113</v>
      </c>
      <c r="C337" t="s">
        <v>12</v>
      </c>
      <c r="E337" t="s">
        <v>20</v>
      </c>
      <c r="F337" t="s">
        <v>39</v>
      </c>
      <c r="J337" t="s">
        <v>52</v>
      </c>
      <c r="K337" t="s">
        <v>22</v>
      </c>
    </row>
    <row r="338" spans="1:11" x14ac:dyDescent="0.2">
      <c r="A338" t="s">
        <v>118</v>
      </c>
      <c r="B338" s="1">
        <v>44976</v>
      </c>
      <c r="C338" t="s">
        <v>37</v>
      </c>
      <c r="D338" t="s">
        <v>19</v>
      </c>
      <c r="E338" t="s">
        <v>14</v>
      </c>
      <c r="F338" t="s">
        <v>34</v>
      </c>
      <c r="I338">
        <v>0.03</v>
      </c>
      <c r="J338" t="s">
        <v>42</v>
      </c>
      <c r="K338" t="s">
        <v>35</v>
      </c>
    </row>
    <row r="339" spans="1:11" x14ac:dyDescent="0.2">
      <c r="A339" t="s">
        <v>82</v>
      </c>
      <c r="B339" s="1">
        <v>45307</v>
      </c>
      <c r="C339" t="s">
        <v>57</v>
      </c>
      <c r="D339" t="s">
        <v>19</v>
      </c>
      <c r="E339" t="s">
        <v>14</v>
      </c>
      <c r="G339">
        <v>7</v>
      </c>
      <c r="I339">
        <v>0.06</v>
      </c>
      <c r="K339" t="s">
        <v>55</v>
      </c>
    </row>
    <row r="340" spans="1:11" x14ac:dyDescent="0.2">
      <c r="A340" t="s">
        <v>199</v>
      </c>
      <c r="B340" s="1">
        <v>45314</v>
      </c>
      <c r="C340" t="s">
        <v>57</v>
      </c>
      <c r="D340" t="s">
        <v>19</v>
      </c>
      <c r="E340" t="s">
        <v>48</v>
      </c>
      <c r="I340">
        <v>0.28999999999999998</v>
      </c>
      <c r="J340" t="s">
        <v>42</v>
      </c>
      <c r="K340" t="s">
        <v>27</v>
      </c>
    </row>
    <row r="341" spans="1:11" x14ac:dyDescent="0.2">
      <c r="A341" t="s">
        <v>56</v>
      </c>
      <c r="B341" s="1">
        <v>45303</v>
      </c>
      <c r="C341" t="s">
        <v>12</v>
      </c>
      <c r="D341" t="s">
        <v>31</v>
      </c>
      <c r="E341" t="s">
        <v>38</v>
      </c>
      <c r="H341">
        <v>1564.35</v>
      </c>
      <c r="I341">
        <v>0.21</v>
      </c>
      <c r="K341" t="s">
        <v>35</v>
      </c>
    </row>
    <row r="342" spans="1:11" x14ac:dyDescent="0.2">
      <c r="A342" t="s">
        <v>97</v>
      </c>
      <c r="B342" s="1">
        <v>45125</v>
      </c>
      <c r="C342" t="s">
        <v>29</v>
      </c>
      <c r="D342" t="s">
        <v>31</v>
      </c>
      <c r="E342" t="s">
        <v>38</v>
      </c>
      <c r="F342" t="s">
        <v>39</v>
      </c>
      <c r="J342" t="s">
        <v>52</v>
      </c>
      <c r="K342" t="s">
        <v>22</v>
      </c>
    </row>
    <row r="343" spans="1:11" x14ac:dyDescent="0.2">
      <c r="A343" t="s">
        <v>141</v>
      </c>
      <c r="B343" s="1">
        <v>44997</v>
      </c>
      <c r="C343" t="s">
        <v>57</v>
      </c>
      <c r="D343" t="s">
        <v>31</v>
      </c>
      <c r="E343" t="s">
        <v>48</v>
      </c>
      <c r="K343" t="s">
        <v>35</v>
      </c>
    </row>
    <row r="344" spans="1:11" x14ac:dyDescent="0.2">
      <c r="A344" t="s">
        <v>217</v>
      </c>
      <c r="B344" s="1">
        <v>45034</v>
      </c>
      <c r="C344" t="s">
        <v>24</v>
      </c>
      <c r="D344" t="s">
        <v>13</v>
      </c>
      <c r="E344" t="s">
        <v>14</v>
      </c>
      <c r="F344" t="s">
        <v>15</v>
      </c>
      <c r="I344">
        <v>0.1</v>
      </c>
      <c r="J344" t="s">
        <v>52</v>
      </c>
      <c r="K344" t="s">
        <v>17</v>
      </c>
    </row>
    <row r="345" spans="1:11" x14ac:dyDescent="0.2">
      <c r="A345" t="s">
        <v>161</v>
      </c>
      <c r="B345" s="1">
        <v>45225</v>
      </c>
      <c r="C345" t="s">
        <v>57</v>
      </c>
      <c r="D345" t="s">
        <v>13</v>
      </c>
      <c r="E345" t="s">
        <v>48</v>
      </c>
      <c r="J345" t="s">
        <v>40</v>
      </c>
      <c r="K345" t="s">
        <v>27</v>
      </c>
    </row>
    <row r="346" spans="1:11" x14ac:dyDescent="0.2">
      <c r="A346" t="s">
        <v>104</v>
      </c>
      <c r="B346" s="1">
        <v>44955</v>
      </c>
      <c r="C346" t="s">
        <v>37</v>
      </c>
      <c r="D346" t="s">
        <v>59</v>
      </c>
      <c r="E346" t="s">
        <v>25</v>
      </c>
      <c r="F346" t="s">
        <v>15</v>
      </c>
      <c r="H346">
        <v>508.62</v>
      </c>
      <c r="J346" t="s">
        <v>40</v>
      </c>
      <c r="K346" t="s">
        <v>17</v>
      </c>
    </row>
    <row r="347" spans="1:11" x14ac:dyDescent="0.2">
      <c r="A347" t="s">
        <v>168</v>
      </c>
      <c r="B347" s="1">
        <v>45110</v>
      </c>
      <c r="C347" t="s">
        <v>63</v>
      </c>
      <c r="D347" t="s">
        <v>19</v>
      </c>
      <c r="E347" t="s">
        <v>44</v>
      </c>
      <c r="J347" t="s">
        <v>52</v>
      </c>
      <c r="K347" t="s">
        <v>27</v>
      </c>
    </row>
    <row r="348" spans="1:11" x14ac:dyDescent="0.2">
      <c r="A348" t="s">
        <v>28</v>
      </c>
      <c r="B348" s="1">
        <v>45125</v>
      </c>
      <c r="C348" t="s">
        <v>57</v>
      </c>
      <c r="E348" t="s">
        <v>48</v>
      </c>
      <c r="F348" t="s">
        <v>34</v>
      </c>
      <c r="G348">
        <v>18</v>
      </c>
      <c r="J348" t="s">
        <v>40</v>
      </c>
      <c r="K348" t="s">
        <v>55</v>
      </c>
    </row>
    <row r="349" spans="1:11" x14ac:dyDescent="0.2">
      <c r="A349" t="s">
        <v>162</v>
      </c>
      <c r="B349" s="1">
        <v>45228</v>
      </c>
      <c r="C349" t="s">
        <v>37</v>
      </c>
      <c r="E349" t="s">
        <v>48</v>
      </c>
      <c r="F349" t="s">
        <v>15</v>
      </c>
      <c r="I349">
        <v>0.02</v>
      </c>
      <c r="K349" t="s">
        <v>17</v>
      </c>
    </row>
    <row r="350" spans="1:11" x14ac:dyDescent="0.2">
      <c r="A350" t="s">
        <v>131</v>
      </c>
      <c r="B350" s="1">
        <v>45120</v>
      </c>
      <c r="C350" t="s">
        <v>12</v>
      </c>
      <c r="D350" t="s">
        <v>83</v>
      </c>
      <c r="E350" t="s">
        <v>14</v>
      </c>
      <c r="G350">
        <v>9</v>
      </c>
      <c r="K350" t="s">
        <v>35</v>
      </c>
    </row>
    <row r="351" spans="1:11" x14ac:dyDescent="0.2">
      <c r="A351" t="s">
        <v>200</v>
      </c>
      <c r="B351" s="1">
        <v>45005</v>
      </c>
      <c r="C351" t="s">
        <v>29</v>
      </c>
      <c r="D351" t="s">
        <v>31</v>
      </c>
      <c r="E351" t="s">
        <v>46</v>
      </c>
      <c r="J351" t="s">
        <v>52</v>
      </c>
      <c r="K351" t="s">
        <v>17</v>
      </c>
    </row>
    <row r="352" spans="1:11" x14ac:dyDescent="0.2">
      <c r="A352" t="s">
        <v>23</v>
      </c>
      <c r="B352" s="1">
        <v>45021</v>
      </c>
      <c r="C352" t="s">
        <v>54</v>
      </c>
      <c r="E352" t="s">
        <v>44</v>
      </c>
      <c r="F352" t="s">
        <v>15</v>
      </c>
      <c r="H352">
        <v>1078.7</v>
      </c>
      <c r="I352">
        <v>0.1</v>
      </c>
      <c r="K352" t="s">
        <v>55</v>
      </c>
    </row>
    <row r="353" spans="1:11" x14ac:dyDescent="0.2">
      <c r="A353" t="s">
        <v>74</v>
      </c>
      <c r="B353" s="1">
        <v>45111</v>
      </c>
      <c r="C353" t="s">
        <v>24</v>
      </c>
      <c r="D353" t="s">
        <v>33</v>
      </c>
      <c r="E353" t="s">
        <v>25</v>
      </c>
      <c r="J353" t="s">
        <v>52</v>
      </c>
      <c r="K353" t="s">
        <v>22</v>
      </c>
    </row>
    <row r="354" spans="1:11" x14ac:dyDescent="0.2">
      <c r="A354" t="s">
        <v>172</v>
      </c>
      <c r="B354" s="1">
        <v>45255</v>
      </c>
      <c r="C354" t="s">
        <v>37</v>
      </c>
      <c r="D354" t="s">
        <v>19</v>
      </c>
      <c r="E354" t="s">
        <v>48</v>
      </c>
      <c r="F354" t="s">
        <v>34</v>
      </c>
      <c r="G354">
        <v>13</v>
      </c>
      <c r="I354">
        <v>0.22</v>
      </c>
      <c r="J354" t="s">
        <v>21</v>
      </c>
      <c r="K354" t="s">
        <v>55</v>
      </c>
    </row>
    <row r="355" spans="1:11" x14ac:dyDescent="0.2">
      <c r="A355" t="s">
        <v>145</v>
      </c>
      <c r="B355" s="1">
        <v>45187</v>
      </c>
      <c r="C355" t="s">
        <v>63</v>
      </c>
      <c r="D355" t="s">
        <v>83</v>
      </c>
      <c r="E355" t="s">
        <v>46</v>
      </c>
      <c r="F355" t="s">
        <v>34</v>
      </c>
      <c r="H355">
        <v>1032.6500000000001</v>
      </c>
      <c r="J355" t="s">
        <v>21</v>
      </c>
      <c r="K355" t="s">
        <v>27</v>
      </c>
    </row>
    <row r="356" spans="1:11" x14ac:dyDescent="0.2">
      <c r="A356" t="s">
        <v>116</v>
      </c>
      <c r="B356" s="1">
        <v>44960</v>
      </c>
      <c r="C356" t="s">
        <v>37</v>
      </c>
      <c r="D356" t="s">
        <v>13</v>
      </c>
      <c r="E356" t="s">
        <v>48</v>
      </c>
      <c r="F356" t="s">
        <v>15</v>
      </c>
      <c r="G356">
        <v>14</v>
      </c>
      <c r="J356" t="s">
        <v>42</v>
      </c>
      <c r="K356" t="s">
        <v>27</v>
      </c>
    </row>
    <row r="357" spans="1:11" x14ac:dyDescent="0.2">
      <c r="A357" t="s">
        <v>89</v>
      </c>
      <c r="B357" s="1">
        <v>45278</v>
      </c>
      <c r="C357" t="s">
        <v>51</v>
      </c>
      <c r="D357" t="s">
        <v>19</v>
      </c>
      <c r="E357" t="s">
        <v>38</v>
      </c>
      <c r="F357" t="s">
        <v>34</v>
      </c>
      <c r="G357">
        <v>2</v>
      </c>
      <c r="H357">
        <v>155.76</v>
      </c>
      <c r="J357" t="s">
        <v>16</v>
      </c>
      <c r="K357" t="s">
        <v>17</v>
      </c>
    </row>
    <row r="358" spans="1:11" x14ac:dyDescent="0.2">
      <c r="A358" t="s">
        <v>96</v>
      </c>
      <c r="B358" s="1">
        <v>45059</v>
      </c>
      <c r="C358" t="s">
        <v>57</v>
      </c>
      <c r="D358" t="s">
        <v>83</v>
      </c>
      <c r="E358" t="s">
        <v>38</v>
      </c>
      <c r="F358" t="s">
        <v>39</v>
      </c>
      <c r="I358">
        <v>0.04</v>
      </c>
      <c r="K358" t="s">
        <v>17</v>
      </c>
    </row>
    <row r="359" spans="1:11" x14ac:dyDescent="0.2">
      <c r="A359" t="s">
        <v>207</v>
      </c>
      <c r="B359" s="1">
        <v>45314</v>
      </c>
      <c r="C359" t="s">
        <v>12</v>
      </c>
      <c r="D359" t="s">
        <v>13</v>
      </c>
      <c r="E359" t="s">
        <v>25</v>
      </c>
      <c r="F359" t="s">
        <v>26</v>
      </c>
      <c r="I359">
        <v>0.09</v>
      </c>
      <c r="J359" t="s">
        <v>52</v>
      </c>
      <c r="K359" t="s">
        <v>22</v>
      </c>
    </row>
    <row r="360" spans="1:11" x14ac:dyDescent="0.2">
      <c r="A360" t="s">
        <v>28</v>
      </c>
      <c r="B360" s="1">
        <v>45129</v>
      </c>
      <c r="C360" t="s">
        <v>12</v>
      </c>
      <c r="D360" t="s">
        <v>83</v>
      </c>
      <c r="E360" t="s">
        <v>20</v>
      </c>
      <c r="G360">
        <v>8</v>
      </c>
      <c r="J360" t="s">
        <v>40</v>
      </c>
      <c r="K360" t="s">
        <v>55</v>
      </c>
    </row>
    <row r="361" spans="1:11" x14ac:dyDescent="0.2">
      <c r="A361" t="s">
        <v>218</v>
      </c>
      <c r="B361" s="1">
        <v>45300</v>
      </c>
      <c r="C361" t="s">
        <v>29</v>
      </c>
      <c r="D361" t="s">
        <v>19</v>
      </c>
      <c r="E361" t="s">
        <v>44</v>
      </c>
      <c r="G361">
        <v>5</v>
      </c>
      <c r="J361" t="s">
        <v>21</v>
      </c>
      <c r="K361" t="s">
        <v>27</v>
      </c>
    </row>
    <row r="362" spans="1:11" x14ac:dyDescent="0.2">
      <c r="A362" t="s">
        <v>71</v>
      </c>
      <c r="B362" s="1">
        <v>45034</v>
      </c>
      <c r="C362" t="s">
        <v>29</v>
      </c>
      <c r="D362" t="s">
        <v>33</v>
      </c>
      <c r="E362" t="s">
        <v>38</v>
      </c>
      <c r="G362">
        <v>5</v>
      </c>
      <c r="I362">
        <v>0.25</v>
      </c>
      <c r="J362" t="s">
        <v>16</v>
      </c>
      <c r="K362" t="s">
        <v>35</v>
      </c>
    </row>
    <row r="363" spans="1:11" x14ac:dyDescent="0.2">
      <c r="A363" t="s">
        <v>104</v>
      </c>
      <c r="B363" s="1">
        <v>45217</v>
      </c>
      <c r="C363" t="s">
        <v>12</v>
      </c>
      <c r="E363" t="s">
        <v>25</v>
      </c>
      <c r="J363" t="s">
        <v>16</v>
      </c>
      <c r="K363" t="s">
        <v>35</v>
      </c>
    </row>
    <row r="364" spans="1:11" x14ac:dyDescent="0.2">
      <c r="A364" t="s">
        <v>165</v>
      </c>
      <c r="B364" s="1">
        <v>45224</v>
      </c>
      <c r="C364" t="s">
        <v>63</v>
      </c>
      <c r="D364" t="s">
        <v>59</v>
      </c>
      <c r="E364" t="s">
        <v>14</v>
      </c>
      <c r="F364" t="s">
        <v>15</v>
      </c>
      <c r="G364">
        <v>8</v>
      </c>
      <c r="H364">
        <v>577.41999999999996</v>
      </c>
      <c r="J364" t="s">
        <v>42</v>
      </c>
      <c r="K364" t="s">
        <v>22</v>
      </c>
    </row>
    <row r="365" spans="1:11" x14ac:dyDescent="0.2">
      <c r="A365" t="s">
        <v>74</v>
      </c>
      <c r="B365" s="1">
        <v>45242</v>
      </c>
      <c r="C365" t="s">
        <v>24</v>
      </c>
      <c r="D365" t="s">
        <v>13</v>
      </c>
      <c r="E365" t="s">
        <v>44</v>
      </c>
      <c r="F365" t="s">
        <v>15</v>
      </c>
      <c r="I365">
        <v>0.28999999999999998</v>
      </c>
      <c r="J365" t="s">
        <v>16</v>
      </c>
      <c r="K365" t="s">
        <v>55</v>
      </c>
    </row>
    <row r="366" spans="1:11" x14ac:dyDescent="0.2">
      <c r="A366" t="s">
        <v>58</v>
      </c>
      <c r="B366" s="1">
        <v>45040</v>
      </c>
      <c r="C366" t="s">
        <v>57</v>
      </c>
      <c r="D366" t="s">
        <v>59</v>
      </c>
      <c r="E366" t="s">
        <v>25</v>
      </c>
      <c r="F366" t="s">
        <v>34</v>
      </c>
      <c r="J366" t="s">
        <v>52</v>
      </c>
      <c r="K366" t="s">
        <v>22</v>
      </c>
    </row>
    <row r="367" spans="1:11" x14ac:dyDescent="0.2">
      <c r="A367" t="s">
        <v>219</v>
      </c>
      <c r="B367" s="1">
        <v>44982</v>
      </c>
      <c r="C367" t="s">
        <v>51</v>
      </c>
      <c r="D367" t="s">
        <v>13</v>
      </c>
      <c r="E367" t="s">
        <v>44</v>
      </c>
      <c r="F367" t="s">
        <v>26</v>
      </c>
      <c r="G367">
        <v>9</v>
      </c>
      <c r="H367">
        <v>1783.68</v>
      </c>
      <c r="J367" t="s">
        <v>16</v>
      </c>
      <c r="K367" t="s">
        <v>27</v>
      </c>
    </row>
    <row r="368" spans="1:11" x14ac:dyDescent="0.2">
      <c r="A368" t="s">
        <v>156</v>
      </c>
      <c r="B368" s="1">
        <v>45186</v>
      </c>
      <c r="C368" t="s">
        <v>12</v>
      </c>
      <c r="E368" t="s">
        <v>44</v>
      </c>
      <c r="H368">
        <v>433.39</v>
      </c>
      <c r="J368" t="s">
        <v>21</v>
      </c>
      <c r="K368" t="s">
        <v>22</v>
      </c>
    </row>
    <row r="369" spans="1:11" x14ac:dyDescent="0.2">
      <c r="A369" t="s">
        <v>188</v>
      </c>
      <c r="B369" s="1">
        <v>45323</v>
      </c>
      <c r="C369" t="s">
        <v>51</v>
      </c>
      <c r="D369" t="s">
        <v>59</v>
      </c>
      <c r="E369" t="s">
        <v>38</v>
      </c>
      <c r="F369" t="s">
        <v>15</v>
      </c>
      <c r="H369">
        <v>1715.76</v>
      </c>
      <c r="J369" t="s">
        <v>16</v>
      </c>
      <c r="K369" t="s">
        <v>22</v>
      </c>
    </row>
    <row r="370" spans="1:11" x14ac:dyDescent="0.2">
      <c r="A370" t="s">
        <v>77</v>
      </c>
      <c r="B370" s="1">
        <v>45184</v>
      </c>
      <c r="C370" t="s">
        <v>12</v>
      </c>
      <c r="D370" t="s">
        <v>13</v>
      </c>
      <c r="E370" t="s">
        <v>20</v>
      </c>
      <c r="H370">
        <v>289.33999999999997</v>
      </c>
      <c r="K370" t="s">
        <v>35</v>
      </c>
    </row>
    <row r="371" spans="1:11" x14ac:dyDescent="0.2">
      <c r="A371" t="s">
        <v>102</v>
      </c>
      <c r="B371" s="1">
        <v>45301</v>
      </c>
      <c r="C371" t="s">
        <v>63</v>
      </c>
      <c r="D371" t="s">
        <v>59</v>
      </c>
      <c r="E371" t="s">
        <v>46</v>
      </c>
      <c r="F371" t="s">
        <v>15</v>
      </c>
      <c r="G371">
        <v>16</v>
      </c>
      <c r="J371" t="s">
        <v>40</v>
      </c>
      <c r="K371" t="s">
        <v>17</v>
      </c>
    </row>
    <row r="372" spans="1:11" x14ac:dyDescent="0.2">
      <c r="A372" t="s">
        <v>148</v>
      </c>
      <c r="B372" s="1">
        <v>45125</v>
      </c>
      <c r="C372" t="s">
        <v>63</v>
      </c>
      <c r="D372" t="s">
        <v>83</v>
      </c>
      <c r="E372" t="s">
        <v>46</v>
      </c>
      <c r="F372" t="s">
        <v>26</v>
      </c>
      <c r="G372">
        <v>11</v>
      </c>
      <c r="K372" t="s">
        <v>55</v>
      </c>
    </row>
    <row r="373" spans="1:11" x14ac:dyDescent="0.2">
      <c r="A373" t="s">
        <v>220</v>
      </c>
      <c r="B373" s="1">
        <v>45205</v>
      </c>
      <c r="C373" t="s">
        <v>51</v>
      </c>
      <c r="D373" t="s">
        <v>83</v>
      </c>
      <c r="E373" t="s">
        <v>48</v>
      </c>
      <c r="F373" t="s">
        <v>39</v>
      </c>
      <c r="H373">
        <v>1310.1400000000001</v>
      </c>
      <c r="J373" t="s">
        <v>40</v>
      </c>
      <c r="K373" t="s">
        <v>17</v>
      </c>
    </row>
    <row r="374" spans="1:11" x14ac:dyDescent="0.2">
      <c r="A374" t="s">
        <v>221</v>
      </c>
      <c r="B374" s="1">
        <v>45107</v>
      </c>
      <c r="C374" t="s">
        <v>29</v>
      </c>
      <c r="D374" t="s">
        <v>83</v>
      </c>
      <c r="E374" t="s">
        <v>25</v>
      </c>
      <c r="F374" t="s">
        <v>39</v>
      </c>
      <c r="G374">
        <v>20</v>
      </c>
      <c r="H374">
        <v>1008.66</v>
      </c>
      <c r="I374">
        <v>0.13</v>
      </c>
      <c r="J374" t="s">
        <v>16</v>
      </c>
      <c r="K374" t="s">
        <v>17</v>
      </c>
    </row>
    <row r="375" spans="1:11" x14ac:dyDescent="0.2">
      <c r="A375" t="s">
        <v>222</v>
      </c>
      <c r="B375" s="1">
        <v>45070</v>
      </c>
      <c r="C375" t="s">
        <v>37</v>
      </c>
      <c r="D375" t="s">
        <v>33</v>
      </c>
      <c r="E375" t="s">
        <v>20</v>
      </c>
      <c r="F375" t="s">
        <v>15</v>
      </c>
      <c r="H375">
        <v>1437.43</v>
      </c>
      <c r="J375" t="s">
        <v>52</v>
      </c>
      <c r="K375" t="s">
        <v>27</v>
      </c>
    </row>
    <row r="376" spans="1:11" x14ac:dyDescent="0.2">
      <c r="A376" t="s">
        <v>215</v>
      </c>
      <c r="B376" s="1">
        <v>45272</v>
      </c>
      <c r="C376" t="s">
        <v>63</v>
      </c>
      <c r="D376" t="s">
        <v>83</v>
      </c>
      <c r="E376" t="s">
        <v>20</v>
      </c>
      <c r="H376">
        <v>1668.4</v>
      </c>
      <c r="I376">
        <v>7.0000000000000007E-2</v>
      </c>
      <c r="J376" t="s">
        <v>21</v>
      </c>
      <c r="K376" t="s">
        <v>17</v>
      </c>
    </row>
    <row r="377" spans="1:11" x14ac:dyDescent="0.2">
      <c r="A377" t="s">
        <v>72</v>
      </c>
      <c r="B377" s="1">
        <v>44995</v>
      </c>
      <c r="C377" t="s">
        <v>12</v>
      </c>
      <c r="D377" t="s">
        <v>31</v>
      </c>
      <c r="E377" t="s">
        <v>20</v>
      </c>
      <c r="F377" t="s">
        <v>26</v>
      </c>
      <c r="J377" t="s">
        <v>21</v>
      </c>
      <c r="K377" t="s">
        <v>27</v>
      </c>
    </row>
    <row r="378" spans="1:11" x14ac:dyDescent="0.2">
      <c r="A378" t="s">
        <v>135</v>
      </c>
      <c r="B378" s="1">
        <v>45299</v>
      </c>
      <c r="C378" t="s">
        <v>24</v>
      </c>
      <c r="D378" t="s">
        <v>19</v>
      </c>
      <c r="E378" t="s">
        <v>20</v>
      </c>
      <c r="F378" t="s">
        <v>39</v>
      </c>
      <c r="H378">
        <v>1735.93</v>
      </c>
      <c r="J378" t="s">
        <v>21</v>
      </c>
      <c r="K378" t="s">
        <v>35</v>
      </c>
    </row>
    <row r="379" spans="1:11" x14ac:dyDescent="0.2">
      <c r="A379" t="s">
        <v>66</v>
      </c>
      <c r="B379" s="1">
        <v>45319</v>
      </c>
      <c r="C379" t="s">
        <v>51</v>
      </c>
      <c r="D379" t="s">
        <v>31</v>
      </c>
      <c r="E379" t="s">
        <v>48</v>
      </c>
      <c r="G379">
        <v>9</v>
      </c>
      <c r="J379" t="s">
        <v>21</v>
      </c>
      <c r="K379" t="s">
        <v>27</v>
      </c>
    </row>
    <row r="380" spans="1:11" x14ac:dyDescent="0.2">
      <c r="A380" t="s">
        <v>96</v>
      </c>
      <c r="B380" s="1">
        <v>45120</v>
      </c>
      <c r="C380" t="s">
        <v>57</v>
      </c>
      <c r="D380" t="s">
        <v>33</v>
      </c>
      <c r="E380" t="s">
        <v>46</v>
      </c>
      <c r="F380" t="s">
        <v>26</v>
      </c>
      <c r="I380">
        <v>0.21</v>
      </c>
      <c r="J380" t="s">
        <v>21</v>
      </c>
      <c r="K380" t="s">
        <v>27</v>
      </c>
    </row>
    <row r="381" spans="1:11" x14ac:dyDescent="0.2">
      <c r="A381" t="s">
        <v>75</v>
      </c>
      <c r="B381" s="1">
        <v>45170</v>
      </c>
      <c r="C381" t="s">
        <v>12</v>
      </c>
      <c r="E381" t="s">
        <v>44</v>
      </c>
      <c r="G381">
        <v>4</v>
      </c>
      <c r="H381">
        <v>969.66</v>
      </c>
      <c r="J381" t="s">
        <v>16</v>
      </c>
      <c r="K381" t="s">
        <v>22</v>
      </c>
    </row>
    <row r="382" spans="1:11" x14ac:dyDescent="0.2">
      <c r="A382" t="s">
        <v>223</v>
      </c>
      <c r="B382" s="1">
        <v>45142</v>
      </c>
      <c r="C382" t="s">
        <v>29</v>
      </c>
      <c r="E382" t="s">
        <v>46</v>
      </c>
      <c r="G382">
        <v>14</v>
      </c>
      <c r="J382" t="s">
        <v>52</v>
      </c>
      <c r="K382" t="s">
        <v>17</v>
      </c>
    </row>
    <row r="383" spans="1:11" x14ac:dyDescent="0.2">
      <c r="A383" t="s">
        <v>177</v>
      </c>
      <c r="B383" s="1">
        <v>45316</v>
      </c>
      <c r="C383" t="s">
        <v>54</v>
      </c>
      <c r="D383" t="s">
        <v>83</v>
      </c>
      <c r="E383" t="s">
        <v>20</v>
      </c>
      <c r="F383" t="s">
        <v>34</v>
      </c>
      <c r="G383">
        <v>16</v>
      </c>
      <c r="H383">
        <v>1821.07</v>
      </c>
      <c r="J383" t="s">
        <v>42</v>
      </c>
      <c r="K383" t="s">
        <v>55</v>
      </c>
    </row>
    <row r="384" spans="1:11" x14ac:dyDescent="0.2">
      <c r="A384" t="s">
        <v>111</v>
      </c>
      <c r="B384" s="1">
        <v>44929</v>
      </c>
      <c r="C384" t="s">
        <v>12</v>
      </c>
      <c r="D384" t="s">
        <v>31</v>
      </c>
      <c r="E384" t="s">
        <v>44</v>
      </c>
      <c r="F384" t="s">
        <v>26</v>
      </c>
      <c r="G384">
        <v>17</v>
      </c>
      <c r="H384">
        <v>756.31</v>
      </c>
      <c r="J384" t="s">
        <v>42</v>
      </c>
      <c r="K384" t="s">
        <v>55</v>
      </c>
    </row>
    <row r="385" spans="1:11" x14ac:dyDescent="0.2">
      <c r="A385" t="s">
        <v>199</v>
      </c>
      <c r="B385" s="1">
        <v>45006</v>
      </c>
      <c r="C385" t="s">
        <v>57</v>
      </c>
      <c r="D385" t="s">
        <v>13</v>
      </c>
      <c r="E385" t="s">
        <v>44</v>
      </c>
      <c r="F385" t="s">
        <v>34</v>
      </c>
      <c r="J385" t="s">
        <v>42</v>
      </c>
      <c r="K385" t="s">
        <v>35</v>
      </c>
    </row>
    <row r="386" spans="1:11" x14ac:dyDescent="0.2">
      <c r="A386" t="s">
        <v>179</v>
      </c>
      <c r="B386" s="1">
        <v>45209</v>
      </c>
      <c r="C386" t="s">
        <v>63</v>
      </c>
      <c r="D386" t="s">
        <v>33</v>
      </c>
      <c r="E386" t="s">
        <v>14</v>
      </c>
      <c r="J386" t="s">
        <v>42</v>
      </c>
      <c r="K386" t="s">
        <v>35</v>
      </c>
    </row>
    <row r="387" spans="1:11" x14ac:dyDescent="0.2">
      <c r="A387" t="s">
        <v>224</v>
      </c>
      <c r="B387" s="1">
        <v>44987</v>
      </c>
      <c r="C387" t="s">
        <v>37</v>
      </c>
      <c r="D387" t="s">
        <v>83</v>
      </c>
      <c r="E387" t="s">
        <v>25</v>
      </c>
      <c r="F387" t="s">
        <v>15</v>
      </c>
      <c r="G387">
        <v>4</v>
      </c>
      <c r="K387" t="s">
        <v>27</v>
      </c>
    </row>
    <row r="388" spans="1:11" x14ac:dyDescent="0.2">
      <c r="A388" t="s">
        <v>72</v>
      </c>
      <c r="B388" s="1">
        <v>45126</v>
      </c>
      <c r="C388" t="s">
        <v>12</v>
      </c>
      <c r="E388" t="s">
        <v>46</v>
      </c>
      <c r="F388" t="s">
        <v>15</v>
      </c>
      <c r="H388">
        <v>876.4</v>
      </c>
      <c r="J388" t="s">
        <v>16</v>
      </c>
      <c r="K388" t="s">
        <v>17</v>
      </c>
    </row>
    <row r="389" spans="1:11" x14ac:dyDescent="0.2">
      <c r="A389" t="s">
        <v>73</v>
      </c>
      <c r="B389" s="1">
        <v>45297</v>
      </c>
      <c r="C389" t="s">
        <v>57</v>
      </c>
      <c r="D389" t="s">
        <v>83</v>
      </c>
      <c r="E389" t="s">
        <v>44</v>
      </c>
      <c r="H389">
        <v>1927.42</v>
      </c>
      <c r="I389">
        <v>0.28000000000000003</v>
      </c>
      <c r="K389" t="s">
        <v>22</v>
      </c>
    </row>
    <row r="390" spans="1:11" x14ac:dyDescent="0.2">
      <c r="A390" t="s">
        <v>183</v>
      </c>
      <c r="B390" s="1">
        <v>44932</v>
      </c>
      <c r="C390" t="s">
        <v>37</v>
      </c>
      <c r="E390" t="s">
        <v>48</v>
      </c>
      <c r="G390">
        <v>10</v>
      </c>
      <c r="J390" t="s">
        <v>40</v>
      </c>
      <c r="K390" t="s">
        <v>17</v>
      </c>
    </row>
    <row r="391" spans="1:11" x14ac:dyDescent="0.2">
      <c r="A391" t="s">
        <v>187</v>
      </c>
      <c r="B391" s="1">
        <v>45272</v>
      </c>
      <c r="C391" t="s">
        <v>12</v>
      </c>
      <c r="D391" t="s">
        <v>59</v>
      </c>
      <c r="E391" t="s">
        <v>20</v>
      </c>
      <c r="F391" t="s">
        <v>26</v>
      </c>
      <c r="G391">
        <v>6</v>
      </c>
      <c r="J391" t="s">
        <v>42</v>
      </c>
      <c r="K391" t="s">
        <v>17</v>
      </c>
    </row>
    <row r="392" spans="1:11" x14ac:dyDescent="0.2">
      <c r="A392" t="s">
        <v>217</v>
      </c>
      <c r="B392" s="1">
        <v>45192</v>
      </c>
      <c r="C392" t="s">
        <v>12</v>
      </c>
      <c r="D392" t="s">
        <v>13</v>
      </c>
      <c r="E392" t="s">
        <v>48</v>
      </c>
      <c r="F392" t="s">
        <v>26</v>
      </c>
      <c r="J392" t="s">
        <v>52</v>
      </c>
      <c r="K392" t="s">
        <v>55</v>
      </c>
    </row>
    <row r="393" spans="1:11" x14ac:dyDescent="0.2">
      <c r="A393" t="s">
        <v>81</v>
      </c>
      <c r="B393" s="1">
        <v>45237</v>
      </c>
      <c r="C393" t="s">
        <v>37</v>
      </c>
      <c r="D393" t="s">
        <v>83</v>
      </c>
      <c r="E393" t="s">
        <v>38</v>
      </c>
      <c r="I393">
        <v>0.03</v>
      </c>
      <c r="J393" t="s">
        <v>21</v>
      </c>
      <c r="K393" t="s">
        <v>55</v>
      </c>
    </row>
    <row r="394" spans="1:11" x14ac:dyDescent="0.2">
      <c r="A394" t="s">
        <v>216</v>
      </c>
      <c r="B394" s="1">
        <v>44986</v>
      </c>
      <c r="C394" t="s">
        <v>24</v>
      </c>
      <c r="D394" t="s">
        <v>31</v>
      </c>
      <c r="E394" t="s">
        <v>25</v>
      </c>
      <c r="I394">
        <v>0.17</v>
      </c>
      <c r="J394" t="s">
        <v>52</v>
      </c>
      <c r="K394" t="s">
        <v>22</v>
      </c>
    </row>
    <row r="395" spans="1:11" x14ac:dyDescent="0.2">
      <c r="A395" t="s">
        <v>115</v>
      </c>
      <c r="B395" s="1">
        <v>45162</v>
      </c>
      <c r="C395" t="s">
        <v>12</v>
      </c>
      <c r="D395" t="s">
        <v>83</v>
      </c>
      <c r="E395" t="s">
        <v>46</v>
      </c>
      <c r="F395" t="s">
        <v>34</v>
      </c>
      <c r="H395">
        <v>1270.99</v>
      </c>
      <c r="I395">
        <v>0.2</v>
      </c>
      <c r="J395" t="s">
        <v>52</v>
      </c>
      <c r="K395" t="s">
        <v>22</v>
      </c>
    </row>
    <row r="396" spans="1:11" x14ac:dyDescent="0.2">
      <c r="A396" t="s">
        <v>127</v>
      </c>
      <c r="B396" s="1">
        <v>45191</v>
      </c>
      <c r="C396" t="s">
        <v>12</v>
      </c>
      <c r="D396" t="s">
        <v>13</v>
      </c>
      <c r="E396" t="s">
        <v>25</v>
      </c>
      <c r="F396" t="s">
        <v>34</v>
      </c>
      <c r="J396" t="s">
        <v>16</v>
      </c>
      <c r="K396" t="s">
        <v>17</v>
      </c>
    </row>
    <row r="397" spans="1:11" x14ac:dyDescent="0.2">
      <c r="A397" t="s">
        <v>75</v>
      </c>
      <c r="B397" s="1">
        <v>45170</v>
      </c>
      <c r="C397" t="s">
        <v>29</v>
      </c>
      <c r="D397" t="s">
        <v>59</v>
      </c>
      <c r="E397" t="s">
        <v>20</v>
      </c>
      <c r="G397">
        <v>9</v>
      </c>
      <c r="I397">
        <v>0.28000000000000003</v>
      </c>
      <c r="J397" t="s">
        <v>42</v>
      </c>
      <c r="K397" t="s">
        <v>35</v>
      </c>
    </row>
    <row r="398" spans="1:11" x14ac:dyDescent="0.2">
      <c r="A398" t="s">
        <v>198</v>
      </c>
      <c r="B398" s="1">
        <v>45303</v>
      </c>
      <c r="C398" t="s">
        <v>37</v>
      </c>
      <c r="E398" t="s">
        <v>14</v>
      </c>
      <c r="F398" t="s">
        <v>15</v>
      </c>
      <c r="G398">
        <v>8</v>
      </c>
      <c r="I398">
        <v>0.11</v>
      </c>
      <c r="J398" t="s">
        <v>16</v>
      </c>
      <c r="K398" t="s">
        <v>27</v>
      </c>
    </row>
    <row r="399" spans="1:11" x14ac:dyDescent="0.2">
      <c r="A399" t="s">
        <v>218</v>
      </c>
      <c r="B399" s="1">
        <v>45266</v>
      </c>
      <c r="C399" t="s">
        <v>63</v>
      </c>
      <c r="D399" t="s">
        <v>31</v>
      </c>
      <c r="E399" t="s">
        <v>46</v>
      </c>
      <c r="J399" t="s">
        <v>52</v>
      </c>
      <c r="K399" t="s">
        <v>22</v>
      </c>
    </row>
    <row r="400" spans="1:11" x14ac:dyDescent="0.2">
      <c r="A400" t="s">
        <v>143</v>
      </c>
      <c r="B400" s="1">
        <v>45318</v>
      </c>
      <c r="C400" t="s">
        <v>24</v>
      </c>
      <c r="D400" t="s">
        <v>83</v>
      </c>
      <c r="E400" t="s">
        <v>20</v>
      </c>
      <c r="G400">
        <v>5</v>
      </c>
      <c r="J400" t="s">
        <v>16</v>
      </c>
      <c r="K400" t="s">
        <v>17</v>
      </c>
    </row>
    <row r="401" spans="1:11" x14ac:dyDescent="0.2">
      <c r="A401" t="s">
        <v>159</v>
      </c>
      <c r="B401" s="1">
        <v>45128</v>
      </c>
      <c r="C401" t="s">
        <v>51</v>
      </c>
      <c r="D401" t="s">
        <v>83</v>
      </c>
      <c r="E401" t="s">
        <v>46</v>
      </c>
      <c r="H401">
        <v>1381.53</v>
      </c>
      <c r="J401" t="s">
        <v>21</v>
      </c>
      <c r="K401" t="s">
        <v>27</v>
      </c>
    </row>
    <row r="402" spans="1:11" x14ac:dyDescent="0.2">
      <c r="A402" t="s">
        <v>78</v>
      </c>
      <c r="B402" s="1">
        <v>45112</v>
      </c>
      <c r="C402" t="s">
        <v>24</v>
      </c>
      <c r="D402" t="s">
        <v>33</v>
      </c>
      <c r="E402" t="s">
        <v>44</v>
      </c>
      <c r="F402" t="s">
        <v>34</v>
      </c>
      <c r="I402">
        <v>0.1</v>
      </c>
      <c r="J402" t="s">
        <v>42</v>
      </c>
      <c r="K402" t="s">
        <v>22</v>
      </c>
    </row>
    <row r="403" spans="1:11" x14ac:dyDescent="0.2">
      <c r="A403" t="s">
        <v>225</v>
      </c>
      <c r="B403" s="1">
        <v>45141</v>
      </c>
      <c r="C403" t="s">
        <v>29</v>
      </c>
      <c r="D403" t="s">
        <v>59</v>
      </c>
      <c r="E403" t="s">
        <v>25</v>
      </c>
      <c r="F403" t="s">
        <v>39</v>
      </c>
      <c r="H403">
        <v>367.98</v>
      </c>
      <c r="J403" t="s">
        <v>40</v>
      </c>
      <c r="K403" t="s">
        <v>27</v>
      </c>
    </row>
    <row r="404" spans="1:11" x14ac:dyDescent="0.2">
      <c r="A404" t="s">
        <v>135</v>
      </c>
      <c r="B404" s="1">
        <v>45065</v>
      </c>
      <c r="C404" t="s">
        <v>37</v>
      </c>
      <c r="D404" t="s">
        <v>31</v>
      </c>
      <c r="E404" t="s">
        <v>38</v>
      </c>
      <c r="F404" t="s">
        <v>39</v>
      </c>
      <c r="G404">
        <v>7</v>
      </c>
      <c r="I404">
        <v>0.04</v>
      </c>
      <c r="J404" t="s">
        <v>40</v>
      </c>
      <c r="K404" t="s">
        <v>22</v>
      </c>
    </row>
    <row r="405" spans="1:11" x14ac:dyDescent="0.2">
      <c r="A405" t="s">
        <v>108</v>
      </c>
      <c r="B405" s="1">
        <v>44995</v>
      </c>
      <c r="C405" t="s">
        <v>29</v>
      </c>
      <c r="E405" t="s">
        <v>38</v>
      </c>
      <c r="F405" t="s">
        <v>34</v>
      </c>
      <c r="H405">
        <v>1718.42</v>
      </c>
      <c r="J405" t="s">
        <v>40</v>
      </c>
      <c r="K405" t="s">
        <v>27</v>
      </c>
    </row>
    <row r="406" spans="1:11" x14ac:dyDescent="0.2">
      <c r="A406" t="s">
        <v>121</v>
      </c>
      <c r="B406" s="1">
        <v>45057</v>
      </c>
      <c r="C406" t="s">
        <v>63</v>
      </c>
      <c r="E406" t="s">
        <v>48</v>
      </c>
      <c r="F406" t="s">
        <v>26</v>
      </c>
      <c r="J406" t="s">
        <v>52</v>
      </c>
      <c r="K406" t="s">
        <v>55</v>
      </c>
    </row>
    <row r="407" spans="1:11" x14ac:dyDescent="0.2">
      <c r="A407" t="s">
        <v>202</v>
      </c>
      <c r="B407" s="1">
        <v>45137</v>
      </c>
      <c r="C407" t="s">
        <v>54</v>
      </c>
      <c r="D407" t="s">
        <v>59</v>
      </c>
      <c r="E407" t="s">
        <v>25</v>
      </c>
      <c r="J407" t="s">
        <v>52</v>
      </c>
      <c r="K407" t="s">
        <v>55</v>
      </c>
    </row>
    <row r="408" spans="1:11" x14ac:dyDescent="0.2">
      <c r="A408" t="s">
        <v>155</v>
      </c>
      <c r="B408" s="1">
        <v>45188</v>
      </c>
      <c r="C408" t="s">
        <v>63</v>
      </c>
      <c r="E408" t="s">
        <v>48</v>
      </c>
      <c r="F408" t="s">
        <v>39</v>
      </c>
      <c r="I408">
        <v>0.19</v>
      </c>
      <c r="J408" t="s">
        <v>40</v>
      </c>
      <c r="K408" t="s">
        <v>55</v>
      </c>
    </row>
    <row r="409" spans="1:11" x14ac:dyDescent="0.2">
      <c r="A409" t="s">
        <v>212</v>
      </c>
      <c r="B409" s="1">
        <v>45250</v>
      </c>
      <c r="C409" t="s">
        <v>57</v>
      </c>
      <c r="E409" t="s">
        <v>46</v>
      </c>
      <c r="F409" t="s">
        <v>26</v>
      </c>
      <c r="J409" t="s">
        <v>52</v>
      </c>
      <c r="K409" t="s">
        <v>17</v>
      </c>
    </row>
    <row r="410" spans="1:11" x14ac:dyDescent="0.2">
      <c r="A410" t="s">
        <v>226</v>
      </c>
      <c r="B410" s="1">
        <v>45129</v>
      </c>
      <c r="C410" t="s">
        <v>24</v>
      </c>
      <c r="D410" t="s">
        <v>83</v>
      </c>
      <c r="E410" t="s">
        <v>25</v>
      </c>
      <c r="F410" t="s">
        <v>34</v>
      </c>
      <c r="I410">
        <v>0.05</v>
      </c>
      <c r="J410" t="s">
        <v>40</v>
      </c>
      <c r="K410" t="s">
        <v>35</v>
      </c>
    </row>
    <row r="411" spans="1:11" x14ac:dyDescent="0.2">
      <c r="A411" t="s">
        <v>100</v>
      </c>
      <c r="B411" s="1">
        <v>45055</v>
      </c>
      <c r="C411" t="s">
        <v>54</v>
      </c>
      <c r="D411" t="s">
        <v>33</v>
      </c>
      <c r="E411" t="s">
        <v>20</v>
      </c>
      <c r="F411" t="s">
        <v>39</v>
      </c>
      <c r="G411">
        <v>4</v>
      </c>
      <c r="I411">
        <v>0.16</v>
      </c>
      <c r="J411" t="s">
        <v>42</v>
      </c>
      <c r="K411" t="s">
        <v>17</v>
      </c>
    </row>
    <row r="412" spans="1:11" x14ac:dyDescent="0.2">
      <c r="A412" t="s">
        <v>99</v>
      </c>
      <c r="B412" s="1">
        <v>44969</v>
      </c>
      <c r="C412" t="s">
        <v>54</v>
      </c>
      <c r="D412" t="s">
        <v>59</v>
      </c>
      <c r="E412" t="s">
        <v>44</v>
      </c>
      <c r="F412" t="s">
        <v>15</v>
      </c>
      <c r="I412">
        <v>0.09</v>
      </c>
      <c r="K412" t="s">
        <v>55</v>
      </c>
    </row>
    <row r="413" spans="1:11" x14ac:dyDescent="0.2">
      <c r="A413" t="s">
        <v>120</v>
      </c>
      <c r="B413" s="1">
        <v>45247</v>
      </c>
      <c r="C413" t="s">
        <v>51</v>
      </c>
      <c r="D413" t="s">
        <v>33</v>
      </c>
      <c r="E413" t="s">
        <v>44</v>
      </c>
      <c r="F413" t="s">
        <v>15</v>
      </c>
      <c r="G413">
        <v>1</v>
      </c>
      <c r="J413" t="s">
        <v>21</v>
      </c>
      <c r="K413" t="s">
        <v>55</v>
      </c>
    </row>
    <row r="414" spans="1:11" x14ac:dyDescent="0.2">
      <c r="A414" t="s">
        <v>163</v>
      </c>
      <c r="B414" s="1">
        <v>45154</v>
      </c>
      <c r="C414" t="s">
        <v>51</v>
      </c>
      <c r="D414" t="s">
        <v>13</v>
      </c>
      <c r="E414" t="s">
        <v>44</v>
      </c>
      <c r="F414" t="s">
        <v>15</v>
      </c>
      <c r="J414" t="s">
        <v>42</v>
      </c>
      <c r="K414" t="s">
        <v>17</v>
      </c>
    </row>
    <row r="415" spans="1:11" x14ac:dyDescent="0.2">
      <c r="A415" t="s">
        <v>11</v>
      </c>
      <c r="B415" s="1">
        <v>45254</v>
      </c>
      <c r="C415" t="s">
        <v>24</v>
      </c>
      <c r="D415" t="s">
        <v>59</v>
      </c>
      <c r="E415" t="s">
        <v>38</v>
      </c>
      <c r="G415">
        <v>8</v>
      </c>
      <c r="I415">
        <v>0.12</v>
      </c>
      <c r="J415" t="s">
        <v>52</v>
      </c>
      <c r="K415" t="s">
        <v>27</v>
      </c>
    </row>
    <row r="416" spans="1:11" x14ac:dyDescent="0.2">
      <c r="A416" t="s">
        <v>49</v>
      </c>
      <c r="B416" s="1">
        <v>45194</v>
      </c>
      <c r="C416" t="s">
        <v>51</v>
      </c>
      <c r="D416" t="s">
        <v>59</v>
      </c>
      <c r="E416" t="s">
        <v>14</v>
      </c>
      <c r="F416" t="s">
        <v>39</v>
      </c>
      <c r="G416">
        <v>18</v>
      </c>
      <c r="J416" t="s">
        <v>52</v>
      </c>
      <c r="K416" t="s">
        <v>27</v>
      </c>
    </row>
    <row r="417" spans="1:11" x14ac:dyDescent="0.2">
      <c r="A417" t="s">
        <v>227</v>
      </c>
      <c r="B417" s="1">
        <v>45147</v>
      </c>
      <c r="C417" t="s">
        <v>24</v>
      </c>
      <c r="D417" t="s">
        <v>31</v>
      </c>
      <c r="E417" t="s">
        <v>20</v>
      </c>
      <c r="F417" t="s">
        <v>26</v>
      </c>
      <c r="I417">
        <v>0.13</v>
      </c>
      <c r="J417" t="s">
        <v>40</v>
      </c>
      <c r="K417" t="s">
        <v>22</v>
      </c>
    </row>
    <row r="418" spans="1:11" x14ac:dyDescent="0.2">
      <c r="A418" t="s">
        <v>166</v>
      </c>
      <c r="B418" s="1">
        <v>45039</v>
      </c>
      <c r="C418" t="s">
        <v>24</v>
      </c>
      <c r="D418" t="s">
        <v>19</v>
      </c>
      <c r="E418" t="s">
        <v>38</v>
      </c>
      <c r="F418" t="s">
        <v>15</v>
      </c>
      <c r="K418" t="s">
        <v>17</v>
      </c>
    </row>
    <row r="419" spans="1:11" x14ac:dyDescent="0.2">
      <c r="A419" t="s">
        <v>186</v>
      </c>
      <c r="B419" s="1">
        <v>45138</v>
      </c>
      <c r="C419" t="s">
        <v>37</v>
      </c>
      <c r="E419" t="s">
        <v>46</v>
      </c>
      <c r="F419" t="s">
        <v>15</v>
      </c>
      <c r="K419" t="s">
        <v>17</v>
      </c>
    </row>
    <row r="420" spans="1:11" x14ac:dyDescent="0.2">
      <c r="A420" t="s">
        <v>164</v>
      </c>
      <c r="B420" s="1">
        <v>45023</v>
      </c>
      <c r="C420" t="s">
        <v>29</v>
      </c>
      <c r="D420" t="s">
        <v>19</v>
      </c>
      <c r="E420" t="s">
        <v>20</v>
      </c>
      <c r="F420" t="s">
        <v>26</v>
      </c>
      <c r="G420">
        <v>18</v>
      </c>
      <c r="H420">
        <v>380.02</v>
      </c>
      <c r="I420">
        <v>0.08</v>
      </c>
      <c r="K420" t="s">
        <v>22</v>
      </c>
    </row>
    <row r="421" spans="1:11" x14ac:dyDescent="0.2">
      <c r="A421" t="s">
        <v>139</v>
      </c>
      <c r="B421" s="1">
        <v>44931</v>
      </c>
      <c r="C421" t="s">
        <v>37</v>
      </c>
      <c r="D421" t="s">
        <v>19</v>
      </c>
      <c r="E421" t="s">
        <v>20</v>
      </c>
      <c r="F421" t="s">
        <v>26</v>
      </c>
      <c r="G421">
        <v>16</v>
      </c>
      <c r="J421" t="s">
        <v>52</v>
      </c>
      <c r="K421" t="s">
        <v>22</v>
      </c>
    </row>
    <row r="422" spans="1:11" x14ac:dyDescent="0.2">
      <c r="A422" t="s">
        <v>65</v>
      </c>
      <c r="B422" s="1">
        <v>44943</v>
      </c>
      <c r="C422" t="s">
        <v>29</v>
      </c>
      <c r="D422" t="s">
        <v>19</v>
      </c>
      <c r="E422" t="s">
        <v>25</v>
      </c>
      <c r="F422" t="s">
        <v>15</v>
      </c>
      <c r="H422">
        <v>1553.55</v>
      </c>
      <c r="I422">
        <v>0.16</v>
      </c>
      <c r="J422" t="s">
        <v>40</v>
      </c>
      <c r="K422" t="s">
        <v>55</v>
      </c>
    </row>
    <row r="423" spans="1:11" x14ac:dyDescent="0.2">
      <c r="A423" t="s">
        <v>28</v>
      </c>
      <c r="B423" s="1">
        <v>44933</v>
      </c>
      <c r="C423" t="s">
        <v>54</v>
      </c>
      <c r="E423" t="s">
        <v>48</v>
      </c>
      <c r="F423" t="s">
        <v>15</v>
      </c>
      <c r="H423">
        <v>501.85</v>
      </c>
      <c r="J423" t="s">
        <v>16</v>
      </c>
      <c r="K423" t="s">
        <v>17</v>
      </c>
    </row>
    <row r="424" spans="1:11" x14ac:dyDescent="0.2">
      <c r="A424" t="s">
        <v>130</v>
      </c>
      <c r="B424" s="1">
        <v>45033</v>
      </c>
      <c r="C424" t="s">
        <v>63</v>
      </c>
      <c r="D424" t="s">
        <v>83</v>
      </c>
      <c r="E424" t="s">
        <v>48</v>
      </c>
      <c r="F424" t="s">
        <v>34</v>
      </c>
      <c r="G424">
        <v>11</v>
      </c>
      <c r="H424">
        <v>1262.04</v>
      </c>
      <c r="J424" t="s">
        <v>21</v>
      </c>
      <c r="K424" t="s">
        <v>27</v>
      </c>
    </row>
    <row r="425" spans="1:11" x14ac:dyDescent="0.2">
      <c r="A425" t="s">
        <v>47</v>
      </c>
      <c r="B425" s="1">
        <v>45173</v>
      </c>
      <c r="C425" t="s">
        <v>24</v>
      </c>
      <c r="D425" t="s">
        <v>33</v>
      </c>
      <c r="E425" t="s">
        <v>14</v>
      </c>
      <c r="F425" t="s">
        <v>26</v>
      </c>
      <c r="G425">
        <v>7</v>
      </c>
      <c r="I425">
        <v>0.1</v>
      </c>
      <c r="J425" t="s">
        <v>52</v>
      </c>
      <c r="K425" t="s">
        <v>17</v>
      </c>
    </row>
    <row r="426" spans="1:11" x14ac:dyDescent="0.2">
      <c r="A426" t="s">
        <v>131</v>
      </c>
      <c r="B426" s="1">
        <v>45129</v>
      </c>
      <c r="C426" t="s">
        <v>37</v>
      </c>
      <c r="D426" t="s">
        <v>19</v>
      </c>
      <c r="E426" t="s">
        <v>46</v>
      </c>
      <c r="I426">
        <v>0.23</v>
      </c>
      <c r="J426" t="s">
        <v>40</v>
      </c>
      <c r="K426" t="s">
        <v>22</v>
      </c>
    </row>
    <row r="427" spans="1:11" x14ac:dyDescent="0.2">
      <c r="A427" t="s">
        <v>126</v>
      </c>
      <c r="B427" s="1">
        <v>45278</v>
      </c>
      <c r="C427" t="s">
        <v>29</v>
      </c>
      <c r="E427" t="s">
        <v>48</v>
      </c>
      <c r="F427" t="s">
        <v>26</v>
      </c>
      <c r="I427">
        <v>0.16</v>
      </c>
      <c r="J427" t="s">
        <v>40</v>
      </c>
      <c r="K427" t="s">
        <v>22</v>
      </c>
    </row>
    <row r="428" spans="1:11" x14ac:dyDescent="0.2">
      <c r="A428" t="s">
        <v>228</v>
      </c>
      <c r="B428" s="1">
        <v>45089</v>
      </c>
      <c r="C428" t="s">
        <v>29</v>
      </c>
      <c r="E428" t="s">
        <v>38</v>
      </c>
      <c r="F428" t="s">
        <v>15</v>
      </c>
      <c r="I428">
        <v>0.04</v>
      </c>
      <c r="J428" t="s">
        <v>42</v>
      </c>
      <c r="K428" t="s">
        <v>22</v>
      </c>
    </row>
    <row r="429" spans="1:11" x14ac:dyDescent="0.2">
      <c r="A429" t="s">
        <v>70</v>
      </c>
      <c r="B429" s="1">
        <v>45077</v>
      </c>
      <c r="C429" t="s">
        <v>63</v>
      </c>
      <c r="D429" t="s">
        <v>33</v>
      </c>
      <c r="E429" t="s">
        <v>44</v>
      </c>
      <c r="F429" t="s">
        <v>15</v>
      </c>
      <c r="J429" t="s">
        <v>21</v>
      </c>
      <c r="K429" t="s">
        <v>35</v>
      </c>
    </row>
    <row r="430" spans="1:11" x14ac:dyDescent="0.2">
      <c r="A430" t="s">
        <v>60</v>
      </c>
      <c r="B430" s="1">
        <v>45198</v>
      </c>
      <c r="C430" t="s">
        <v>51</v>
      </c>
      <c r="D430" t="s">
        <v>83</v>
      </c>
      <c r="E430" t="s">
        <v>14</v>
      </c>
      <c r="F430" t="s">
        <v>34</v>
      </c>
      <c r="J430" t="s">
        <v>40</v>
      </c>
      <c r="K430" t="s">
        <v>27</v>
      </c>
    </row>
    <row r="431" spans="1:11" x14ac:dyDescent="0.2">
      <c r="A431" t="s">
        <v>151</v>
      </c>
      <c r="B431" s="1">
        <v>45113</v>
      </c>
      <c r="C431" t="s">
        <v>37</v>
      </c>
      <c r="D431" t="s">
        <v>59</v>
      </c>
      <c r="E431" t="s">
        <v>48</v>
      </c>
      <c r="F431" t="s">
        <v>26</v>
      </c>
      <c r="J431" t="s">
        <v>40</v>
      </c>
      <c r="K431" t="s">
        <v>17</v>
      </c>
    </row>
    <row r="432" spans="1:11" x14ac:dyDescent="0.2">
      <c r="A432" t="s">
        <v>229</v>
      </c>
      <c r="B432" s="1">
        <v>45092</v>
      </c>
      <c r="C432" t="s">
        <v>57</v>
      </c>
      <c r="D432" t="s">
        <v>13</v>
      </c>
      <c r="E432" t="s">
        <v>14</v>
      </c>
      <c r="F432" t="s">
        <v>26</v>
      </c>
      <c r="H432">
        <v>1321.19</v>
      </c>
      <c r="I432">
        <v>0.25</v>
      </c>
      <c r="J432" t="s">
        <v>40</v>
      </c>
      <c r="K432" t="s">
        <v>27</v>
      </c>
    </row>
    <row r="433" spans="1:11" x14ac:dyDescent="0.2">
      <c r="A433" t="s">
        <v>217</v>
      </c>
      <c r="B433" s="1">
        <v>44981</v>
      </c>
      <c r="C433" t="s">
        <v>63</v>
      </c>
      <c r="D433" t="s">
        <v>33</v>
      </c>
      <c r="E433" t="s">
        <v>46</v>
      </c>
      <c r="F433" t="s">
        <v>26</v>
      </c>
      <c r="K433" t="s">
        <v>17</v>
      </c>
    </row>
    <row r="434" spans="1:11" x14ac:dyDescent="0.2">
      <c r="A434" t="s">
        <v>170</v>
      </c>
      <c r="B434" s="1">
        <v>44952</v>
      </c>
      <c r="C434" t="s">
        <v>29</v>
      </c>
      <c r="D434" t="s">
        <v>33</v>
      </c>
      <c r="E434" t="s">
        <v>44</v>
      </c>
      <c r="F434" t="s">
        <v>26</v>
      </c>
      <c r="G434">
        <v>1</v>
      </c>
      <c r="H434">
        <v>1314.94</v>
      </c>
      <c r="J434" t="s">
        <v>16</v>
      </c>
      <c r="K434" t="s">
        <v>55</v>
      </c>
    </row>
    <row r="435" spans="1:11" x14ac:dyDescent="0.2">
      <c r="A435" t="s">
        <v>94</v>
      </c>
      <c r="B435" s="1">
        <v>45307</v>
      </c>
      <c r="C435" t="s">
        <v>57</v>
      </c>
      <c r="E435" t="s">
        <v>14</v>
      </c>
      <c r="F435" t="s">
        <v>26</v>
      </c>
      <c r="J435" t="s">
        <v>16</v>
      </c>
      <c r="K435" t="s">
        <v>35</v>
      </c>
    </row>
    <row r="436" spans="1:11" x14ac:dyDescent="0.2">
      <c r="A436" t="s">
        <v>184</v>
      </c>
      <c r="B436" s="1">
        <v>44976</v>
      </c>
      <c r="C436" t="s">
        <v>54</v>
      </c>
      <c r="D436" t="s">
        <v>13</v>
      </c>
      <c r="E436" t="s">
        <v>20</v>
      </c>
      <c r="G436">
        <v>13</v>
      </c>
      <c r="J436" t="s">
        <v>40</v>
      </c>
      <c r="K436" t="s">
        <v>17</v>
      </c>
    </row>
    <row r="437" spans="1:11" x14ac:dyDescent="0.2">
      <c r="A437" t="s">
        <v>89</v>
      </c>
      <c r="B437" s="1">
        <v>45212</v>
      </c>
      <c r="C437" t="s">
        <v>57</v>
      </c>
      <c r="D437" t="s">
        <v>13</v>
      </c>
      <c r="E437" t="s">
        <v>46</v>
      </c>
      <c r="I437">
        <v>0.13</v>
      </c>
      <c r="J437" t="s">
        <v>40</v>
      </c>
      <c r="K437" t="s">
        <v>35</v>
      </c>
    </row>
    <row r="438" spans="1:11" x14ac:dyDescent="0.2">
      <c r="A438" t="s">
        <v>163</v>
      </c>
      <c r="B438" s="1">
        <v>45132</v>
      </c>
      <c r="C438" t="s">
        <v>29</v>
      </c>
      <c r="D438" t="s">
        <v>13</v>
      </c>
      <c r="E438" t="s">
        <v>20</v>
      </c>
      <c r="J438" t="s">
        <v>52</v>
      </c>
      <c r="K438" t="s">
        <v>22</v>
      </c>
    </row>
    <row r="439" spans="1:11" x14ac:dyDescent="0.2">
      <c r="A439" t="s">
        <v>99</v>
      </c>
      <c r="B439" s="1">
        <v>45251</v>
      </c>
      <c r="C439" t="s">
        <v>57</v>
      </c>
      <c r="E439" t="s">
        <v>48</v>
      </c>
      <c r="F439" t="s">
        <v>34</v>
      </c>
      <c r="G439">
        <v>20</v>
      </c>
      <c r="H439">
        <v>1130.6600000000001</v>
      </c>
      <c r="K439" t="s">
        <v>55</v>
      </c>
    </row>
    <row r="440" spans="1:11" x14ac:dyDescent="0.2">
      <c r="A440" t="s">
        <v>148</v>
      </c>
      <c r="B440" s="1">
        <v>45158</v>
      </c>
      <c r="C440" t="s">
        <v>63</v>
      </c>
      <c r="D440" t="s">
        <v>83</v>
      </c>
      <c r="E440" t="s">
        <v>46</v>
      </c>
      <c r="F440" t="s">
        <v>26</v>
      </c>
      <c r="H440">
        <v>42.44</v>
      </c>
      <c r="J440" t="s">
        <v>16</v>
      </c>
      <c r="K440" t="s">
        <v>55</v>
      </c>
    </row>
    <row r="441" spans="1:11" x14ac:dyDescent="0.2">
      <c r="A441" t="s">
        <v>23</v>
      </c>
      <c r="B441" s="1">
        <v>45036</v>
      </c>
      <c r="C441" t="s">
        <v>29</v>
      </c>
      <c r="D441" t="s">
        <v>19</v>
      </c>
      <c r="E441" t="s">
        <v>25</v>
      </c>
      <c r="F441" t="s">
        <v>34</v>
      </c>
      <c r="I441">
        <v>0.05</v>
      </c>
      <c r="J441" t="s">
        <v>42</v>
      </c>
      <c r="K441" t="s">
        <v>55</v>
      </c>
    </row>
    <row r="442" spans="1:11" x14ac:dyDescent="0.2">
      <c r="A442" t="s">
        <v>50</v>
      </c>
      <c r="B442" s="1">
        <v>44997</v>
      </c>
      <c r="C442" t="s">
        <v>24</v>
      </c>
      <c r="D442" t="s">
        <v>59</v>
      </c>
      <c r="E442" t="s">
        <v>44</v>
      </c>
      <c r="F442" t="s">
        <v>15</v>
      </c>
      <c r="H442">
        <v>1624.04</v>
      </c>
      <c r="J442" t="s">
        <v>40</v>
      </c>
      <c r="K442" t="s">
        <v>27</v>
      </c>
    </row>
    <row r="443" spans="1:11" x14ac:dyDescent="0.2">
      <c r="A443" t="s">
        <v>165</v>
      </c>
      <c r="B443" s="1">
        <v>45093</v>
      </c>
      <c r="C443" t="s">
        <v>63</v>
      </c>
      <c r="D443" t="s">
        <v>33</v>
      </c>
      <c r="E443" t="s">
        <v>38</v>
      </c>
      <c r="H443">
        <v>1288.0899999999999</v>
      </c>
      <c r="J443" t="s">
        <v>42</v>
      </c>
      <c r="K443" t="s">
        <v>27</v>
      </c>
    </row>
    <row r="444" spans="1:11" x14ac:dyDescent="0.2">
      <c r="A444" t="s">
        <v>191</v>
      </c>
      <c r="B444" s="1">
        <v>44955</v>
      </c>
      <c r="C444" t="s">
        <v>29</v>
      </c>
      <c r="D444" t="s">
        <v>59</v>
      </c>
      <c r="E444" t="s">
        <v>25</v>
      </c>
      <c r="F444" t="s">
        <v>39</v>
      </c>
      <c r="G444">
        <v>14</v>
      </c>
      <c r="H444">
        <v>1740.88</v>
      </c>
      <c r="J444" t="s">
        <v>16</v>
      </c>
      <c r="K444" t="s">
        <v>22</v>
      </c>
    </row>
    <row r="445" spans="1:11" x14ac:dyDescent="0.2">
      <c r="A445" t="s">
        <v>137</v>
      </c>
      <c r="B445" s="1">
        <v>45083</v>
      </c>
      <c r="C445" t="s">
        <v>12</v>
      </c>
      <c r="D445" t="s">
        <v>59</v>
      </c>
      <c r="E445" t="s">
        <v>44</v>
      </c>
      <c r="H445">
        <v>1009.78</v>
      </c>
      <c r="K445" t="s">
        <v>22</v>
      </c>
    </row>
    <row r="446" spans="1:11" x14ac:dyDescent="0.2">
      <c r="A446" t="s">
        <v>178</v>
      </c>
      <c r="B446" s="1">
        <v>45312</v>
      </c>
      <c r="C446" t="s">
        <v>54</v>
      </c>
      <c r="D446" t="s">
        <v>33</v>
      </c>
      <c r="E446" t="s">
        <v>38</v>
      </c>
      <c r="F446" t="s">
        <v>34</v>
      </c>
      <c r="G446">
        <v>13</v>
      </c>
      <c r="H446">
        <v>273.06</v>
      </c>
      <c r="J446" t="s">
        <v>16</v>
      </c>
      <c r="K446" t="s">
        <v>17</v>
      </c>
    </row>
    <row r="447" spans="1:11" x14ac:dyDescent="0.2">
      <c r="A447" t="s">
        <v>98</v>
      </c>
      <c r="B447" s="1">
        <v>45061</v>
      </c>
      <c r="C447" t="s">
        <v>54</v>
      </c>
      <c r="D447" t="s">
        <v>83</v>
      </c>
      <c r="E447" t="s">
        <v>44</v>
      </c>
      <c r="F447" t="s">
        <v>39</v>
      </c>
      <c r="G447">
        <v>5</v>
      </c>
      <c r="H447">
        <v>967.04</v>
      </c>
      <c r="J447" t="s">
        <v>21</v>
      </c>
      <c r="K447" t="s">
        <v>35</v>
      </c>
    </row>
    <row r="448" spans="1:11" x14ac:dyDescent="0.2">
      <c r="A448" t="s">
        <v>70</v>
      </c>
      <c r="B448" s="1">
        <v>45242</v>
      </c>
      <c r="C448" t="s">
        <v>37</v>
      </c>
      <c r="D448" t="s">
        <v>33</v>
      </c>
      <c r="E448" t="s">
        <v>46</v>
      </c>
      <c r="F448" t="s">
        <v>34</v>
      </c>
      <c r="J448" t="s">
        <v>42</v>
      </c>
      <c r="K448" t="s">
        <v>22</v>
      </c>
    </row>
    <row r="449" spans="1:11" x14ac:dyDescent="0.2">
      <c r="A449" t="s">
        <v>77</v>
      </c>
      <c r="B449" s="1">
        <v>45105</v>
      </c>
      <c r="C449" t="s">
        <v>37</v>
      </c>
      <c r="D449" t="s">
        <v>59</v>
      </c>
      <c r="E449" t="s">
        <v>14</v>
      </c>
      <c r="J449" t="s">
        <v>21</v>
      </c>
      <c r="K449" t="s">
        <v>35</v>
      </c>
    </row>
    <row r="450" spans="1:11" x14ac:dyDescent="0.2">
      <c r="A450" t="s">
        <v>183</v>
      </c>
      <c r="B450" s="1">
        <v>44949</v>
      </c>
      <c r="C450" t="s">
        <v>37</v>
      </c>
      <c r="D450" t="s">
        <v>33</v>
      </c>
      <c r="E450" t="s">
        <v>48</v>
      </c>
      <c r="F450" t="s">
        <v>34</v>
      </c>
      <c r="H450">
        <v>1707</v>
      </c>
      <c r="I450">
        <v>0.22</v>
      </c>
      <c r="J450" t="s">
        <v>21</v>
      </c>
      <c r="K450" t="s">
        <v>35</v>
      </c>
    </row>
    <row r="451" spans="1:11" x14ac:dyDescent="0.2">
      <c r="A451" t="s">
        <v>101</v>
      </c>
      <c r="B451" s="1">
        <v>44934</v>
      </c>
      <c r="C451" t="s">
        <v>29</v>
      </c>
      <c r="D451" t="s">
        <v>13</v>
      </c>
      <c r="E451" t="s">
        <v>25</v>
      </c>
      <c r="F451" t="s">
        <v>26</v>
      </c>
      <c r="J451" t="s">
        <v>40</v>
      </c>
      <c r="K451" t="s">
        <v>35</v>
      </c>
    </row>
    <row r="452" spans="1:11" x14ac:dyDescent="0.2">
      <c r="A452" t="s">
        <v>182</v>
      </c>
      <c r="B452" s="1">
        <v>45194</v>
      </c>
      <c r="C452" t="s">
        <v>24</v>
      </c>
      <c r="D452" t="s">
        <v>31</v>
      </c>
      <c r="E452" t="s">
        <v>38</v>
      </c>
      <c r="H452">
        <v>1400.52</v>
      </c>
      <c r="J452" t="s">
        <v>21</v>
      </c>
      <c r="K452" t="s">
        <v>27</v>
      </c>
    </row>
    <row r="453" spans="1:11" x14ac:dyDescent="0.2">
      <c r="A453" t="s">
        <v>170</v>
      </c>
      <c r="B453" s="1">
        <v>45014</v>
      </c>
      <c r="C453" t="s">
        <v>12</v>
      </c>
      <c r="D453" t="s">
        <v>59</v>
      </c>
      <c r="E453" t="s">
        <v>20</v>
      </c>
      <c r="G453">
        <v>9</v>
      </c>
      <c r="H453">
        <v>935.27</v>
      </c>
      <c r="J453" t="s">
        <v>52</v>
      </c>
      <c r="K453" t="s">
        <v>55</v>
      </c>
    </row>
    <row r="454" spans="1:11" x14ac:dyDescent="0.2">
      <c r="A454" t="s">
        <v>199</v>
      </c>
      <c r="B454" s="1">
        <v>44936</v>
      </c>
      <c r="C454" t="s">
        <v>24</v>
      </c>
      <c r="E454" t="s">
        <v>48</v>
      </c>
      <c r="F454" t="s">
        <v>39</v>
      </c>
      <c r="J454" t="s">
        <v>42</v>
      </c>
      <c r="K454" t="s">
        <v>17</v>
      </c>
    </row>
    <row r="455" spans="1:11" x14ac:dyDescent="0.2">
      <c r="A455" t="s">
        <v>36</v>
      </c>
      <c r="B455" s="1">
        <v>44972</v>
      </c>
      <c r="C455" t="s">
        <v>51</v>
      </c>
      <c r="D455" t="s">
        <v>33</v>
      </c>
      <c r="E455" t="s">
        <v>44</v>
      </c>
      <c r="F455" t="s">
        <v>39</v>
      </c>
      <c r="H455">
        <v>52.76</v>
      </c>
      <c r="J455" t="s">
        <v>52</v>
      </c>
      <c r="K455" t="s">
        <v>22</v>
      </c>
    </row>
    <row r="456" spans="1:11" x14ac:dyDescent="0.2">
      <c r="A456" t="s">
        <v>154</v>
      </c>
      <c r="B456" s="1">
        <v>45308</v>
      </c>
      <c r="C456" t="s">
        <v>51</v>
      </c>
      <c r="D456" t="s">
        <v>19</v>
      </c>
      <c r="E456" t="s">
        <v>14</v>
      </c>
      <c r="F456" t="s">
        <v>34</v>
      </c>
      <c r="I456">
        <v>0.08</v>
      </c>
      <c r="K456" t="s">
        <v>55</v>
      </c>
    </row>
    <row r="457" spans="1:11" x14ac:dyDescent="0.2">
      <c r="A457" t="s">
        <v>185</v>
      </c>
      <c r="B457" s="1">
        <v>44942</v>
      </c>
      <c r="C457" t="s">
        <v>24</v>
      </c>
      <c r="D457" t="s">
        <v>33</v>
      </c>
      <c r="E457" t="s">
        <v>20</v>
      </c>
      <c r="F457" t="s">
        <v>34</v>
      </c>
      <c r="J457" t="s">
        <v>21</v>
      </c>
      <c r="K457" t="s">
        <v>35</v>
      </c>
    </row>
    <row r="458" spans="1:11" x14ac:dyDescent="0.2">
      <c r="A458" t="s">
        <v>140</v>
      </c>
      <c r="B458" s="1">
        <v>45050</v>
      </c>
      <c r="C458" t="s">
        <v>51</v>
      </c>
      <c r="D458" t="s">
        <v>83</v>
      </c>
      <c r="E458" t="s">
        <v>14</v>
      </c>
      <c r="H458">
        <v>1089.05</v>
      </c>
      <c r="J458" t="s">
        <v>21</v>
      </c>
      <c r="K458" t="s">
        <v>35</v>
      </c>
    </row>
    <row r="459" spans="1:11" x14ac:dyDescent="0.2">
      <c r="A459" t="s">
        <v>138</v>
      </c>
      <c r="B459" s="1">
        <v>45085</v>
      </c>
      <c r="C459" t="s">
        <v>51</v>
      </c>
      <c r="D459" t="s">
        <v>83</v>
      </c>
      <c r="E459" t="s">
        <v>25</v>
      </c>
      <c r="F459" t="s">
        <v>15</v>
      </c>
      <c r="G459">
        <v>19</v>
      </c>
      <c r="J459" t="s">
        <v>16</v>
      </c>
      <c r="K459" t="s">
        <v>35</v>
      </c>
    </row>
    <row r="460" spans="1:11" x14ac:dyDescent="0.2">
      <c r="A460" t="s">
        <v>169</v>
      </c>
      <c r="B460" s="1">
        <v>45001</v>
      </c>
      <c r="C460" t="s">
        <v>12</v>
      </c>
      <c r="E460" t="s">
        <v>14</v>
      </c>
      <c r="F460" t="s">
        <v>39</v>
      </c>
      <c r="J460" t="s">
        <v>40</v>
      </c>
      <c r="K460" t="s">
        <v>35</v>
      </c>
    </row>
    <row r="461" spans="1:11" x14ac:dyDescent="0.2">
      <c r="A461" t="s">
        <v>199</v>
      </c>
      <c r="B461" s="1">
        <v>44994</v>
      </c>
      <c r="C461" t="s">
        <v>51</v>
      </c>
      <c r="D461" t="s">
        <v>19</v>
      </c>
      <c r="E461" t="s">
        <v>25</v>
      </c>
      <c r="I461">
        <v>7.0000000000000007E-2</v>
      </c>
      <c r="J461" t="s">
        <v>40</v>
      </c>
      <c r="K461" t="s">
        <v>27</v>
      </c>
    </row>
    <row r="462" spans="1:11" x14ac:dyDescent="0.2">
      <c r="A462" t="s">
        <v>230</v>
      </c>
      <c r="B462" s="1">
        <v>44967</v>
      </c>
      <c r="C462" t="s">
        <v>63</v>
      </c>
      <c r="D462" t="s">
        <v>33</v>
      </c>
      <c r="E462" t="s">
        <v>44</v>
      </c>
      <c r="H462">
        <v>1302.6400000000001</v>
      </c>
      <c r="J462" t="s">
        <v>42</v>
      </c>
      <c r="K462" t="s">
        <v>35</v>
      </c>
    </row>
    <row r="463" spans="1:11" x14ac:dyDescent="0.2">
      <c r="A463" t="s">
        <v>72</v>
      </c>
      <c r="B463" s="1">
        <v>45025</v>
      </c>
      <c r="C463" t="s">
        <v>37</v>
      </c>
      <c r="D463" t="s">
        <v>19</v>
      </c>
      <c r="E463" t="s">
        <v>38</v>
      </c>
      <c r="F463" t="s">
        <v>26</v>
      </c>
      <c r="I463">
        <v>0.3</v>
      </c>
      <c r="J463" t="s">
        <v>16</v>
      </c>
      <c r="K463" t="s">
        <v>35</v>
      </c>
    </row>
    <row r="464" spans="1:11" x14ac:dyDescent="0.2">
      <c r="A464" t="s">
        <v>183</v>
      </c>
      <c r="B464" s="1">
        <v>45242</v>
      </c>
      <c r="C464" t="s">
        <v>63</v>
      </c>
      <c r="D464" t="s">
        <v>13</v>
      </c>
      <c r="E464" t="s">
        <v>14</v>
      </c>
      <c r="F464" t="s">
        <v>39</v>
      </c>
      <c r="H464">
        <v>815.68</v>
      </c>
      <c r="K464" t="s">
        <v>55</v>
      </c>
    </row>
    <row r="465" spans="1:11" x14ac:dyDescent="0.2">
      <c r="A465" t="s">
        <v>154</v>
      </c>
      <c r="B465" s="1">
        <v>45240</v>
      </c>
      <c r="C465" t="s">
        <v>12</v>
      </c>
      <c r="D465" t="s">
        <v>31</v>
      </c>
      <c r="E465" t="s">
        <v>46</v>
      </c>
      <c r="F465" t="s">
        <v>39</v>
      </c>
      <c r="G465">
        <v>15</v>
      </c>
      <c r="H465">
        <v>1756.78</v>
      </c>
      <c r="K465" t="s">
        <v>27</v>
      </c>
    </row>
    <row r="466" spans="1:11" x14ac:dyDescent="0.2">
      <c r="A466" t="s">
        <v>94</v>
      </c>
      <c r="B466" s="1">
        <v>45125</v>
      </c>
      <c r="C466" t="s">
        <v>12</v>
      </c>
      <c r="D466" t="s">
        <v>33</v>
      </c>
      <c r="E466" t="s">
        <v>14</v>
      </c>
      <c r="F466" t="s">
        <v>39</v>
      </c>
      <c r="J466" t="s">
        <v>52</v>
      </c>
      <c r="K466" t="s">
        <v>17</v>
      </c>
    </row>
    <row r="467" spans="1:11" x14ac:dyDescent="0.2">
      <c r="A467" t="s">
        <v>137</v>
      </c>
      <c r="B467" s="1">
        <v>45280</v>
      </c>
      <c r="C467" t="s">
        <v>51</v>
      </c>
      <c r="D467" t="s">
        <v>83</v>
      </c>
      <c r="E467" t="s">
        <v>25</v>
      </c>
      <c r="F467" t="s">
        <v>39</v>
      </c>
      <c r="H467">
        <v>1006.31</v>
      </c>
      <c r="J467" t="s">
        <v>21</v>
      </c>
      <c r="K467" t="s">
        <v>35</v>
      </c>
    </row>
    <row r="468" spans="1:11" x14ac:dyDescent="0.2">
      <c r="A468" t="s">
        <v>154</v>
      </c>
      <c r="B468" s="1">
        <v>45138</v>
      </c>
      <c r="C468" t="s">
        <v>29</v>
      </c>
      <c r="D468" t="s">
        <v>83</v>
      </c>
      <c r="E468" t="s">
        <v>46</v>
      </c>
      <c r="F468" t="s">
        <v>15</v>
      </c>
      <c r="H468">
        <v>1794.27</v>
      </c>
      <c r="I468">
        <v>0.26</v>
      </c>
      <c r="J468" t="s">
        <v>52</v>
      </c>
      <c r="K468" t="s">
        <v>55</v>
      </c>
    </row>
    <row r="469" spans="1:11" x14ac:dyDescent="0.2">
      <c r="A469" t="s">
        <v>87</v>
      </c>
      <c r="B469" s="1">
        <v>45259</v>
      </c>
      <c r="C469" t="s">
        <v>51</v>
      </c>
      <c r="D469" t="s">
        <v>13</v>
      </c>
      <c r="E469" t="s">
        <v>48</v>
      </c>
      <c r="F469" t="s">
        <v>26</v>
      </c>
      <c r="G469">
        <v>3</v>
      </c>
      <c r="K469" t="s">
        <v>22</v>
      </c>
    </row>
    <row r="470" spans="1:11" x14ac:dyDescent="0.2">
      <c r="A470" t="s">
        <v>139</v>
      </c>
      <c r="B470" s="1">
        <v>45188</v>
      </c>
      <c r="C470" t="s">
        <v>51</v>
      </c>
      <c r="D470" t="s">
        <v>83</v>
      </c>
      <c r="E470" t="s">
        <v>44</v>
      </c>
      <c r="F470" t="s">
        <v>39</v>
      </c>
      <c r="G470">
        <v>2</v>
      </c>
      <c r="I470">
        <v>0.26</v>
      </c>
      <c r="J470" t="s">
        <v>40</v>
      </c>
      <c r="K470" t="s">
        <v>35</v>
      </c>
    </row>
    <row r="471" spans="1:11" x14ac:dyDescent="0.2">
      <c r="A471" t="s">
        <v>75</v>
      </c>
      <c r="B471" s="1">
        <v>45320</v>
      </c>
      <c r="C471" t="s">
        <v>12</v>
      </c>
      <c r="D471" t="s">
        <v>83</v>
      </c>
      <c r="E471" t="s">
        <v>14</v>
      </c>
      <c r="F471" t="s">
        <v>34</v>
      </c>
      <c r="H471">
        <v>1256.6400000000001</v>
      </c>
      <c r="I471">
        <v>0.27</v>
      </c>
      <c r="J471" t="s">
        <v>16</v>
      </c>
      <c r="K471" t="s">
        <v>17</v>
      </c>
    </row>
    <row r="472" spans="1:11" x14ac:dyDescent="0.2">
      <c r="A472" t="s">
        <v>99</v>
      </c>
      <c r="B472" s="1">
        <v>45056</v>
      </c>
      <c r="C472" t="s">
        <v>12</v>
      </c>
      <c r="D472" t="s">
        <v>83</v>
      </c>
      <c r="E472" t="s">
        <v>38</v>
      </c>
      <c r="F472" t="s">
        <v>39</v>
      </c>
      <c r="G472">
        <v>18</v>
      </c>
      <c r="K472" t="s">
        <v>22</v>
      </c>
    </row>
    <row r="473" spans="1:11" x14ac:dyDescent="0.2">
      <c r="A473" t="s">
        <v>125</v>
      </c>
      <c r="B473" s="1">
        <v>45136</v>
      </c>
      <c r="C473" t="s">
        <v>63</v>
      </c>
      <c r="D473" t="s">
        <v>19</v>
      </c>
      <c r="E473" t="s">
        <v>44</v>
      </c>
      <c r="G473">
        <v>1</v>
      </c>
      <c r="J473" t="s">
        <v>40</v>
      </c>
      <c r="K473" t="s">
        <v>27</v>
      </c>
    </row>
    <row r="474" spans="1:11" x14ac:dyDescent="0.2">
      <c r="A474" t="s">
        <v>171</v>
      </c>
      <c r="B474" s="1">
        <v>45002</v>
      </c>
      <c r="C474" t="s">
        <v>12</v>
      </c>
      <c r="D474" t="s">
        <v>13</v>
      </c>
      <c r="E474" t="s">
        <v>14</v>
      </c>
      <c r="F474" t="s">
        <v>26</v>
      </c>
      <c r="G474">
        <v>5</v>
      </c>
      <c r="I474">
        <v>0.09</v>
      </c>
      <c r="J474" t="s">
        <v>16</v>
      </c>
      <c r="K474" t="s">
        <v>27</v>
      </c>
    </row>
    <row r="475" spans="1:11" x14ac:dyDescent="0.2">
      <c r="A475" t="s">
        <v>140</v>
      </c>
      <c r="B475" s="1">
        <v>45018</v>
      </c>
      <c r="C475" t="s">
        <v>51</v>
      </c>
      <c r="D475" t="s">
        <v>13</v>
      </c>
      <c r="E475" t="s">
        <v>14</v>
      </c>
      <c r="H475">
        <v>1576.74</v>
      </c>
      <c r="J475" t="s">
        <v>21</v>
      </c>
      <c r="K475" t="s">
        <v>55</v>
      </c>
    </row>
    <row r="476" spans="1:11" x14ac:dyDescent="0.2">
      <c r="A476" t="s">
        <v>73</v>
      </c>
      <c r="B476" s="1">
        <v>44974</v>
      </c>
      <c r="C476" t="s">
        <v>24</v>
      </c>
      <c r="D476" t="s">
        <v>59</v>
      </c>
      <c r="E476" t="s">
        <v>14</v>
      </c>
      <c r="F476" t="s">
        <v>39</v>
      </c>
      <c r="H476">
        <v>1688.19</v>
      </c>
      <c r="I476">
        <v>0.09</v>
      </c>
      <c r="J476" t="s">
        <v>16</v>
      </c>
      <c r="K476" t="s">
        <v>55</v>
      </c>
    </row>
    <row r="477" spans="1:11" x14ac:dyDescent="0.2">
      <c r="A477" t="s">
        <v>74</v>
      </c>
      <c r="B477" s="1">
        <v>45196</v>
      </c>
      <c r="C477" t="s">
        <v>57</v>
      </c>
      <c r="D477" t="s">
        <v>31</v>
      </c>
      <c r="E477" t="s">
        <v>20</v>
      </c>
      <c r="F477" t="s">
        <v>15</v>
      </c>
      <c r="G477">
        <v>20</v>
      </c>
      <c r="J477" t="s">
        <v>16</v>
      </c>
      <c r="K477" t="s">
        <v>22</v>
      </c>
    </row>
    <row r="478" spans="1:11" x14ac:dyDescent="0.2">
      <c r="A478" t="s">
        <v>165</v>
      </c>
      <c r="B478" s="1">
        <v>45279</v>
      </c>
      <c r="C478" t="s">
        <v>24</v>
      </c>
      <c r="D478" t="s">
        <v>83</v>
      </c>
      <c r="E478" t="s">
        <v>44</v>
      </c>
      <c r="F478" t="s">
        <v>34</v>
      </c>
      <c r="I478">
        <v>0.11</v>
      </c>
      <c r="J478" t="s">
        <v>21</v>
      </c>
      <c r="K478" t="s">
        <v>17</v>
      </c>
    </row>
    <row r="479" spans="1:11" x14ac:dyDescent="0.2">
      <c r="A479" t="s">
        <v>108</v>
      </c>
      <c r="B479" s="1">
        <v>45193</v>
      </c>
      <c r="C479" t="s">
        <v>63</v>
      </c>
      <c r="D479" t="s">
        <v>83</v>
      </c>
      <c r="E479" t="s">
        <v>25</v>
      </c>
      <c r="F479" t="s">
        <v>15</v>
      </c>
      <c r="G479">
        <v>20</v>
      </c>
      <c r="H479">
        <v>1420.09</v>
      </c>
      <c r="I479">
        <v>0</v>
      </c>
      <c r="J479" t="s">
        <v>42</v>
      </c>
      <c r="K479" t="s">
        <v>27</v>
      </c>
    </row>
    <row r="480" spans="1:11" x14ac:dyDescent="0.2">
      <c r="A480" t="s">
        <v>102</v>
      </c>
      <c r="B480" s="1">
        <v>45033</v>
      </c>
      <c r="C480" t="s">
        <v>57</v>
      </c>
      <c r="D480" t="s">
        <v>83</v>
      </c>
      <c r="E480" t="s">
        <v>46</v>
      </c>
      <c r="F480" t="s">
        <v>34</v>
      </c>
      <c r="H480">
        <v>1614.03</v>
      </c>
      <c r="I480">
        <v>0</v>
      </c>
      <c r="K480" t="s">
        <v>55</v>
      </c>
    </row>
    <row r="481" spans="1:11" x14ac:dyDescent="0.2">
      <c r="A481" t="s">
        <v>170</v>
      </c>
      <c r="B481" s="1">
        <v>44961</v>
      </c>
      <c r="C481" t="s">
        <v>24</v>
      </c>
      <c r="D481" t="s">
        <v>59</v>
      </c>
      <c r="E481" t="s">
        <v>44</v>
      </c>
      <c r="G481">
        <v>11</v>
      </c>
      <c r="J481" t="s">
        <v>21</v>
      </c>
      <c r="K481" t="s">
        <v>17</v>
      </c>
    </row>
    <row r="482" spans="1:11" x14ac:dyDescent="0.2">
      <c r="A482" t="s">
        <v>209</v>
      </c>
      <c r="B482" s="1">
        <v>45016</v>
      </c>
      <c r="C482" t="s">
        <v>37</v>
      </c>
      <c r="D482" t="s">
        <v>59</v>
      </c>
      <c r="E482" t="s">
        <v>25</v>
      </c>
      <c r="F482" t="s">
        <v>34</v>
      </c>
      <c r="I482">
        <v>0.04</v>
      </c>
      <c r="K482" t="s">
        <v>22</v>
      </c>
    </row>
    <row r="483" spans="1:11" x14ac:dyDescent="0.2">
      <c r="A483" t="s">
        <v>160</v>
      </c>
      <c r="B483" s="1">
        <v>45098</v>
      </c>
      <c r="C483" t="s">
        <v>63</v>
      </c>
      <c r="E483" t="s">
        <v>25</v>
      </c>
      <c r="F483" t="s">
        <v>39</v>
      </c>
      <c r="J483" t="s">
        <v>21</v>
      </c>
      <c r="K483" t="s">
        <v>27</v>
      </c>
    </row>
    <row r="484" spans="1:11" x14ac:dyDescent="0.2">
      <c r="A484" t="s">
        <v>225</v>
      </c>
      <c r="B484" s="1">
        <v>45222</v>
      </c>
      <c r="C484" t="s">
        <v>29</v>
      </c>
      <c r="E484" t="s">
        <v>25</v>
      </c>
      <c r="F484" t="s">
        <v>34</v>
      </c>
      <c r="G484">
        <v>3</v>
      </c>
      <c r="H484">
        <v>568.12</v>
      </c>
      <c r="K484" t="s">
        <v>17</v>
      </c>
    </row>
    <row r="485" spans="1:11" x14ac:dyDescent="0.2">
      <c r="A485" t="s">
        <v>114</v>
      </c>
      <c r="B485" s="1">
        <v>45219</v>
      </c>
      <c r="C485" t="s">
        <v>57</v>
      </c>
      <c r="D485" t="s">
        <v>33</v>
      </c>
      <c r="E485" t="s">
        <v>44</v>
      </c>
      <c r="F485" t="s">
        <v>26</v>
      </c>
      <c r="J485" t="s">
        <v>16</v>
      </c>
      <c r="K485" t="s">
        <v>22</v>
      </c>
    </row>
    <row r="486" spans="1:11" x14ac:dyDescent="0.2">
      <c r="A486" t="s">
        <v>198</v>
      </c>
      <c r="B486" s="1">
        <v>45117</v>
      </c>
      <c r="C486" t="s">
        <v>63</v>
      </c>
      <c r="E486" t="s">
        <v>14</v>
      </c>
      <c r="F486" t="s">
        <v>15</v>
      </c>
      <c r="I486">
        <v>0.24</v>
      </c>
      <c r="J486" t="s">
        <v>16</v>
      </c>
      <c r="K486" t="s">
        <v>22</v>
      </c>
    </row>
    <row r="487" spans="1:11" x14ac:dyDescent="0.2">
      <c r="A487" t="s">
        <v>91</v>
      </c>
      <c r="B487" s="1">
        <v>44939</v>
      </c>
      <c r="C487" t="s">
        <v>63</v>
      </c>
      <c r="D487" t="s">
        <v>31</v>
      </c>
      <c r="E487" t="s">
        <v>20</v>
      </c>
      <c r="F487" t="s">
        <v>15</v>
      </c>
      <c r="J487" t="s">
        <v>40</v>
      </c>
      <c r="K487" t="s">
        <v>27</v>
      </c>
    </row>
    <row r="488" spans="1:11" x14ac:dyDescent="0.2">
      <c r="A488" t="s">
        <v>184</v>
      </c>
      <c r="B488" s="1">
        <v>45273</v>
      </c>
      <c r="C488" t="s">
        <v>51</v>
      </c>
      <c r="D488" t="s">
        <v>33</v>
      </c>
      <c r="E488" t="s">
        <v>48</v>
      </c>
      <c r="F488" t="s">
        <v>26</v>
      </c>
      <c r="J488" t="s">
        <v>16</v>
      </c>
      <c r="K488" t="s">
        <v>17</v>
      </c>
    </row>
    <row r="489" spans="1:11" x14ac:dyDescent="0.2">
      <c r="A489" t="s">
        <v>201</v>
      </c>
      <c r="B489" s="1">
        <v>45097</v>
      </c>
      <c r="C489" t="s">
        <v>63</v>
      </c>
      <c r="D489" t="s">
        <v>19</v>
      </c>
      <c r="E489" t="s">
        <v>46</v>
      </c>
      <c r="G489">
        <v>10</v>
      </c>
      <c r="I489">
        <v>0.19</v>
      </c>
      <c r="J489" t="s">
        <v>52</v>
      </c>
      <c r="K489" t="s">
        <v>35</v>
      </c>
    </row>
    <row r="490" spans="1:11" x14ac:dyDescent="0.2">
      <c r="A490" t="s">
        <v>231</v>
      </c>
      <c r="B490" s="1">
        <v>45073</v>
      </c>
      <c r="C490" t="s">
        <v>24</v>
      </c>
      <c r="D490" t="s">
        <v>31</v>
      </c>
      <c r="E490" t="s">
        <v>14</v>
      </c>
      <c r="F490" t="s">
        <v>39</v>
      </c>
      <c r="J490" t="s">
        <v>21</v>
      </c>
      <c r="K490" t="s">
        <v>17</v>
      </c>
    </row>
    <row r="491" spans="1:11" x14ac:dyDescent="0.2">
      <c r="A491" t="s">
        <v>97</v>
      </c>
      <c r="B491" s="1">
        <v>45032</v>
      </c>
      <c r="C491" t="s">
        <v>29</v>
      </c>
      <c r="D491" t="s">
        <v>31</v>
      </c>
      <c r="E491" t="s">
        <v>14</v>
      </c>
      <c r="F491" t="s">
        <v>34</v>
      </c>
      <c r="I491">
        <v>7.0000000000000007E-2</v>
      </c>
      <c r="J491" t="s">
        <v>52</v>
      </c>
      <c r="K491" t="s">
        <v>17</v>
      </c>
    </row>
    <row r="492" spans="1:11" x14ac:dyDescent="0.2">
      <c r="A492" t="s">
        <v>150</v>
      </c>
      <c r="B492" s="1">
        <v>45203</v>
      </c>
      <c r="C492" t="s">
        <v>63</v>
      </c>
      <c r="D492" t="s">
        <v>19</v>
      </c>
      <c r="E492" t="s">
        <v>20</v>
      </c>
      <c r="F492" t="s">
        <v>26</v>
      </c>
      <c r="J492" t="s">
        <v>42</v>
      </c>
      <c r="K492" t="s">
        <v>35</v>
      </c>
    </row>
    <row r="493" spans="1:11" x14ac:dyDescent="0.2">
      <c r="A493" t="s">
        <v>157</v>
      </c>
      <c r="B493" s="1">
        <v>45232</v>
      </c>
      <c r="C493" t="s">
        <v>63</v>
      </c>
      <c r="D493" t="s">
        <v>31</v>
      </c>
      <c r="E493" t="s">
        <v>14</v>
      </c>
      <c r="F493" t="s">
        <v>34</v>
      </c>
      <c r="G493">
        <v>11</v>
      </c>
      <c r="I493">
        <v>0.24</v>
      </c>
      <c r="J493" t="s">
        <v>42</v>
      </c>
      <c r="K493" t="s">
        <v>17</v>
      </c>
    </row>
    <row r="494" spans="1:11" x14ac:dyDescent="0.2">
      <c r="A494" t="s">
        <v>193</v>
      </c>
      <c r="B494" s="1">
        <v>44974</v>
      </c>
      <c r="C494" t="s">
        <v>63</v>
      </c>
      <c r="D494" t="s">
        <v>19</v>
      </c>
      <c r="E494" t="s">
        <v>38</v>
      </c>
      <c r="F494" t="s">
        <v>34</v>
      </c>
      <c r="H494">
        <v>471.07</v>
      </c>
      <c r="J494" t="s">
        <v>52</v>
      </c>
      <c r="K494" t="s">
        <v>55</v>
      </c>
    </row>
    <row r="495" spans="1:11" x14ac:dyDescent="0.2">
      <c r="A495" t="s">
        <v>154</v>
      </c>
      <c r="B495" s="1">
        <v>45020</v>
      </c>
      <c r="C495" t="s">
        <v>29</v>
      </c>
      <c r="E495" t="s">
        <v>25</v>
      </c>
      <c r="F495" t="s">
        <v>34</v>
      </c>
      <c r="J495" t="s">
        <v>42</v>
      </c>
      <c r="K495" t="s">
        <v>35</v>
      </c>
    </row>
    <row r="496" spans="1:11" x14ac:dyDescent="0.2">
      <c r="A496" t="s">
        <v>229</v>
      </c>
      <c r="B496" s="1">
        <v>45320</v>
      </c>
      <c r="C496" t="s">
        <v>29</v>
      </c>
      <c r="D496" t="s">
        <v>31</v>
      </c>
      <c r="E496" t="s">
        <v>44</v>
      </c>
      <c r="F496" t="s">
        <v>15</v>
      </c>
      <c r="G496">
        <v>17</v>
      </c>
      <c r="J496" t="s">
        <v>21</v>
      </c>
      <c r="K496" t="s">
        <v>27</v>
      </c>
    </row>
    <row r="497" spans="1:11" x14ac:dyDescent="0.2">
      <c r="A497" t="s">
        <v>79</v>
      </c>
      <c r="B497" s="1">
        <v>45199</v>
      </c>
      <c r="C497" t="s">
        <v>63</v>
      </c>
      <c r="D497" t="s">
        <v>83</v>
      </c>
      <c r="E497" t="s">
        <v>44</v>
      </c>
      <c r="F497" t="s">
        <v>39</v>
      </c>
      <c r="H497">
        <v>494.95</v>
      </c>
      <c r="J497" t="s">
        <v>16</v>
      </c>
      <c r="K497" t="s">
        <v>55</v>
      </c>
    </row>
    <row r="498" spans="1:11" x14ac:dyDescent="0.2">
      <c r="A498" t="s">
        <v>225</v>
      </c>
      <c r="B498" s="1">
        <v>45282</v>
      </c>
      <c r="C498" t="s">
        <v>57</v>
      </c>
      <c r="E498" t="s">
        <v>38</v>
      </c>
      <c r="H498">
        <v>1391.32</v>
      </c>
      <c r="I498">
        <v>0.2</v>
      </c>
      <c r="K498" t="s">
        <v>17</v>
      </c>
    </row>
    <row r="499" spans="1:11" x14ac:dyDescent="0.2">
      <c r="A499" t="s">
        <v>214</v>
      </c>
      <c r="B499" s="1">
        <v>44985</v>
      </c>
      <c r="C499" t="s">
        <v>63</v>
      </c>
      <c r="D499" t="s">
        <v>59</v>
      </c>
      <c r="E499" t="s">
        <v>44</v>
      </c>
      <c r="F499" t="s">
        <v>26</v>
      </c>
      <c r="G499">
        <v>15</v>
      </c>
      <c r="I499">
        <v>0.02</v>
      </c>
      <c r="K499" t="s">
        <v>17</v>
      </c>
    </row>
    <row r="500" spans="1:11" x14ac:dyDescent="0.2">
      <c r="A500" t="s">
        <v>211</v>
      </c>
      <c r="B500" s="1">
        <v>45121</v>
      </c>
      <c r="C500" t="s">
        <v>29</v>
      </c>
      <c r="D500" t="s">
        <v>83</v>
      </c>
      <c r="E500" t="s">
        <v>48</v>
      </c>
      <c r="F500" t="s">
        <v>26</v>
      </c>
      <c r="G500">
        <v>3</v>
      </c>
      <c r="J500" t="s">
        <v>16</v>
      </c>
      <c r="K500" t="s">
        <v>35</v>
      </c>
    </row>
    <row r="501" spans="1:11" x14ac:dyDescent="0.2">
      <c r="A501" t="s">
        <v>100</v>
      </c>
      <c r="B501" s="1">
        <v>45003</v>
      </c>
      <c r="C501" t="s">
        <v>63</v>
      </c>
      <c r="D501" t="s">
        <v>31</v>
      </c>
      <c r="E501" t="s">
        <v>14</v>
      </c>
      <c r="F501" t="s">
        <v>39</v>
      </c>
      <c r="H501">
        <v>899.85</v>
      </c>
      <c r="J501" t="s">
        <v>52</v>
      </c>
      <c r="K501" t="s">
        <v>17</v>
      </c>
    </row>
    <row r="502" spans="1:11" x14ac:dyDescent="0.2">
      <c r="A502" t="s">
        <v>218</v>
      </c>
      <c r="B502" s="1">
        <v>45082</v>
      </c>
      <c r="C502" t="s">
        <v>57</v>
      </c>
      <c r="D502" t="s">
        <v>13</v>
      </c>
      <c r="E502" t="s">
        <v>14</v>
      </c>
      <c r="F502" t="s">
        <v>26</v>
      </c>
      <c r="G502">
        <v>19</v>
      </c>
      <c r="I502">
        <v>0.12</v>
      </c>
      <c r="J502" t="s">
        <v>52</v>
      </c>
      <c r="K502" t="s">
        <v>27</v>
      </c>
    </row>
    <row r="503" spans="1:11" x14ac:dyDescent="0.2">
      <c r="A503" t="s">
        <v>95</v>
      </c>
      <c r="B503" s="1">
        <v>45208</v>
      </c>
      <c r="C503" t="s">
        <v>12</v>
      </c>
      <c r="D503" t="s">
        <v>19</v>
      </c>
      <c r="E503" t="s">
        <v>48</v>
      </c>
      <c r="G503">
        <v>12</v>
      </c>
      <c r="H503">
        <v>1723.88</v>
      </c>
      <c r="J503" t="s">
        <v>21</v>
      </c>
      <c r="K503" t="s">
        <v>22</v>
      </c>
    </row>
    <row r="504" spans="1:11" x14ac:dyDescent="0.2">
      <c r="A504" t="s">
        <v>116</v>
      </c>
      <c r="B504" s="1">
        <v>45089</v>
      </c>
      <c r="C504" t="s">
        <v>57</v>
      </c>
      <c r="D504" t="s">
        <v>83</v>
      </c>
      <c r="E504" t="s">
        <v>38</v>
      </c>
      <c r="F504" t="s">
        <v>39</v>
      </c>
      <c r="G504">
        <v>18</v>
      </c>
      <c r="J504" t="s">
        <v>42</v>
      </c>
      <c r="K504" t="s">
        <v>55</v>
      </c>
    </row>
    <row r="505" spans="1:11" x14ac:dyDescent="0.2">
      <c r="A505" t="s">
        <v>140</v>
      </c>
      <c r="B505" s="1">
        <v>45005</v>
      </c>
      <c r="C505" t="s">
        <v>24</v>
      </c>
      <c r="E505" t="s">
        <v>48</v>
      </c>
      <c r="F505" t="s">
        <v>15</v>
      </c>
      <c r="G505">
        <v>5</v>
      </c>
      <c r="H505">
        <v>152.77000000000001</v>
      </c>
      <c r="K505" t="s">
        <v>22</v>
      </c>
    </row>
    <row r="506" spans="1:11" x14ac:dyDescent="0.2">
      <c r="A506" t="s">
        <v>141</v>
      </c>
      <c r="B506" s="1">
        <v>44970</v>
      </c>
      <c r="C506" t="s">
        <v>51</v>
      </c>
      <c r="D506" t="s">
        <v>13</v>
      </c>
      <c r="E506" t="s">
        <v>25</v>
      </c>
      <c r="F506" t="s">
        <v>39</v>
      </c>
      <c r="J506" t="s">
        <v>21</v>
      </c>
      <c r="K506" t="s">
        <v>22</v>
      </c>
    </row>
    <row r="507" spans="1:11" x14ac:dyDescent="0.2">
      <c r="A507" t="s">
        <v>219</v>
      </c>
      <c r="B507" s="1">
        <v>45157</v>
      </c>
      <c r="C507" t="s">
        <v>57</v>
      </c>
      <c r="D507" t="s">
        <v>59</v>
      </c>
      <c r="E507" t="s">
        <v>20</v>
      </c>
      <c r="F507" t="s">
        <v>15</v>
      </c>
      <c r="I507">
        <v>0.25</v>
      </c>
      <c r="K507" t="s">
        <v>17</v>
      </c>
    </row>
    <row r="508" spans="1:11" x14ac:dyDescent="0.2">
      <c r="A508" t="s">
        <v>186</v>
      </c>
      <c r="B508" s="1">
        <v>45137</v>
      </c>
      <c r="C508" t="s">
        <v>29</v>
      </c>
      <c r="D508" t="s">
        <v>19</v>
      </c>
      <c r="E508" t="s">
        <v>46</v>
      </c>
      <c r="J508" t="s">
        <v>16</v>
      </c>
      <c r="K508" t="s">
        <v>35</v>
      </c>
    </row>
    <row r="509" spans="1:11" x14ac:dyDescent="0.2">
      <c r="A509" t="s">
        <v>139</v>
      </c>
      <c r="B509" s="1">
        <v>45301</v>
      </c>
      <c r="C509" t="s">
        <v>24</v>
      </c>
      <c r="D509" t="s">
        <v>83</v>
      </c>
      <c r="E509" t="s">
        <v>44</v>
      </c>
      <c r="F509" t="s">
        <v>26</v>
      </c>
      <c r="K509" t="s">
        <v>27</v>
      </c>
    </row>
    <row r="510" spans="1:11" x14ac:dyDescent="0.2">
      <c r="A510" t="s">
        <v>232</v>
      </c>
      <c r="B510" s="1">
        <v>45251</v>
      </c>
      <c r="C510" t="s">
        <v>24</v>
      </c>
      <c r="D510" t="s">
        <v>31</v>
      </c>
      <c r="E510" t="s">
        <v>46</v>
      </c>
      <c r="F510" t="s">
        <v>34</v>
      </c>
      <c r="G510">
        <v>18</v>
      </c>
      <c r="K510" t="s">
        <v>55</v>
      </c>
    </row>
    <row r="511" spans="1:11" x14ac:dyDescent="0.2">
      <c r="A511" t="s">
        <v>212</v>
      </c>
      <c r="B511" s="1">
        <v>45107</v>
      </c>
      <c r="C511" t="s">
        <v>24</v>
      </c>
      <c r="D511" t="s">
        <v>59</v>
      </c>
      <c r="E511" t="s">
        <v>20</v>
      </c>
      <c r="F511" t="s">
        <v>26</v>
      </c>
      <c r="J511" t="s">
        <v>42</v>
      </c>
      <c r="K511" t="s">
        <v>17</v>
      </c>
    </row>
    <row r="512" spans="1:11" x14ac:dyDescent="0.2">
      <c r="A512" t="s">
        <v>187</v>
      </c>
      <c r="B512" s="1">
        <v>45220</v>
      </c>
      <c r="C512" t="s">
        <v>12</v>
      </c>
      <c r="D512" t="s">
        <v>13</v>
      </c>
      <c r="E512" t="s">
        <v>14</v>
      </c>
      <c r="H512">
        <v>974.67</v>
      </c>
      <c r="J512" t="s">
        <v>52</v>
      </c>
      <c r="K512" t="s">
        <v>35</v>
      </c>
    </row>
    <row r="513" spans="1:11" x14ac:dyDescent="0.2">
      <c r="A513" t="s">
        <v>233</v>
      </c>
      <c r="B513" s="1">
        <v>45070</v>
      </c>
      <c r="C513" t="s">
        <v>24</v>
      </c>
      <c r="E513" t="s">
        <v>14</v>
      </c>
      <c r="F513" t="s">
        <v>26</v>
      </c>
      <c r="J513" t="s">
        <v>42</v>
      </c>
      <c r="K513" t="s">
        <v>55</v>
      </c>
    </row>
    <row r="514" spans="1:11" x14ac:dyDescent="0.2">
      <c r="A514" t="s">
        <v>117</v>
      </c>
      <c r="B514" s="1">
        <v>45060</v>
      </c>
      <c r="C514" t="s">
        <v>37</v>
      </c>
      <c r="D514" t="s">
        <v>83</v>
      </c>
      <c r="E514" t="s">
        <v>20</v>
      </c>
      <c r="H514">
        <v>1968.3</v>
      </c>
      <c r="I514">
        <v>0.18</v>
      </c>
      <c r="J514" t="s">
        <v>42</v>
      </c>
      <c r="K514" t="s">
        <v>22</v>
      </c>
    </row>
    <row r="515" spans="1:11" x14ac:dyDescent="0.2">
      <c r="A515" t="s">
        <v>211</v>
      </c>
      <c r="B515" s="1">
        <v>45123</v>
      </c>
      <c r="C515" t="s">
        <v>37</v>
      </c>
      <c r="D515" t="s">
        <v>13</v>
      </c>
      <c r="E515" t="s">
        <v>38</v>
      </c>
      <c r="F515" t="s">
        <v>15</v>
      </c>
      <c r="J515" t="s">
        <v>16</v>
      </c>
      <c r="K515" t="s">
        <v>27</v>
      </c>
    </row>
    <row r="516" spans="1:11" x14ac:dyDescent="0.2">
      <c r="A516" t="s">
        <v>114</v>
      </c>
      <c r="B516" s="1">
        <v>45164</v>
      </c>
      <c r="C516" t="s">
        <v>57</v>
      </c>
      <c r="D516" t="s">
        <v>83</v>
      </c>
      <c r="E516" t="s">
        <v>14</v>
      </c>
      <c r="F516" t="s">
        <v>39</v>
      </c>
      <c r="G516">
        <v>18</v>
      </c>
      <c r="J516" t="s">
        <v>40</v>
      </c>
      <c r="K516" t="s">
        <v>17</v>
      </c>
    </row>
    <row r="517" spans="1:11" x14ac:dyDescent="0.2">
      <c r="A517" t="s">
        <v>92</v>
      </c>
      <c r="B517" s="1">
        <v>44933</v>
      </c>
      <c r="C517" t="s">
        <v>24</v>
      </c>
      <c r="E517" t="s">
        <v>38</v>
      </c>
      <c r="F517" t="s">
        <v>39</v>
      </c>
      <c r="H517">
        <v>1368.92</v>
      </c>
      <c r="K517" t="s">
        <v>55</v>
      </c>
    </row>
    <row r="518" spans="1:11" x14ac:dyDescent="0.2">
      <c r="A518" t="s">
        <v>234</v>
      </c>
      <c r="B518" s="1">
        <v>45239</v>
      </c>
      <c r="C518" t="s">
        <v>24</v>
      </c>
      <c r="D518" t="s">
        <v>59</v>
      </c>
      <c r="E518" t="s">
        <v>14</v>
      </c>
      <c r="F518" t="s">
        <v>34</v>
      </c>
      <c r="K518" t="s">
        <v>35</v>
      </c>
    </row>
    <row r="519" spans="1:11" x14ac:dyDescent="0.2">
      <c r="A519" t="s">
        <v>210</v>
      </c>
      <c r="B519" s="1">
        <v>45271</v>
      </c>
      <c r="C519" t="s">
        <v>37</v>
      </c>
      <c r="D519" t="s">
        <v>31</v>
      </c>
      <c r="E519" t="s">
        <v>14</v>
      </c>
      <c r="F519" t="s">
        <v>15</v>
      </c>
      <c r="H519">
        <v>31.05</v>
      </c>
      <c r="I519">
        <v>0.25</v>
      </c>
      <c r="J519" t="s">
        <v>42</v>
      </c>
      <c r="K519" t="s">
        <v>27</v>
      </c>
    </row>
    <row r="520" spans="1:11" x14ac:dyDescent="0.2">
      <c r="A520" t="s">
        <v>123</v>
      </c>
      <c r="B520" s="1">
        <v>44980</v>
      </c>
      <c r="C520" t="s">
        <v>63</v>
      </c>
      <c r="D520" t="s">
        <v>59</v>
      </c>
      <c r="E520" t="s">
        <v>20</v>
      </c>
      <c r="F520" t="s">
        <v>34</v>
      </c>
      <c r="G520">
        <v>9</v>
      </c>
      <c r="K520" t="s">
        <v>35</v>
      </c>
    </row>
    <row r="521" spans="1:11" x14ac:dyDescent="0.2">
      <c r="A521" t="s">
        <v>109</v>
      </c>
      <c r="B521" s="1">
        <v>45253</v>
      </c>
      <c r="C521" t="s">
        <v>54</v>
      </c>
      <c r="D521" t="s">
        <v>13</v>
      </c>
      <c r="E521" t="s">
        <v>46</v>
      </c>
      <c r="F521" t="s">
        <v>26</v>
      </c>
      <c r="G521">
        <v>20</v>
      </c>
      <c r="I521">
        <v>0.17</v>
      </c>
      <c r="J521" t="s">
        <v>16</v>
      </c>
      <c r="K521" t="s">
        <v>35</v>
      </c>
    </row>
    <row r="522" spans="1:11" x14ac:dyDescent="0.2">
      <c r="A522" t="s">
        <v>47</v>
      </c>
      <c r="B522" s="1">
        <v>45077</v>
      </c>
      <c r="C522" t="s">
        <v>63</v>
      </c>
      <c r="D522" t="s">
        <v>13</v>
      </c>
      <c r="E522" t="s">
        <v>46</v>
      </c>
      <c r="F522" t="s">
        <v>39</v>
      </c>
      <c r="J522" t="s">
        <v>52</v>
      </c>
      <c r="K522" t="s">
        <v>35</v>
      </c>
    </row>
    <row r="523" spans="1:11" x14ac:dyDescent="0.2">
      <c r="A523" t="s">
        <v>191</v>
      </c>
      <c r="B523" s="1">
        <v>44964</v>
      </c>
      <c r="C523" t="s">
        <v>24</v>
      </c>
      <c r="E523" t="s">
        <v>46</v>
      </c>
      <c r="F523" t="s">
        <v>39</v>
      </c>
      <c r="J523" t="s">
        <v>40</v>
      </c>
      <c r="K523" t="s">
        <v>22</v>
      </c>
    </row>
    <row r="524" spans="1:11" x14ac:dyDescent="0.2">
      <c r="A524" t="s">
        <v>60</v>
      </c>
      <c r="B524" s="1">
        <v>45178</v>
      </c>
      <c r="C524" t="s">
        <v>37</v>
      </c>
      <c r="D524" t="s">
        <v>31</v>
      </c>
      <c r="E524" t="s">
        <v>38</v>
      </c>
      <c r="F524" t="s">
        <v>15</v>
      </c>
      <c r="G524">
        <v>16</v>
      </c>
      <c r="J524" t="s">
        <v>16</v>
      </c>
      <c r="K524" t="s">
        <v>22</v>
      </c>
    </row>
    <row r="525" spans="1:11" x14ac:dyDescent="0.2">
      <c r="A525" t="s">
        <v>82</v>
      </c>
      <c r="B525" s="1">
        <v>45059</v>
      </c>
      <c r="C525" t="s">
        <v>54</v>
      </c>
      <c r="D525" t="s">
        <v>19</v>
      </c>
      <c r="E525" t="s">
        <v>46</v>
      </c>
      <c r="F525" t="s">
        <v>26</v>
      </c>
      <c r="J525" t="s">
        <v>40</v>
      </c>
      <c r="K525" t="s">
        <v>27</v>
      </c>
    </row>
    <row r="526" spans="1:11" x14ac:dyDescent="0.2">
      <c r="A526" t="s">
        <v>73</v>
      </c>
      <c r="B526" s="1">
        <v>45267</v>
      </c>
      <c r="C526" t="s">
        <v>57</v>
      </c>
      <c r="D526" t="s">
        <v>59</v>
      </c>
      <c r="E526" t="s">
        <v>20</v>
      </c>
      <c r="F526" t="s">
        <v>34</v>
      </c>
      <c r="J526" t="s">
        <v>42</v>
      </c>
      <c r="K526" t="s">
        <v>22</v>
      </c>
    </row>
    <row r="527" spans="1:11" x14ac:dyDescent="0.2">
      <c r="A527" t="s">
        <v>221</v>
      </c>
      <c r="B527" s="1">
        <v>45299</v>
      </c>
      <c r="C527" t="s">
        <v>54</v>
      </c>
      <c r="D527" t="s">
        <v>31</v>
      </c>
      <c r="E527" t="s">
        <v>20</v>
      </c>
      <c r="F527" t="s">
        <v>26</v>
      </c>
      <c r="J527" t="s">
        <v>52</v>
      </c>
      <c r="K527" t="s">
        <v>55</v>
      </c>
    </row>
    <row r="528" spans="1:11" x14ac:dyDescent="0.2">
      <c r="A528" t="s">
        <v>115</v>
      </c>
      <c r="B528" s="1">
        <v>45082</v>
      </c>
      <c r="C528" t="s">
        <v>57</v>
      </c>
      <c r="D528" t="s">
        <v>19</v>
      </c>
      <c r="E528" t="s">
        <v>48</v>
      </c>
      <c r="F528" t="s">
        <v>26</v>
      </c>
      <c r="J528" t="s">
        <v>52</v>
      </c>
      <c r="K528" t="s">
        <v>35</v>
      </c>
    </row>
    <row r="529" spans="1:11" x14ac:dyDescent="0.2">
      <c r="A529" t="s">
        <v>75</v>
      </c>
      <c r="B529" s="1">
        <v>45210</v>
      </c>
      <c r="C529" t="s">
        <v>12</v>
      </c>
      <c r="D529" t="s">
        <v>83</v>
      </c>
      <c r="E529" t="s">
        <v>48</v>
      </c>
      <c r="F529" t="s">
        <v>15</v>
      </c>
      <c r="H529">
        <v>786.31</v>
      </c>
      <c r="J529" t="s">
        <v>42</v>
      </c>
      <c r="K529" t="s">
        <v>27</v>
      </c>
    </row>
    <row r="530" spans="1:11" x14ac:dyDescent="0.2">
      <c r="A530" t="s">
        <v>235</v>
      </c>
      <c r="B530" s="1">
        <v>45151</v>
      </c>
      <c r="C530" t="s">
        <v>37</v>
      </c>
      <c r="D530" t="s">
        <v>33</v>
      </c>
      <c r="E530" t="s">
        <v>46</v>
      </c>
      <c r="F530" t="s">
        <v>15</v>
      </c>
      <c r="H530">
        <v>1992.8</v>
      </c>
      <c r="I530">
        <v>0.15</v>
      </c>
      <c r="J530" t="s">
        <v>21</v>
      </c>
      <c r="K530" t="s">
        <v>55</v>
      </c>
    </row>
    <row r="531" spans="1:11" x14ac:dyDescent="0.2">
      <c r="A531" t="s">
        <v>108</v>
      </c>
      <c r="B531" s="1">
        <v>45200</v>
      </c>
      <c r="C531" t="s">
        <v>63</v>
      </c>
      <c r="D531" t="s">
        <v>19</v>
      </c>
      <c r="E531" t="s">
        <v>46</v>
      </c>
      <c r="F531" t="s">
        <v>34</v>
      </c>
      <c r="H531">
        <v>1577.68</v>
      </c>
      <c r="I531">
        <v>0.12</v>
      </c>
      <c r="K531" t="s">
        <v>17</v>
      </c>
    </row>
    <row r="532" spans="1:11" x14ac:dyDescent="0.2">
      <c r="A532" t="s">
        <v>167</v>
      </c>
      <c r="B532" s="1">
        <v>45274</v>
      </c>
      <c r="C532" t="s">
        <v>51</v>
      </c>
      <c r="D532" t="s">
        <v>13</v>
      </c>
      <c r="E532" t="s">
        <v>44</v>
      </c>
      <c r="F532" t="s">
        <v>15</v>
      </c>
      <c r="G532">
        <v>3</v>
      </c>
      <c r="J532" t="s">
        <v>21</v>
      </c>
      <c r="K532" t="s">
        <v>27</v>
      </c>
    </row>
    <row r="533" spans="1:11" x14ac:dyDescent="0.2">
      <c r="A533" t="s">
        <v>61</v>
      </c>
      <c r="B533" s="1">
        <v>45286</v>
      </c>
      <c r="C533" t="s">
        <v>51</v>
      </c>
      <c r="D533" t="s">
        <v>19</v>
      </c>
      <c r="E533" t="s">
        <v>20</v>
      </c>
      <c r="F533" t="s">
        <v>26</v>
      </c>
      <c r="G533">
        <v>10</v>
      </c>
      <c r="H533">
        <v>917.81</v>
      </c>
      <c r="I533">
        <v>0.25</v>
      </c>
      <c r="J533" t="s">
        <v>16</v>
      </c>
      <c r="K533" t="s">
        <v>27</v>
      </c>
    </row>
    <row r="534" spans="1:11" x14ac:dyDescent="0.2">
      <c r="A534" t="s">
        <v>108</v>
      </c>
      <c r="B534" s="1">
        <v>45231</v>
      </c>
      <c r="C534" t="s">
        <v>37</v>
      </c>
      <c r="D534" t="s">
        <v>19</v>
      </c>
      <c r="E534" t="s">
        <v>25</v>
      </c>
      <c r="F534" t="s">
        <v>15</v>
      </c>
      <c r="J534" t="s">
        <v>16</v>
      </c>
      <c r="K534" t="s">
        <v>17</v>
      </c>
    </row>
    <row r="535" spans="1:11" x14ac:dyDescent="0.2">
      <c r="A535" t="s">
        <v>182</v>
      </c>
      <c r="B535" s="1">
        <v>44997</v>
      </c>
      <c r="C535" t="s">
        <v>29</v>
      </c>
      <c r="E535" t="s">
        <v>25</v>
      </c>
      <c r="F535" t="s">
        <v>15</v>
      </c>
      <c r="H535">
        <v>355.16</v>
      </c>
      <c r="I535">
        <v>0.04</v>
      </c>
      <c r="J535" t="s">
        <v>42</v>
      </c>
      <c r="K535" t="s">
        <v>35</v>
      </c>
    </row>
    <row r="536" spans="1:11" x14ac:dyDescent="0.2">
      <c r="A536" t="s">
        <v>65</v>
      </c>
      <c r="B536" s="1">
        <v>45116</v>
      </c>
      <c r="C536" t="s">
        <v>51</v>
      </c>
      <c r="D536" t="s">
        <v>83</v>
      </c>
      <c r="E536" t="s">
        <v>20</v>
      </c>
      <c r="G536">
        <v>2</v>
      </c>
      <c r="I536">
        <v>0.18</v>
      </c>
      <c r="J536" t="s">
        <v>16</v>
      </c>
      <c r="K536" t="s">
        <v>22</v>
      </c>
    </row>
    <row r="537" spans="1:11" x14ac:dyDescent="0.2">
      <c r="A537" t="s">
        <v>236</v>
      </c>
      <c r="B537" s="1">
        <v>44930</v>
      </c>
      <c r="C537" t="s">
        <v>12</v>
      </c>
      <c r="D537" t="s">
        <v>33</v>
      </c>
      <c r="E537" t="s">
        <v>46</v>
      </c>
      <c r="I537">
        <v>0.21</v>
      </c>
      <c r="J537" t="s">
        <v>40</v>
      </c>
      <c r="K537" t="s">
        <v>55</v>
      </c>
    </row>
    <row r="538" spans="1:11" x14ac:dyDescent="0.2">
      <c r="A538" t="s">
        <v>223</v>
      </c>
      <c r="B538" s="1">
        <v>45157</v>
      </c>
      <c r="C538" t="s">
        <v>57</v>
      </c>
      <c r="D538" t="s">
        <v>33</v>
      </c>
      <c r="E538" t="s">
        <v>20</v>
      </c>
      <c r="I538">
        <v>0.18</v>
      </c>
      <c r="K538" t="s">
        <v>55</v>
      </c>
    </row>
    <row r="539" spans="1:11" x14ac:dyDescent="0.2">
      <c r="A539" t="s">
        <v>144</v>
      </c>
      <c r="B539" s="1">
        <v>45141</v>
      </c>
      <c r="C539" t="s">
        <v>12</v>
      </c>
      <c r="D539" t="s">
        <v>31</v>
      </c>
      <c r="E539" t="s">
        <v>20</v>
      </c>
      <c r="F539" t="s">
        <v>15</v>
      </c>
      <c r="J539" t="s">
        <v>21</v>
      </c>
      <c r="K539" t="s">
        <v>35</v>
      </c>
    </row>
    <row r="540" spans="1:11" x14ac:dyDescent="0.2">
      <c r="A540" t="s">
        <v>84</v>
      </c>
      <c r="B540" s="1">
        <v>45321</v>
      </c>
      <c r="C540" t="s">
        <v>37</v>
      </c>
      <c r="D540" t="s">
        <v>59</v>
      </c>
      <c r="E540" t="s">
        <v>46</v>
      </c>
      <c r="F540" t="s">
        <v>15</v>
      </c>
      <c r="G540">
        <v>4</v>
      </c>
      <c r="I540">
        <v>0.15</v>
      </c>
      <c r="K540" t="s">
        <v>27</v>
      </c>
    </row>
    <row r="541" spans="1:11" x14ac:dyDescent="0.2">
      <c r="A541" t="s">
        <v>137</v>
      </c>
      <c r="B541" s="1">
        <v>45257</v>
      </c>
      <c r="C541" t="s">
        <v>29</v>
      </c>
      <c r="D541" t="s">
        <v>59</v>
      </c>
      <c r="E541" t="s">
        <v>20</v>
      </c>
      <c r="F541" t="s">
        <v>39</v>
      </c>
      <c r="J541" t="s">
        <v>16</v>
      </c>
      <c r="K541" t="s">
        <v>17</v>
      </c>
    </row>
    <row r="542" spans="1:11" x14ac:dyDescent="0.2">
      <c r="A542" t="s">
        <v>75</v>
      </c>
      <c r="B542" s="1">
        <v>45007</v>
      </c>
      <c r="C542" t="s">
        <v>12</v>
      </c>
      <c r="D542" t="s">
        <v>83</v>
      </c>
      <c r="E542" t="s">
        <v>44</v>
      </c>
      <c r="F542" t="s">
        <v>26</v>
      </c>
      <c r="G542">
        <v>3</v>
      </c>
      <c r="J542" t="s">
        <v>40</v>
      </c>
      <c r="K542" t="s">
        <v>55</v>
      </c>
    </row>
    <row r="543" spans="1:11" x14ac:dyDescent="0.2">
      <c r="A543" t="s">
        <v>96</v>
      </c>
      <c r="B543" s="1">
        <v>45325</v>
      </c>
      <c r="C543" t="s">
        <v>54</v>
      </c>
      <c r="D543" t="s">
        <v>59</v>
      </c>
      <c r="E543" t="s">
        <v>20</v>
      </c>
      <c r="F543" t="s">
        <v>26</v>
      </c>
      <c r="H543">
        <v>831.06</v>
      </c>
      <c r="I543">
        <v>0.11</v>
      </c>
      <c r="J543" t="s">
        <v>16</v>
      </c>
      <c r="K543" t="s">
        <v>22</v>
      </c>
    </row>
    <row r="544" spans="1:11" x14ac:dyDescent="0.2">
      <c r="A544" t="s">
        <v>66</v>
      </c>
      <c r="B544" s="1">
        <v>45175</v>
      </c>
      <c r="C544" t="s">
        <v>12</v>
      </c>
      <c r="D544" t="s">
        <v>83</v>
      </c>
      <c r="E544" t="s">
        <v>20</v>
      </c>
      <c r="F544" t="s">
        <v>15</v>
      </c>
      <c r="J544" t="s">
        <v>40</v>
      </c>
      <c r="K544" t="s">
        <v>55</v>
      </c>
    </row>
    <row r="545" spans="1:11" x14ac:dyDescent="0.2">
      <c r="A545" t="s">
        <v>175</v>
      </c>
      <c r="B545" s="1">
        <v>45030</v>
      </c>
      <c r="C545" t="s">
        <v>29</v>
      </c>
      <c r="D545" t="s">
        <v>33</v>
      </c>
      <c r="E545" t="s">
        <v>46</v>
      </c>
      <c r="I545">
        <v>0.14000000000000001</v>
      </c>
      <c r="J545" t="s">
        <v>52</v>
      </c>
      <c r="K545" t="s">
        <v>35</v>
      </c>
    </row>
    <row r="546" spans="1:11" x14ac:dyDescent="0.2">
      <c r="A546" t="s">
        <v>30</v>
      </c>
      <c r="B546" s="1">
        <v>45236</v>
      </c>
      <c r="C546" t="s">
        <v>51</v>
      </c>
      <c r="E546" t="s">
        <v>25</v>
      </c>
      <c r="H546">
        <v>1940.57</v>
      </c>
      <c r="J546" t="s">
        <v>42</v>
      </c>
      <c r="K546" t="s">
        <v>35</v>
      </c>
    </row>
    <row r="547" spans="1:11" x14ac:dyDescent="0.2">
      <c r="A547" t="s">
        <v>213</v>
      </c>
      <c r="B547" s="1">
        <v>45169</v>
      </c>
      <c r="C547" t="s">
        <v>63</v>
      </c>
      <c r="D547" t="s">
        <v>59</v>
      </c>
      <c r="E547" t="s">
        <v>46</v>
      </c>
      <c r="F547" t="s">
        <v>39</v>
      </c>
      <c r="G547">
        <v>8</v>
      </c>
      <c r="J547" t="s">
        <v>40</v>
      </c>
      <c r="K547" t="s">
        <v>17</v>
      </c>
    </row>
    <row r="548" spans="1:11" x14ac:dyDescent="0.2">
      <c r="A548" t="s">
        <v>237</v>
      </c>
      <c r="B548" s="1">
        <v>45140</v>
      </c>
      <c r="C548" t="s">
        <v>12</v>
      </c>
      <c r="D548" t="s">
        <v>19</v>
      </c>
      <c r="E548" t="s">
        <v>38</v>
      </c>
      <c r="J548" t="s">
        <v>16</v>
      </c>
      <c r="K548" t="s">
        <v>22</v>
      </c>
    </row>
    <row r="549" spans="1:11" x14ac:dyDescent="0.2">
      <c r="A549" t="s">
        <v>45</v>
      </c>
      <c r="B549" s="1">
        <v>45050</v>
      </c>
      <c r="C549" t="s">
        <v>54</v>
      </c>
      <c r="D549" t="s">
        <v>31</v>
      </c>
      <c r="E549" t="s">
        <v>25</v>
      </c>
      <c r="F549" t="s">
        <v>26</v>
      </c>
      <c r="G549">
        <v>14</v>
      </c>
      <c r="I549">
        <v>7.0000000000000007E-2</v>
      </c>
      <c r="J549" t="s">
        <v>16</v>
      </c>
      <c r="K549" t="s">
        <v>22</v>
      </c>
    </row>
    <row r="550" spans="1:11" x14ac:dyDescent="0.2">
      <c r="A550" t="s">
        <v>104</v>
      </c>
      <c r="B550" s="1">
        <v>45083</v>
      </c>
      <c r="C550" t="s">
        <v>51</v>
      </c>
      <c r="D550" t="s">
        <v>13</v>
      </c>
      <c r="E550" t="s">
        <v>38</v>
      </c>
      <c r="G550">
        <v>19</v>
      </c>
      <c r="J550" t="s">
        <v>42</v>
      </c>
      <c r="K550" t="s">
        <v>35</v>
      </c>
    </row>
    <row r="551" spans="1:11" x14ac:dyDescent="0.2">
      <c r="A551" t="s">
        <v>95</v>
      </c>
      <c r="B551" s="1">
        <v>45247</v>
      </c>
      <c r="C551" t="s">
        <v>63</v>
      </c>
      <c r="D551" t="s">
        <v>13</v>
      </c>
      <c r="E551" t="s">
        <v>48</v>
      </c>
      <c r="F551" t="s">
        <v>26</v>
      </c>
      <c r="J551" t="s">
        <v>42</v>
      </c>
      <c r="K551" t="s">
        <v>55</v>
      </c>
    </row>
    <row r="552" spans="1:11" x14ac:dyDescent="0.2">
      <c r="A552" t="s">
        <v>65</v>
      </c>
      <c r="B552" s="1">
        <v>45240</v>
      </c>
      <c r="C552" t="s">
        <v>37</v>
      </c>
      <c r="E552" t="s">
        <v>48</v>
      </c>
      <c r="F552" t="s">
        <v>26</v>
      </c>
      <c r="H552">
        <v>1474.16</v>
      </c>
      <c r="J552" t="s">
        <v>52</v>
      </c>
      <c r="K552" t="s">
        <v>27</v>
      </c>
    </row>
    <row r="553" spans="1:11" x14ac:dyDescent="0.2">
      <c r="A553" t="s">
        <v>122</v>
      </c>
      <c r="B553" s="1">
        <v>45123</v>
      </c>
      <c r="C553" t="s">
        <v>29</v>
      </c>
      <c r="D553" t="s">
        <v>83</v>
      </c>
      <c r="E553" t="s">
        <v>44</v>
      </c>
      <c r="F553" t="s">
        <v>26</v>
      </c>
      <c r="K553" t="s">
        <v>35</v>
      </c>
    </row>
    <row r="554" spans="1:11" x14ac:dyDescent="0.2">
      <c r="A554" t="s">
        <v>138</v>
      </c>
      <c r="B554" s="1">
        <v>45098</v>
      </c>
      <c r="C554" t="s">
        <v>37</v>
      </c>
      <c r="D554" t="s">
        <v>31</v>
      </c>
      <c r="E554" t="s">
        <v>46</v>
      </c>
      <c r="F554" t="s">
        <v>39</v>
      </c>
      <c r="J554" t="s">
        <v>52</v>
      </c>
      <c r="K554" t="s">
        <v>55</v>
      </c>
    </row>
    <row r="555" spans="1:11" x14ac:dyDescent="0.2">
      <c r="A555" t="s">
        <v>238</v>
      </c>
      <c r="B555" s="1">
        <v>45275</v>
      </c>
      <c r="C555" t="s">
        <v>57</v>
      </c>
      <c r="D555" t="s">
        <v>59</v>
      </c>
      <c r="E555" t="s">
        <v>46</v>
      </c>
      <c r="F555" t="s">
        <v>26</v>
      </c>
      <c r="I555">
        <v>0.16</v>
      </c>
      <c r="J555" t="s">
        <v>42</v>
      </c>
      <c r="K555" t="s">
        <v>17</v>
      </c>
    </row>
    <row r="556" spans="1:11" x14ac:dyDescent="0.2">
      <c r="A556" t="s">
        <v>218</v>
      </c>
      <c r="B556" s="1">
        <v>45199</v>
      </c>
      <c r="C556" t="s">
        <v>24</v>
      </c>
      <c r="D556" t="s">
        <v>83</v>
      </c>
      <c r="E556" t="s">
        <v>44</v>
      </c>
      <c r="F556" t="s">
        <v>34</v>
      </c>
      <c r="G556">
        <v>3</v>
      </c>
      <c r="J556" t="s">
        <v>40</v>
      </c>
      <c r="K556" t="s">
        <v>55</v>
      </c>
    </row>
    <row r="557" spans="1:11" x14ac:dyDescent="0.2">
      <c r="A557" t="s">
        <v>112</v>
      </c>
      <c r="B557" s="1">
        <v>44982</v>
      </c>
      <c r="C557" t="s">
        <v>51</v>
      </c>
      <c r="D557" t="s">
        <v>59</v>
      </c>
      <c r="E557" t="s">
        <v>46</v>
      </c>
      <c r="F557" t="s">
        <v>15</v>
      </c>
      <c r="G557">
        <v>16</v>
      </c>
      <c r="I557">
        <v>0.28999999999999998</v>
      </c>
      <c r="J557" t="s">
        <v>52</v>
      </c>
      <c r="K557" t="s">
        <v>22</v>
      </c>
    </row>
    <row r="558" spans="1:11" x14ac:dyDescent="0.2">
      <c r="A558" t="s">
        <v>115</v>
      </c>
      <c r="B558" s="1">
        <v>45204</v>
      </c>
      <c r="C558" t="s">
        <v>51</v>
      </c>
      <c r="D558" t="s">
        <v>83</v>
      </c>
      <c r="E558" t="s">
        <v>14</v>
      </c>
      <c r="F558" t="s">
        <v>39</v>
      </c>
      <c r="I558">
        <v>0.06</v>
      </c>
      <c r="J558" t="s">
        <v>40</v>
      </c>
      <c r="K558" t="s">
        <v>17</v>
      </c>
    </row>
    <row r="559" spans="1:11" x14ac:dyDescent="0.2">
      <c r="A559" t="s">
        <v>226</v>
      </c>
      <c r="B559" s="1">
        <v>45098</v>
      </c>
      <c r="C559" t="s">
        <v>57</v>
      </c>
      <c r="D559" t="s">
        <v>31</v>
      </c>
      <c r="E559" t="s">
        <v>14</v>
      </c>
      <c r="F559" t="s">
        <v>34</v>
      </c>
      <c r="J559" t="s">
        <v>42</v>
      </c>
      <c r="K559" t="s">
        <v>55</v>
      </c>
    </row>
    <row r="560" spans="1:11" x14ac:dyDescent="0.2">
      <c r="A560" t="s">
        <v>146</v>
      </c>
      <c r="B560" s="1">
        <v>44994</v>
      </c>
      <c r="C560" t="s">
        <v>24</v>
      </c>
      <c r="D560" t="s">
        <v>33</v>
      </c>
      <c r="E560" t="s">
        <v>25</v>
      </c>
      <c r="F560" t="s">
        <v>34</v>
      </c>
      <c r="I560">
        <v>0.23</v>
      </c>
      <c r="J560" t="s">
        <v>40</v>
      </c>
      <c r="K560" t="s">
        <v>55</v>
      </c>
    </row>
    <row r="561" spans="1:11" x14ac:dyDescent="0.2">
      <c r="A561" t="s">
        <v>229</v>
      </c>
      <c r="B561" s="1">
        <v>45160</v>
      </c>
      <c r="C561" t="s">
        <v>51</v>
      </c>
      <c r="D561" t="s">
        <v>31</v>
      </c>
      <c r="E561" t="s">
        <v>20</v>
      </c>
      <c r="G561">
        <v>10</v>
      </c>
      <c r="J561" t="s">
        <v>40</v>
      </c>
      <c r="K561" t="s">
        <v>35</v>
      </c>
    </row>
    <row r="562" spans="1:11" x14ac:dyDescent="0.2">
      <c r="A562" t="s">
        <v>198</v>
      </c>
      <c r="B562" s="1">
        <v>44986</v>
      </c>
      <c r="C562" t="s">
        <v>12</v>
      </c>
      <c r="D562" t="s">
        <v>59</v>
      </c>
      <c r="E562" t="s">
        <v>44</v>
      </c>
      <c r="F562" t="s">
        <v>15</v>
      </c>
      <c r="H562">
        <v>745.65</v>
      </c>
      <c r="I562">
        <v>0.17</v>
      </c>
      <c r="K562" t="s">
        <v>55</v>
      </c>
    </row>
    <row r="563" spans="1:11" x14ac:dyDescent="0.2">
      <c r="A563" t="s">
        <v>159</v>
      </c>
      <c r="B563" s="1">
        <v>45002</v>
      </c>
      <c r="C563" t="s">
        <v>29</v>
      </c>
      <c r="D563" t="s">
        <v>83</v>
      </c>
      <c r="E563" t="s">
        <v>44</v>
      </c>
      <c r="F563" t="s">
        <v>15</v>
      </c>
      <c r="H563">
        <v>251.77</v>
      </c>
      <c r="J563" t="s">
        <v>40</v>
      </c>
      <c r="K563" t="s">
        <v>22</v>
      </c>
    </row>
    <row r="564" spans="1:11" x14ac:dyDescent="0.2">
      <c r="A564" t="s">
        <v>169</v>
      </c>
      <c r="B564" s="1">
        <v>45006</v>
      </c>
      <c r="C564" t="s">
        <v>12</v>
      </c>
      <c r="D564" t="s">
        <v>13</v>
      </c>
      <c r="E564" t="s">
        <v>44</v>
      </c>
      <c r="K564" t="s">
        <v>35</v>
      </c>
    </row>
    <row r="565" spans="1:11" x14ac:dyDescent="0.2">
      <c r="A565" t="s">
        <v>196</v>
      </c>
      <c r="B565" s="1">
        <v>45300</v>
      </c>
      <c r="C565" t="s">
        <v>63</v>
      </c>
      <c r="D565" t="s">
        <v>59</v>
      </c>
      <c r="E565" t="s">
        <v>48</v>
      </c>
      <c r="F565" t="s">
        <v>26</v>
      </c>
      <c r="G565">
        <v>16</v>
      </c>
      <c r="I565">
        <v>0.04</v>
      </c>
      <c r="J565" t="s">
        <v>42</v>
      </c>
      <c r="K565" t="s">
        <v>17</v>
      </c>
    </row>
    <row r="566" spans="1:11" x14ac:dyDescent="0.2">
      <c r="A566" t="s">
        <v>23</v>
      </c>
      <c r="B566" s="1">
        <v>45155</v>
      </c>
      <c r="C566" t="s">
        <v>29</v>
      </c>
      <c r="D566" t="s">
        <v>19</v>
      </c>
      <c r="E566" t="s">
        <v>14</v>
      </c>
      <c r="F566" t="s">
        <v>26</v>
      </c>
      <c r="J566" t="s">
        <v>40</v>
      </c>
      <c r="K566" t="s">
        <v>27</v>
      </c>
    </row>
    <row r="567" spans="1:11" x14ac:dyDescent="0.2">
      <c r="A567" t="s">
        <v>174</v>
      </c>
      <c r="B567" s="1">
        <v>45202</v>
      </c>
      <c r="C567" t="s">
        <v>63</v>
      </c>
      <c r="D567" t="s">
        <v>13</v>
      </c>
      <c r="E567" t="s">
        <v>48</v>
      </c>
      <c r="F567" t="s">
        <v>26</v>
      </c>
      <c r="J567" t="s">
        <v>16</v>
      </c>
      <c r="K567" t="s">
        <v>55</v>
      </c>
    </row>
    <row r="568" spans="1:11" x14ac:dyDescent="0.2">
      <c r="A568" t="s">
        <v>132</v>
      </c>
      <c r="B568" s="1">
        <v>45002</v>
      </c>
      <c r="C568" t="s">
        <v>57</v>
      </c>
      <c r="D568" t="s">
        <v>59</v>
      </c>
      <c r="E568" t="s">
        <v>38</v>
      </c>
      <c r="F568" t="s">
        <v>34</v>
      </c>
      <c r="J568" t="s">
        <v>16</v>
      </c>
      <c r="K568" t="s">
        <v>35</v>
      </c>
    </row>
    <row r="569" spans="1:11" x14ac:dyDescent="0.2">
      <c r="A569" t="s">
        <v>139</v>
      </c>
      <c r="B569" s="1">
        <v>45154</v>
      </c>
      <c r="C569" t="s">
        <v>57</v>
      </c>
      <c r="E569" t="s">
        <v>38</v>
      </c>
      <c r="F569" t="s">
        <v>34</v>
      </c>
      <c r="J569" t="s">
        <v>40</v>
      </c>
      <c r="K569" t="s">
        <v>17</v>
      </c>
    </row>
    <row r="570" spans="1:11" x14ac:dyDescent="0.2">
      <c r="A570" t="s">
        <v>109</v>
      </c>
      <c r="B570" s="1">
        <v>44971</v>
      </c>
      <c r="C570" t="s">
        <v>51</v>
      </c>
      <c r="D570" t="s">
        <v>33</v>
      </c>
      <c r="E570" t="s">
        <v>14</v>
      </c>
      <c r="F570" t="s">
        <v>39</v>
      </c>
      <c r="I570">
        <v>0.23</v>
      </c>
      <c r="J570" t="s">
        <v>16</v>
      </c>
      <c r="K570" t="s">
        <v>22</v>
      </c>
    </row>
    <row r="571" spans="1:11" x14ac:dyDescent="0.2">
      <c r="A571" t="s">
        <v>11</v>
      </c>
      <c r="B571" s="1">
        <v>45066</v>
      </c>
      <c r="C571" t="s">
        <v>57</v>
      </c>
      <c r="D571" t="s">
        <v>33</v>
      </c>
      <c r="E571" t="s">
        <v>44</v>
      </c>
      <c r="F571" t="s">
        <v>39</v>
      </c>
      <c r="G571">
        <v>19</v>
      </c>
      <c r="J571" t="s">
        <v>16</v>
      </c>
      <c r="K571" t="s">
        <v>55</v>
      </c>
    </row>
    <row r="572" spans="1:11" x14ac:dyDescent="0.2">
      <c r="A572" t="s">
        <v>66</v>
      </c>
      <c r="B572" s="1">
        <v>45082</v>
      </c>
      <c r="C572" t="s">
        <v>63</v>
      </c>
      <c r="D572" t="s">
        <v>31</v>
      </c>
      <c r="E572" t="s">
        <v>48</v>
      </c>
      <c r="F572" t="s">
        <v>39</v>
      </c>
      <c r="G572">
        <v>8</v>
      </c>
      <c r="H572">
        <v>1584.53</v>
      </c>
      <c r="K572" t="s">
        <v>22</v>
      </c>
    </row>
    <row r="573" spans="1:11" x14ac:dyDescent="0.2">
      <c r="A573" t="s">
        <v>239</v>
      </c>
      <c r="B573" s="1">
        <v>45261</v>
      </c>
      <c r="C573" t="s">
        <v>24</v>
      </c>
      <c r="D573" t="s">
        <v>83</v>
      </c>
      <c r="E573" t="s">
        <v>20</v>
      </c>
      <c r="F573" t="s">
        <v>39</v>
      </c>
      <c r="G573">
        <v>8</v>
      </c>
      <c r="I573">
        <v>0.15</v>
      </c>
      <c r="J573" t="s">
        <v>21</v>
      </c>
      <c r="K573" t="s">
        <v>55</v>
      </c>
    </row>
    <row r="574" spans="1:11" x14ac:dyDescent="0.2">
      <c r="A574" t="s">
        <v>220</v>
      </c>
      <c r="B574" s="1">
        <v>45173</v>
      </c>
      <c r="C574" t="s">
        <v>57</v>
      </c>
      <c r="E574" t="s">
        <v>14</v>
      </c>
      <c r="F574" t="s">
        <v>39</v>
      </c>
      <c r="J574" t="s">
        <v>40</v>
      </c>
      <c r="K574" t="s">
        <v>17</v>
      </c>
    </row>
    <row r="575" spans="1:11" x14ac:dyDescent="0.2">
      <c r="A575" t="s">
        <v>53</v>
      </c>
      <c r="B575" s="1">
        <v>45001</v>
      </c>
      <c r="C575" t="s">
        <v>29</v>
      </c>
      <c r="D575" t="s">
        <v>83</v>
      </c>
      <c r="E575" t="s">
        <v>48</v>
      </c>
      <c r="F575" t="s">
        <v>15</v>
      </c>
      <c r="G575">
        <v>12</v>
      </c>
      <c r="J575" t="s">
        <v>16</v>
      </c>
      <c r="K575" t="s">
        <v>55</v>
      </c>
    </row>
    <row r="576" spans="1:11" x14ac:dyDescent="0.2">
      <c r="A576" t="s">
        <v>152</v>
      </c>
      <c r="B576" s="1">
        <v>45198</v>
      </c>
      <c r="C576" t="s">
        <v>54</v>
      </c>
      <c r="D576" t="s">
        <v>31</v>
      </c>
      <c r="E576" t="s">
        <v>20</v>
      </c>
      <c r="F576" t="s">
        <v>15</v>
      </c>
      <c r="K576" t="s">
        <v>55</v>
      </c>
    </row>
    <row r="577" spans="1:11" x14ac:dyDescent="0.2">
      <c r="A577" t="s">
        <v>175</v>
      </c>
      <c r="B577" s="1">
        <v>45277</v>
      </c>
      <c r="C577" t="s">
        <v>29</v>
      </c>
      <c r="D577" t="s">
        <v>19</v>
      </c>
      <c r="E577" t="s">
        <v>44</v>
      </c>
      <c r="G577">
        <v>12</v>
      </c>
      <c r="J577" t="s">
        <v>42</v>
      </c>
      <c r="K577" t="s">
        <v>55</v>
      </c>
    </row>
    <row r="578" spans="1:11" x14ac:dyDescent="0.2">
      <c r="A578" t="s">
        <v>72</v>
      </c>
      <c r="B578" s="1">
        <v>44979</v>
      </c>
      <c r="C578" t="s">
        <v>37</v>
      </c>
      <c r="D578" t="s">
        <v>33</v>
      </c>
      <c r="E578" t="s">
        <v>44</v>
      </c>
      <c r="F578" t="s">
        <v>15</v>
      </c>
      <c r="J578" t="s">
        <v>21</v>
      </c>
      <c r="K578" t="s">
        <v>27</v>
      </c>
    </row>
    <row r="579" spans="1:11" x14ac:dyDescent="0.2">
      <c r="A579" t="s">
        <v>140</v>
      </c>
      <c r="B579" s="1">
        <v>45162</v>
      </c>
      <c r="C579" t="s">
        <v>54</v>
      </c>
      <c r="D579" t="s">
        <v>19</v>
      </c>
      <c r="E579" t="s">
        <v>25</v>
      </c>
      <c r="F579" t="s">
        <v>15</v>
      </c>
      <c r="J579" t="s">
        <v>21</v>
      </c>
      <c r="K579" t="s">
        <v>17</v>
      </c>
    </row>
    <row r="580" spans="1:11" x14ac:dyDescent="0.2">
      <c r="A580" t="s">
        <v>99</v>
      </c>
      <c r="B580" s="1">
        <v>45102</v>
      </c>
      <c r="C580" t="s">
        <v>51</v>
      </c>
      <c r="D580" t="s">
        <v>13</v>
      </c>
      <c r="E580" t="s">
        <v>14</v>
      </c>
      <c r="F580" t="s">
        <v>26</v>
      </c>
      <c r="G580">
        <v>4</v>
      </c>
      <c r="I580">
        <v>0.04</v>
      </c>
      <c r="J580" t="s">
        <v>52</v>
      </c>
      <c r="K580" t="s">
        <v>35</v>
      </c>
    </row>
    <row r="581" spans="1:11" x14ac:dyDescent="0.2">
      <c r="A581" t="s">
        <v>225</v>
      </c>
      <c r="B581" s="1">
        <v>44993</v>
      </c>
      <c r="C581" t="s">
        <v>54</v>
      </c>
      <c r="D581" t="s">
        <v>83</v>
      </c>
      <c r="E581" t="s">
        <v>48</v>
      </c>
      <c r="F581" t="s">
        <v>26</v>
      </c>
      <c r="G581">
        <v>3</v>
      </c>
      <c r="I581">
        <v>0.01</v>
      </c>
      <c r="J581" t="s">
        <v>16</v>
      </c>
      <c r="K581" t="s">
        <v>17</v>
      </c>
    </row>
    <row r="582" spans="1:11" x14ac:dyDescent="0.2">
      <c r="A582" t="s">
        <v>213</v>
      </c>
      <c r="B582" s="1">
        <v>44957</v>
      </c>
      <c r="C582" t="s">
        <v>63</v>
      </c>
      <c r="D582" t="s">
        <v>19</v>
      </c>
      <c r="E582" t="s">
        <v>14</v>
      </c>
      <c r="F582" t="s">
        <v>26</v>
      </c>
      <c r="H582">
        <v>1338.5</v>
      </c>
      <c r="J582" t="s">
        <v>40</v>
      </c>
      <c r="K582" t="s">
        <v>17</v>
      </c>
    </row>
    <row r="583" spans="1:11" x14ac:dyDescent="0.2">
      <c r="A583" t="s">
        <v>217</v>
      </c>
      <c r="B583" s="1">
        <v>45021</v>
      </c>
      <c r="C583" t="s">
        <v>29</v>
      </c>
      <c r="D583" t="s">
        <v>19</v>
      </c>
      <c r="E583" t="s">
        <v>46</v>
      </c>
      <c r="F583" t="s">
        <v>15</v>
      </c>
      <c r="H583">
        <v>702.19</v>
      </c>
      <c r="J583" t="s">
        <v>21</v>
      </c>
      <c r="K583" t="s">
        <v>35</v>
      </c>
    </row>
    <row r="584" spans="1:11" x14ac:dyDescent="0.2">
      <c r="A584" t="s">
        <v>91</v>
      </c>
      <c r="B584" s="1">
        <v>45218</v>
      </c>
      <c r="C584" t="s">
        <v>54</v>
      </c>
      <c r="D584" t="s">
        <v>19</v>
      </c>
      <c r="E584" t="s">
        <v>25</v>
      </c>
      <c r="H584">
        <v>441.83</v>
      </c>
      <c r="I584">
        <v>0.28999999999999998</v>
      </c>
      <c r="J584" t="s">
        <v>21</v>
      </c>
      <c r="K584" t="s">
        <v>27</v>
      </c>
    </row>
    <row r="585" spans="1:11" x14ac:dyDescent="0.2">
      <c r="A585" t="s">
        <v>165</v>
      </c>
      <c r="B585" s="1">
        <v>44977</v>
      </c>
      <c r="C585" t="s">
        <v>37</v>
      </c>
      <c r="D585" t="s">
        <v>31</v>
      </c>
      <c r="E585" t="s">
        <v>25</v>
      </c>
      <c r="F585" t="s">
        <v>39</v>
      </c>
      <c r="I585">
        <v>0.2</v>
      </c>
      <c r="J585" t="s">
        <v>40</v>
      </c>
      <c r="K585" t="s">
        <v>55</v>
      </c>
    </row>
    <row r="586" spans="1:11" x14ac:dyDescent="0.2">
      <c r="A586" t="s">
        <v>28</v>
      </c>
      <c r="B586" s="1">
        <v>45144</v>
      </c>
      <c r="C586" t="s">
        <v>37</v>
      </c>
      <c r="D586" t="s">
        <v>31</v>
      </c>
      <c r="E586" t="s">
        <v>20</v>
      </c>
      <c r="F586" t="s">
        <v>39</v>
      </c>
      <c r="H586">
        <v>255.99</v>
      </c>
      <c r="J586" t="s">
        <v>52</v>
      </c>
      <c r="K586" t="s">
        <v>55</v>
      </c>
    </row>
    <row r="587" spans="1:11" x14ac:dyDescent="0.2">
      <c r="A587" t="s">
        <v>94</v>
      </c>
      <c r="B587" s="1">
        <v>45296</v>
      </c>
      <c r="C587" t="s">
        <v>12</v>
      </c>
      <c r="D587" t="s">
        <v>19</v>
      </c>
      <c r="E587" t="s">
        <v>14</v>
      </c>
      <c r="F587" t="s">
        <v>39</v>
      </c>
      <c r="J587" t="s">
        <v>42</v>
      </c>
      <c r="K587" t="s">
        <v>35</v>
      </c>
    </row>
    <row r="588" spans="1:11" x14ac:dyDescent="0.2">
      <c r="A588" t="s">
        <v>219</v>
      </c>
      <c r="B588" s="1">
        <v>45135</v>
      </c>
      <c r="C588" t="s">
        <v>24</v>
      </c>
      <c r="E588" t="s">
        <v>38</v>
      </c>
      <c r="F588" t="s">
        <v>15</v>
      </c>
      <c r="J588" t="s">
        <v>42</v>
      </c>
      <c r="K588" t="s">
        <v>27</v>
      </c>
    </row>
    <row r="589" spans="1:11" x14ac:dyDescent="0.2">
      <c r="A589" t="s">
        <v>132</v>
      </c>
      <c r="B589" s="1">
        <v>45151</v>
      </c>
      <c r="C589" t="s">
        <v>54</v>
      </c>
      <c r="D589" t="s">
        <v>19</v>
      </c>
      <c r="E589" t="s">
        <v>20</v>
      </c>
      <c r="F589" t="s">
        <v>39</v>
      </c>
      <c r="H589">
        <v>1185.21</v>
      </c>
      <c r="I589">
        <v>0.22</v>
      </c>
      <c r="J589" t="s">
        <v>16</v>
      </c>
      <c r="K589" t="s">
        <v>55</v>
      </c>
    </row>
    <row r="590" spans="1:11" x14ac:dyDescent="0.2">
      <c r="A590" t="s">
        <v>240</v>
      </c>
      <c r="B590" s="1">
        <v>45100</v>
      </c>
      <c r="C590" t="s">
        <v>37</v>
      </c>
      <c r="D590" t="s">
        <v>31</v>
      </c>
      <c r="E590" t="s">
        <v>25</v>
      </c>
      <c r="F590" t="s">
        <v>39</v>
      </c>
      <c r="G590">
        <v>4</v>
      </c>
      <c r="J590" t="s">
        <v>21</v>
      </c>
      <c r="K590" t="s">
        <v>17</v>
      </c>
    </row>
    <row r="591" spans="1:11" x14ac:dyDescent="0.2">
      <c r="A591" t="s">
        <v>175</v>
      </c>
      <c r="B591" s="1">
        <v>45314</v>
      </c>
      <c r="C591" t="s">
        <v>57</v>
      </c>
      <c r="D591" t="s">
        <v>59</v>
      </c>
      <c r="E591" t="s">
        <v>38</v>
      </c>
      <c r="H591">
        <v>1027.71</v>
      </c>
      <c r="I591">
        <v>0.23</v>
      </c>
      <c r="J591" t="s">
        <v>16</v>
      </c>
      <c r="K591" t="s">
        <v>55</v>
      </c>
    </row>
    <row r="592" spans="1:11" x14ac:dyDescent="0.2">
      <c r="A592" t="s">
        <v>164</v>
      </c>
      <c r="B592" s="1">
        <v>45181</v>
      </c>
      <c r="C592" t="s">
        <v>37</v>
      </c>
      <c r="D592" t="s">
        <v>13</v>
      </c>
      <c r="E592" t="s">
        <v>20</v>
      </c>
      <c r="F592" t="s">
        <v>26</v>
      </c>
      <c r="H592">
        <v>115.18</v>
      </c>
      <c r="I592">
        <v>0.15</v>
      </c>
      <c r="J592" t="s">
        <v>40</v>
      </c>
      <c r="K592" t="s">
        <v>22</v>
      </c>
    </row>
    <row r="593" spans="1:11" x14ac:dyDescent="0.2">
      <c r="A593" t="s">
        <v>136</v>
      </c>
      <c r="B593" s="1">
        <v>45274</v>
      </c>
      <c r="C593" t="s">
        <v>29</v>
      </c>
      <c r="D593" t="s">
        <v>33</v>
      </c>
      <c r="E593" t="s">
        <v>14</v>
      </c>
      <c r="G593">
        <v>20</v>
      </c>
      <c r="J593" t="s">
        <v>42</v>
      </c>
      <c r="K593" t="s">
        <v>35</v>
      </c>
    </row>
    <row r="594" spans="1:11" x14ac:dyDescent="0.2">
      <c r="A594" t="s">
        <v>30</v>
      </c>
      <c r="B594" s="1">
        <v>45265</v>
      </c>
      <c r="C594" t="s">
        <v>63</v>
      </c>
      <c r="D594" t="s">
        <v>83</v>
      </c>
      <c r="E594" t="s">
        <v>44</v>
      </c>
      <c r="F594" t="s">
        <v>34</v>
      </c>
      <c r="I594">
        <v>0.16</v>
      </c>
      <c r="J594" t="s">
        <v>42</v>
      </c>
      <c r="K594" t="s">
        <v>27</v>
      </c>
    </row>
    <row r="595" spans="1:11" x14ac:dyDescent="0.2">
      <c r="A595" t="s">
        <v>142</v>
      </c>
      <c r="B595" s="1">
        <v>45157</v>
      </c>
      <c r="C595" t="s">
        <v>29</v>
      </c>
      <c r="E595" t="s">
        <v>38</v>
      </c>
      <c r="F595" t="s">
        <v>39</v>
      </c>
      <c r="G595">
        <v>15</v>
      </c>
      <c r="K595" t="s">
        <v>35</v>
      </c>
    </row>
    <row r="596" spans="1:11" x14ac:dyDescent="0.2">
      <c r="A596" t="s">
        <v>164</v>
      </c>
      <c r="B596" s="1">
        <v>45147</v>
      </c>
      <c r="C596" t="s">
        <v>51</v>
      </c>
      <c r="D596" t="s">
        <v>59</v>
      </c>
      <c r="E596" t="s">
        <v>48</v>
      </c>
      <c r="F596" t="s">
        <v>39</v>
      </c>
      <c r="G596">
        <v>16</v>
      </c>
      <c r="J596" t="s">
        <v>21</v>
      </c>
      <c r="K596" t="s">
        <v>17</v>
      </c>
    </row>
    <row r="597" spans="1:11" x14ac:dyDescent="0.2">
      <c r="A597" t="s">
        <v>103</v>
      </c>
      <c r="B597" s="1">
        <v>45170</v>
      </c>
      <c r="C597" t="s">
        <v>51</v>
      </c>
      <c r="D597" t="s">
        <v>31</v>
      </c>
      <c r="E597" t="s">
        <v>46</v>
      </c>
      <c r="F597" t="s">
        <v>39</v>
      </c>
      <c r="J597" t="s">
        <v>52</v>
      </c>
      <c r="K597" t="s">
        <v>55</v>
      </c>
    </row>
    <row r="598" spans="1:11" x14ac:dyDescent="0.2">
      <c r="A598" t="s">
        <v>62</v>
      </c>
      <c r="B598" s="1">
        <v>44941</v>
      </c>
      <c r="C598" t="s">
        <v>12</v>
      </c>
      <c r="D598" t="s">
        <v>33</v>
      </c>
      <c r="E598" t="s">
        <v>25</v>
      </c>
      <c r="F598" t="s">
        <v>34</v>
      </c>
      <c r="I598">
        <v>0.1</v>
      </c>
      <c r="J598" t="s">
        <v>42</v>
      </c>
      <c r="K598" t="s">
        <v>55</v>
      </c>
    </row>
    <row r="599" spans="1:11" x14ac:dyDescent="0.2">
      <c r="A599" t="s">
        <v>230</v>
      </c>
      <c r="B599" s="1">
        <v>45137</v>
      </c>
      <c r="C599" t="s">
        <v>29</v>
      </c>
      <c r="D599" t="s">
        <v>19</v>
      </c>
      <c r="E599" t="s">
        <v>48</v>
      </c>
      <c r="F599" t="s">
        <v>15</v>
      </c>
      <c r="G599">
        <v>8</v>
      </c>
      <c r="J599" t="s">
        <v>16</v>
      </c>
      <c r="K599" t="s">
        <v>55</v>
      </c>
    </row>
    <row r="600" spans="1:11" x14ac:dyDescent="0.2">
      <c r="A600" t="s">
        <v>118</v>
      </c>
      <c r="B600" s="1">
        <v>45099</v>
      </c>
      <c r="C600" t="s">
        <v>51</v>
      </c>
      <c r="D600" t="s">
        <v>19</v>
      </c>
      <c r="E600" t="s">
        <v>44</v>
      </c>
      <c r="F600" t="s">
        <v>34</v>
      </c>
      <c r="J600" t="s">
        <v>52</v>
      </c>
      <c r="K600" t="s">
        <v>27</v>
      </c>
    </row>
    <row r="601" spans="1:11" x14ac:dyDescent="0.2">
      <c r="A601" t="s">
        <v>65</v>
      </c>
      <c r="B601" s="1">
        <v>45167</v>
      </c>
      <c r="C601" t="s">
        <v>12</v>
      </c>
      <c r="D601" t="s">
        <v>59</v>
      </c>
      <c r="E601" t="s">
        <v>38</v>
      </c>
      <c r="J601" t="s">
        <v>40</v>
      </c>
      <c r="K601" t="s">
        <v>55</v>
      </c>
    </row>
    <row r="602" spans="1:11" x14ac:dyDescent="0.2">
      <c r="A602" t="s">
        <v>108</v>
      </c>
      <c r="B602" s="1">
        <v>45184</v>
      </c>
      <c r="C602" t="s">
        <v>29</v>
      </c>
      <c r="D602" t="s">
        <v>33</v>
      </c>
      <c r="E602" t="s">
        <v>44</v>
      </c>
      <c r="F602" t="s">
        <v>34</v>
      </c>
      <c r="I602">
        <v>0.25</v>
      </c>
      <c r="J602" t="s">
        <v>21</v>
      </c>
      <c r="K602" t="s">
        <v>35</v>
      </c>
    </row>
    <row r="603" spans="1:11" x14ac:dyDescent="0.2">
      <c r="A603" t="s">
        <v>101</v>
      </c>
      <c r="B603" s="1">
        <v>45062</v>
      </c>
      <c r="C603" t="s">
        <v>12</v>
      </c>
      <c r="D603" t="s">
        <v>59</v>
      </c>
      <c r="E603" t="s">
        <v>44</v>
      </c>
      <c r="F603" t="s">
        <v>39</v>
      </c>
      <c r="H603">
        <v>1488.35</v>
      </c>
      <c r="J603" t="s">
        <v>16</v>
      </c>
      <c r="K603" t="s">
        <v>17</v>
      </c>
    </row>
    <row r="604" spans="1:11" x14ac:dyDescent="0.2">
      <c r="A604" t="s">
        <v>150</v>
      </c>
      <c r="B604" s="1">
        <v>45066</v>
      </c>
      <c r="C604" t="s">
        <v>54</v>
      </c>
      <c r="D604" t="s">
        <v>31</v>
      </c>
      <c r="E604" t="s">
        <v>25</v>
      </c>
      <c r="H604">
        <v>427.38</v>
      </c>
      <c r="J604" t="s">
        <v>21</v>
      </c>
      <c r="K604" t="s">
        <v>55</v>
      </c>
    </row>
    <row r="605" spans="1:11" x14ac:dyDescent="0.2">
      <c r="A605" t="s">
        <v>234</v>
      </c>
      <c r="B605" s="1">
        <v>45266</v>
      </c>
      <c r="C605" t="s">
        <v>29</v>
      </c>
      <c r="D605" t="s">
        <v>33</v>
      </c>
      <c r="E605" t="s">
        <v>38</v>
      </c>
      <c r="F605" t="s">
        <v>39</v>
      </c>
      <c r="I605">
        <v>0.23</v>
      </c>
      <c r="J605" t="s">
        <v>16</v>
      </c>
      <c r="K605" t="s">
        <v>17</v>
      </c>
    </row>
    <row r="606" spans="1:11" x14ac:dyDescent="0.2">
      <c r="A606" t="s">
        <v>171</v>
      </c>
      <c r="B606" s="1">
        <v>45222</v>
      </c>
      <c r="C606" t="s">
        <v>63</v>
      </c>
      <c r="D606" t="s">
        <v>33</v>
      </c>
      <c r="E606" t="s">
        <v>48</v>
      </c>
      <c r="F606" t="s">
        <v>39</v>
      </c>
      <c r="J606" t="s">
        <v>21</v>
      </c>
      <c r="K606" t="s">
        <v>27</v>
      </c>
    </row>
    <row r="607" spans="1:11" x14ac:dyDescent="0.2">
      <c r="A607" t="s">
        <v>223</v>
      </c>
      <c r="B607" s="1">
        <v>45029</v>
      </c>
      <c r="C607" t="s">
        <v>29</v>
      </c>
      <c r="D607" t="s">
        <v>83</v>
      </c>
      <c r="E607" t="s">
        <v>20</v>
      </c>
      <c r="F607" t="s">
        <v>15</v>
      </c>
      <c r="J607" t="s">
        <v>52</v>
      </c>
      <c r="K607" t="s">
        <v>27</v>
      </c>
    </row>
    <row r="608" spans="1:11" x14ac:dyDescent="0.2">
      <c r="A608" t="s">
        <v>69</v>
      </c>
      <c r="B608" s="1">
        <v>45031</v>
      </c>
      <c r="C608" t="s">
        <v>57</v>
      </c>
      <c r="D608" t="s">
        <v>59</v>
      </c>
      <c r="E608" t="s">
        <v>25</v>
      </c>
      <c r="F608" t="s">
        <v>34</v>
      </c>
      <c r="H608">
        <v>1376.84</v>
      </c>
      <c r="I608">
        <v>0.12</v>
      </c>
      <c r="J608" t="s">
        <v>40</v>
      </c>
      <c r="K608" t="s">
        <v>35</v>
      </c>
    </row>
    <row r="609" spans="1:11" x14ac:dyDescent="0.2">
      <c r="A609" t="s">
        <v>209</v>
      </c>
      <c r="B609" s="1">
        <v>45052</v>
      </c>
      <c r="C609" t="s">
        <v>24</v>
      </c>
      <c r="D609" t="s">
        <v>83</v>
      </c>
      <c r="E609" t="s">
        <v>38</v>
      </c>
      <c r="H609">
        <v>1297.3699999999999</v>
      </c>
      <c r="J609" t="s">
        <v>40</v>
      </c>
      <c r="K609" t="s">
        <v>27</v>
      </c>
    </row>
    <row r="610" spans="1:11" x14ac:dyDescent="0.2">
      <c r="A610" t="s">
        <v>206</v>
      </c>
      <c r="B610" s="1">
        <v>45069</v>
      </c>
      <c r="C610" t="s">
        <v>51</v>
      </c>
      <c r="D610" t="s">
        <v>13</v>
      </c>
      <c r="E610" t="s">
        <v>25</v>
      </c>
      <c r="F610" t="s">
        <v>26</v>
      </c>
      <c r="G610">
        <v>16</v>
      </c>
      <c r="H610">
        <v>120.1</v>
      </c>
      <c r="J610" t="s">
        <v>16</v>
      </c>
      <c r="K610" t="s">
        <v>22</v>
      </c>
    </row>
    <row r="611" spans="1:11" x14ac:dyDescent="0.2">
      <c r="A611" t="s">
        <v>77</v>
      </c>
      <c r="B611" s="1">
        <v>45270</v>
      </c>
      <c r="C611" t="s">
        <v>54</v>
      </c>
      <c r="D611" t="s">
        <v>83</v>
      </c>
      <c r="E611" t="s">
        <v>25</v>
      </c>
      <c r="F611" t="s">
        <v>15</v>
      </c>
      <c r="G611">
        <v>8</v>
      </c>
      <c r="K611" t="s">
        <v>17</v>
      </c>
    </row>
    <row r="612" spans="1:11" x14ac:dyDescent="0.2">
      <c r="A612" t="s">
        <v>129</v>
      </c>
      <c r="B612" s="1">
        <v>45195</v>
      </c>
      <c r="C612" t="s">
        <v>24</v>
      </c>
      <c r="D612" t="s">
        <v>83</v>
      </c>
      <c r="E612" t="s">
        <v>46</v>
      </c>
      <c r="F612" t="s">
        <v>15</v>
      </c>
      <c r="G612">
        <v>20</v>
      </c>
      <c r="K612" t="s">
        <v>22</v>
      </c>
    </row>
    <row r="613" spans="1:11" x14ac:dyDescent="0.2">
      <c r="A613" t="s">
        <v>89</v>
      </c>
      <c r="B613" s="1">
        <v>45307</v>
      </c>
      <c r="C613" t="s">
        <v>37</v>
      </c>
      <c r="D613" t="s">
        <v>83</v>
      </c>
      <c r="E613" t="s">
        <v>20</v>
      </c>
      <c r="F613" t="s">
        <v>15</v>
      </c>
      <c r="G613">
        <v>4</v>
      </c>
      <c r="J613" t="s">
        <v>21</v>
      </c>
      <c r="K613" t="s">
        <v>27</v>
      </c>
    </row>
    <row r="614" spans="1:11" x14ac:dyDescent="0.2">
      <c r="A614" t="s">
        <v>164</v>
      </c>
      <c r="B614" s="1">
        <v>45200</v>
      </c>
      <c r="C614" t="s">
        <v>29</v>
      </c>
      <c r="D614" t="s">
        <v>13</v>
      </c>
      <c r="E614" t="s">
        <v>46</v>
      </c>
      <c r="F614" t="s">
        <v>34</v>
      </c>
      <c r="H614">
        <v>954.96</v>
      </c>
      <c r="I614">
        <v>0.28999999999999998</v>
      </c>
      <c r="J614" t="s">
        <v>52</v>
      </c>
      <c r="K614" t="s">
        <v>22</v>
      </c>
    </row>
    <row r="615" spans="1:11" x14ac:dyDescent="0.2">
      <c r="A615" t="s">
        <v>82</v>
      </c>
      <c r="B615" s="1">
        <v>45115</v>
      </c>
      <c r="C615" t="s">
        <v>24</v>
      </c>
      <c r="D615" t="s">
        <v>19</v>
      </c>
      <c r="E615" t="s">
        <v>48</v>
      </c>
      <c r="H615">
        <v>1327.82</v>
      </c>
      <c r="J615" t="s">
        <v>40</v>
      </c>
      <c r="K615" t="s">
        <v>55</v>
      </c>
    </row>
    <row r="616" spans="1:11" x14ac:dyDescent="0.2">
      <c r="A616" t="s">
        <v>219</v>
      </c>
      <c r="B616" s="1">
        <v>45123</v>
      </c>
      <c r="C616" t="s">
        <v>24</v>
      </c>
      <c r="D616" t="s">
        <v>13</v>
      </c>
      <c r="E616" t="s">
        <v>48</v>
      </c>
      <c r="F616" t="s">
        <v>34</v>
      </c>
      <c r="J616" t="s">
        <v>52</v>
      </c>
      <c r="K616" t="s">
        <v>55</v>
      </c>
    </row>
    <row r="617" spans="1:11" x14ac:dyDescent="0.2">
      <c r="A617" t="s">
        <v>126</v>
      </c>
      <c r="B617" s="1">
        <v>45314</v>
      </c>
      <c r="C617" t="s">
        <v>37</v>
      </c>
      <c r="D617" t="s">
        <v>59</v>
      </c>
      <c r="E617" t="s">
        <v>20</v>
      </c>
      <c r="F617" t="s">
        <v>15</v>
      </c>
      <c r="I617">
        <v>0.12</v>
      </c>
      <c r="J617" t="s">
        <v>52</v>
      </c>
      <c r="K617" t="s">
        <v>27</v>
      </c>
    </row>
    <row r="618" spans="1:11" x14ac:dyDescent="0.2">
      <c r="A618" t="s">
        <v>191</v>
      </c>
      <c r="B618" s="1">
        <v>45178</v>
      </c>
      <c r="C618" t="s">
        <v>63</v>
      </c>
      <c r="D618" t="s">
        <v>13</v>
      </c>
      <c r="E618" t="s">
        <v>38</v>
      </c>
      <c r="F618" t="s">
        <v>34</v>
      </c>
      <c r="G618">
        <v>14</v>
      </c>
      <c r="I618">
        <v>0.08</v>
      </c>
      <c r="J618" t="s">
        <v>52</v>
      </c>
      <c r="K618" t="s">
        <v>22</v>
      </c>
    </row>
    <row r="619" spans="1:11" x14ac:dyDescent="0.2">
      <c r="A619" t="s">
        <v>136</v>
      </c>
      <c r="B619" s="1">
        <v>45300</v>
      </c>
      <c r="C619" t="s">
        <v>29</v>
      </c>
      <c r="D619" t="s">
        <v>83</v>
      </c>
      <c r="E619" t="s">
        <v>48</v>
      </c>
      <c r="F619" t="s">
        <v>26</v>
      </c>
      <c r="J619" t="s">
        <v>40</v>
      </c>
      <c r="K619" t="s">
        <v>27</v>
      </c>
    </row>
    <row r="620" spans="1:11" x14ac:dyDescent="0.2">
      <c r="A620" t="s">
        <v>98</v>
      </c>
      <c r="B620" s="1">
        <v>45029</v>
      </c>
      <c r="C620" t="s">
        <v>24</v>
      </c>
      <c r="D620" t="s">
        <v>59</v>
      </c>
      <c r="E620" t="s">
        <v>44</v>
      </c>
      <c r="F620" t="s">
        <v>26</v>
      </c>
      <c r="G620">
        <v>4</v>
      </c>
      <c r="J620" t="s">
        <v>40</v>
      </c>
      <c r="K620" t="s">
        <v>17</v>
      </c>
    </row>
    <row r="621" spans="1:11" x14ac:dyDescent="0.2">
      <c r="A621" t="s">
        <v>232</v>
      </c>
      <c r="B621" s="1">
        <v>45137</v>
      </c>
      <c r="C621" t="s">
        <v>29</v>
      </c>
      <c r="D621" t="s">
        <v>83</v>
      </c>
      <c r="E621" t="s">
        <v>38</v>
      </c>
      <c r="F621" t="s">
        <v>15</v>
      </c>
      <c r="G621">
        <v>9</v>
      </c>
      <c r="I621">
        <v>0.24</v>
      </c>
      <c r="J621" t="s">
        <v>16</v>
      </c>
      <c r="K621" t="s">
        <v>22</v>
      </c>
    </row>
    <row r="622" spans="1:11" x14ac:dyDescent="0.2">
      <c r="A622" t="s">
        <v>95</v>
      </c>
      <c r="B622" s="1">
        <v>45020</v>
      </c>
      <c r="C622" t="s">
        <v>57</v>
      </c>
      <c r="D622" t="s">
        <v>83</v>
      </c>
      <c r="E622" t="s">
        <v>25</v>
      </c>
      <c r="G622">
        <v>8</v>
      </c>
      <c r="J622" t="s">
        <v>40</v>
      </c>
      <c r="K622" t="s">
        <v>27</v>
      </c>
    </row>
    <row r="623" spans="1:11" x14ac:dyDescent="0.2">
      <c r="A623" t="s">
        <v>84</v>
      </c>
      <c r="B623" s="1">
        <v>45028</v>
      </c>
      <c r="C623" t="s">
        <v>24</v>
      </c>
      <c r="D623" t="s">
        <v>13</v>
      </c>
      <c r="E623" t="s">
        <v>25</v>
      </c>
      <c r="F623" t="s">
        <v>15</v>
      </c>
      <c r="I623">
        <v>0.08</v>
      </c>
      <c r="J623" t="s">
        <v>52</v>
      </c>
      <c r="K623" t="s">
        <v>35</v>
      </c>
    </row>
    <row r="624" spans="1:11" x14ac:dyDescent="0.2">
      <c r="A624" t="s">
        <v>146</v>
      </c>
      <c r="B624" s="1">
        <v>44987</v>
      </c>
      <c r="C624" t="s">
        <v>12</v>
      </c>
      <c r="D624" t="s">
        <v>13</v>
      </c>
      <c r="E624" t="s">
        <v>44</v>
      </c>
      <c r="F624" t="s">
        <v>39</v>
      </c>
      <c r="H624">
        <v>993.36</v>
      </c>
      <c r="I624">
        <v>0.21</v>
      </c>
      <c r="J624" t="s">
        <v>52</v>
      </c>
      <c r="K624" t="s">
        <v>55</v>
      </c>
    </row>
    <row r="625" spans="1:11" x14ac:dyDescent="0.2">
      <c r="A625" t="s">
        <v>89</v>
      </c>
      <c r="B625" s="1">
        <v>45180</v>
      </c>
      <c r="C625" t="s">
        <v>57</v>
      </c>
      <c r="D625" t="s">
        <v>33</v>
      </c>
      <c r="E625" t="s">
        <v>38</v>
      </c>
      <c r="F625" t="s">
        <v>15</v>
      </c>
      <c r="G625">
        <v>20</v>
      </c>
      <c r="I625">
        <v>0.22</v>
      </c>
      <c r="J625" t="s">
        <v>42</v>
      </c>
      <c r="K625" t="s">
        <v>35</v>
      </c>
    </row>
    <row r="626" spans="1:11" x14ac:dyDescent="0.2">
      <c r="A626" t="s">
        <v>64</v>
      </c>
      <c r="B626" s="1">
        <v>45001</v>
      </c>
      <c r="C626" t="s">
        <v>12</v>
      </c>
      <c r="D626" t="s">
        <v>59</v>
      </c>
      <c r="E626" t="s">
        <v>14</v>
      </c>
      <c r="F626" t="s">
        <v>15</v>
      </c>
      <c r="J626" t="s">
        <v>42</v>
      </c>
      <c r="K626" t="s">
        <v>27</v>
      </c>
    </row>
    <row r="627" spans="1:11" x14ac:dyDescent="0.2">
      <c r="A627" t="s">
        <v>190</v>
      </c>
      <c r="B627" s="1">
        <v>45167</v>
      </c>
      <c r="C627" t="s">
        <v>51</v>
      </c>
      <c r="E627" t="s">
        <v>14</v>
      </c>
      <c r="F627" t="s">
        <v>39</v>
      </c>
      <c r="J627" t="s">
        <v>16</v>
      </c>
      <c r="K627" t="s">
        <v>27</v>
      </c>
    </row>
    <row r="628" spans="1:11" x14ac:dyDescent="0.2">
      <c r="A628" t="s">
        <v>94</v>
      </c>
      <c r="B628" s="1">
        <v>44957</v>
      </c>
      <c r="C628" t="s">
        <v>12</v>
      </c>
      <c r="D628" t="s">
        <v>59</v>
      </c>
      <c r="E628" t="s">
        <v>20</v>
      </c>
      <c r="F628" t="s">
        <v>39</v>
      </c>
      <c r="I628">
        <v>0.21</v>
      </c>
      <c r="J628" t="s">
        <v>16</v>
      </c>
      <c r="K628" t="s">
        <v>55</v>
      </c>
    </row>
    <row r="629" spans="1:11" x14ac:dyDescent="0.2">
      <c r="A629" t="s">
        <v>91</v>
      </c>
      <c r="B629" s="1">
        <v>45244</v>
      </c>
      <c r="C629" t="s">
        <v>57</v>
      </c>
      <c r="D629" t="s">
        <v>59</v>
      </c>
      <c r="E629" t="s">
        <v>38</v>
      </c>
      <c r="F629" t="s">
        <v>34</v>
      </c>
      <c r="H629">
        <v>91.84</v>
      </c>
      <c r="J629" t="s">
        <v>42</v>
      </c>
      <c r="K629" t="s">
        <v>55</v>
      </c>
    </row>
    <row r="630" spans="1:11" x14ac:dyDescent="0.2">
      <c r="A630" t="s">
        <v>204</v>
      </c>
      <c r="B630" s="1">
        <v>44994</v>
      </c>
      <c r="C630" t="s">
        <v>54</v>
      </c>
      <c r="D630" t="s">
        <v>59</v>
      </c>
      <c r="E630" t="s">
        <v>48</v>
      </c>
      <c r="G630">
        <v>14</v>
      </c>
      <c r="I630">
        <v>0.01</v>
      </c>
      <c r="J630" t="s">
        <v>42</v>
      </c>
      <c r="K630" t="s">
        <v>55</v>
      </c>
    </row>
    <row r="631" spans="1:11" x14ac:dyDescent="0.2">
      <c r="A631" t="s">
        <v>89</v>
      </c>
      <c r="B631" s="1">
        <v>45111</v>
      </c>
      <c r="C631" t="s">
        <v>57</v>
      </c>
      <c r="D631" t="s">
        <v>59</v>
      </c>
      <c r="E631" t="s">
        <v>14</v>
      </c>
      <c r="H631">
        <v>632.89</v>
      </c>
      <c r="J631" t="s">
        <v>40</v>
      </c>
      <c r="K631" t="s">
        <v>17</v>
      </c>
    </row>
    <row r="632" spans="1:11" x14ac:dyDescent="0.2">
      <c r="A632" t="s">
        <v>224</v>
      </c>
      <c r="B632" s="1">
        <v>45252</v>
      </c>
      <c r="C632" t="s">
        <v>63</v>
      </c>
      <c r="D632" t="s">
        <v>19</v>
      </c>
      <c r="E632" t="s">
        <v>20</v>
      </c>
      <c r="F632" t="s">
        <v>15</v>
      </c>
      <c r="G632">
        <v>2</v>
      </c>
      <c r="J632" t="s">
        <v>42</v>
      </c>
      <c r="K632" t="s">
        <v>22</v>
      </c>
    </row>
    <row r="633" spans="1:11" x14ac:dyDescent="0.2">
      <c r="A633" t="s">
        <v>118</v>
      </c>
      <c r="B633" s="1">
        <v>45180</v>
      </c>
      <c r="C633" t="s">
        <v>12</v>
      </c>
      <c r="D633" t="s">
        <v>83</v>
      </c>
      <c r="E633" t="s">
        <v>14</v>
      </c>
      <c r="I633">
        <v>0.26</v>
      </c>
      <c r="J633" t="s">
        <v>52</v>
      </c>
      <c r="K633" t="s">
        <v>27</v>
      </c>
    </row>
    <row r="634" spans="1:11" x14ac:dyDescent="0.2">
      <c r="A634" t="s">
        <v>197</v>
      </c>
      <c r="B634" s="1">
        <v>45072</v>
      </c>
      <c r="C634" t="s">
        <v>51</v>
      </c>
      <c r="E634" t="s">
        <v>20</v>
      </c>
      <c r="I634">
        <v>0.06</v>
      </c>
      <c r="J634" t="s">
        <v>21</v>
      </c>
      <c r="K634" t="s">
        <v>17</v>
      </c>
    </row>
    <row r="635" spans="1:11" x14ac:dyDescent="0.2">
      <c r="A635" t="s">
        <v>143</v>
      </c>
      <c r="B635" s="1">
        <v>45140</v>
      </c>
      <c r="C635" t="s">
        <v>54</v>
      </c>
      <c r="D635" t="s">
        <v>33</v>
      </c>
      <c r="E635" t="s">
        <v>25</v>
      </c>
      <c r="F635" t="s">
        <v>39</v>
      </c>
      <c r="I635">
        <v>0.28999999999999998</v>
      </c>
      <c r="J635" t="s">
        <v>42</v>
      </c>
      <c r="K635" t="s">
        <v>55</v>
      </c>
    </row>
    <row r="636" spans="1:11" x14ac:dyDescent="0.2">
      <c r="A636" t="s">
        <v>213</v>
      </c>
      <c r="B636" s="1">
        <v>44981</v>
      </c>
      <c r="C636" t="s">
        <v>29</v>
      </c>
      <c r="D636" t="s">
        <v>33</v>
      </c>
      <c r="E636" t="s">
        <v>46</v>
      </c>
      <c r="F636" t="s">
        <v>26</v>
      </c>
      <c r="J636" t="s">
        <v>21</v>
      </c>
      <c r="K636" t="s">
        <v>27</v>
      </c>
    </row>
    <row r="637" spans="1:11" x14ac:dyDescent="0.2">
      <c r="A637" t="s">
        <v>74</v>
      </c>
      <c r="B637" s="1">
        <v>44949</v>
      </c>
      <c r="C637" t="s">
        <v>63</v>
      </c>
      <c r="D637" t="s">
        <v>59</v>
      </c>
      <c r="E637" t="s">
        <v>48</v>
      </c>
      <c r="G637">
        <v>5</v>
      </c>
      <c r="I637">
        <v>0.08</v>
      </c>
      <c r="K637" t="s">
        <v>27</v>
      </c>
    </row>
    <row r="638" spans="1:11" x14ac:dyDescent="0.2">
      <c r="A638" t="s">
        <v>163</v>
      </c>
      <c r="B638" s="1">
        <v>45235</v>
      </c>
      <c r="C638" t="s">
        <v>57</v>
      </c>
      <c r="D638" t="s">
        <v>19</v>
      </c>
      <c r="E638" t="s">
        <v>38</v>
      </c>
      <c r="F638" t="s">
        <v>34</v>
      </c>
      <c r="G638">
        <v>6</v>
      </c>
      <c r="I638">
        <v>0.03</v>
      </c>
      <c r="J638" t="s">
        <v>40</v>
      </c>
      <c r="K638" t="s">
        <v>22</v>
      </c>
    </row>
    <row r="639" spans="1:11" x14ac:dyDescent="0.2">
      <c r="A639" t="s">
        <v>191</v>
      </c>
      <c r="B639" s="1">
        <v>45133</v>
      </c>
      <c r="C639" t="s">
        <v>24</v>
      </c>
      <c r="D639" t="s">
        <v>13</v>
      </c>
      <c r="E639" t="s">
        <v>25</v>
      </c>
      <c r="F639" t="s">
        <v>15</v>
      </c>
      <c r="K639" t="s">
        <v>17</v>
      </c>
    </row>
    <row r="640" spans="1:11" x14ac:dyDescent="0.2">
      <c r="A640" t="s">
        <v>193</v>
      </c>
      <c r="B640" s="1">
        <v>45110</v>
      </c>
      <c r="C640" t="s">
        <v>54</v>
      </c>
      <c r="E640" t="s">
        <v>14</v>
      </c>
      <c r="J640" t="s">
        <v>21</v>
      </c>
      <c r="K640" t="s">
        <v>22</v>
      </c>
    </row>
    <row r="641" spans="1:11" x14ac:dyDescent="0.2">
      <c r="A641" t="s">
        <v>126</v>
      </c>
      <c r="B641" s="1">
        <v>45314</v>
      </c>
      <c r="C641" t="s">
        <v>57</v>
      </c>
      <c r="E641" t="s">
        <v>14</v>
      </c>
      <c r="H641">
        <v>1265.07</v>
      </c>
      <c r="J641" t="s">
        <v>42</v>
      </c>
      <c r="K641" t="s">
        <v>35</v>
      </c>
    </row>
    <row r="642" spans="1:11" x14ac:dyDescent="0.2">
      <c r="A642" t="s">
        <v>226</v>
      </c>
      <c r="B642" s="1">
        <v>45278</v>
      </c>
      <c r="C642" t="s">
        <v>51</v>
      </c>
      <c r="D642" t="s">
        <v>83</v>
      </c>
      <c r="E642" t="s">
        <v>44</v>
      </c>
      <c r="H642">
        <v>941.76</v>
      </c>
      <c r="J642" t="s">
        <v>52</v>
      </c>
      <c r="K642" t="s">
        <v>35</v>
      </c>
    </row>
    <row r="643" spans="1:11" x14ac:dyDescent="0.2">
      <c r="A643" t="s">
        <v>88</v>
      </c>
      <c r="B643" s="1">
        <v>45277</v>
      </c>
      <c r="C643" t="s">
        <v>24</v>
      </c>
      <c r="E643" t="s">
        <v>20</v>
      </c>
      <c r="I643">
        <v>0.02</v>
      </c>
      <c r="J643" t="s">
        <v>21</v>
      </c>
      <c r="K643" t="s">
        <v>27</v>
      </c>
    </row>
    <row r="644" spans="1:11" x14ac:dyDescent="0.2">
      <c r="A644" t="s">
        <v>80</v>
      </c>
      <c r="B644" s="1">
        <v>45144</v>
      </c>
      <c r="C644" t="s">
        <v>57</v>
      </c>
      <c r="D644" t="s">
        <v>19</v>
      </c>
      <c r="E644" t="s">
        <v>38</v>
      </c>
      <c r="H644">
        <v>517.16999999999996</v>
      </c>
      <c r="I644">
        <v>0.23</v>
      </c>
      <c r="J644" t="s">
        <v>16</v>
      </c>
      <c r="K644" t="s">
        <v>22</v>
      </c>
    </row>
    <row r="645" spans="1:11" x14ac:dyDescent="0.2">
      <c r="A645" t="s">
        <v>75</v>
      </c>
      <c r="B645" s="1">
        <v>45020</v>
      </c>
      <c r="C645" t="s">
        <v>57</v>
      </c>
      <c r="D645" t="s">
        <v>19</v>
      </c>
      <c r="E645" t="s">
        <v>46</v>
      </c>
      <c r="F645" t="s">
        <v>39</v>
      </c>
      <c r="J645" t="s">
        <v>21</v>
      </c>
      <c r="K645" t="s">
        <v>55</v>
      </c>
    </row>
    <row r="646" spans="1:11" x14ac:dyDescent="0.2">
      <c r="A646" t="s">
        <v>216</v>
      </c>
      <c r="B646" s="1">
        <v>45022</v>
      </c>
      <c r="C646" t="s">
        <v>37</v>
      </c>
      <c r="D646" t="s">
        <v>33</v>
      </c>
      <c r="E646" t="s">
        <v>46</v>
      </c>
      <c r="J646" t="s">
        <v>16</v>
      </c>
      <c r="K646" t="s">
        <v>27</v>
      </c>
    </row>
    <row r="647" spans="1:11" x14ac:dyDescent="0.2">
      <c r="A647" t="s">
        <v>187</v>
      </c>
      <c r="B647" s="1">
        <v>45262</v>
      </c>
      <c r="C647" t="s">
        <v>63</v>
      </c>
      <c r="D647" t="s">
        <v>83</v>
      </c>
      <c r="E647" t="s">
        <v>48</v>
      </c>
      <c r="F647" t="s">
        <v>39</v>
      </c>
      <c r="J647" t="s">
        <v>52</v>
      </c>
      <c r="K647" t="s">
        <v>22</v>
      </c>
    </row>
    <row r="648" spans="1:11" x14ac:dyDescent="0.2">
      <c r="A648" t="s">
        <v>79</v>
      </c>
      <c r="B648" s="1">
        <v>44971</v>
      </c>
      <c r="C648" t="s">
        <v>51</v>
      </c>
      <c r="D648" t="s">
        <v>33</v>
      </c>
      <c r="E648" t="s">
        <v>46</v>
      </c>
      <c r="F648" t="s">
        <v>15</v>
      </c>
      <c r="G648">
        <v>4</v>
      </c>
      <c r="H648">
        <v>1395.1</v>
      </c>
      <c r="I648">
        <v>0.26</v>
      </c>
      <c r="J648" t="s">
        <v>42</v>
      </c>
      <c r="K648" t="s">
        <v>35</v>
      </c>
    </row>
    <row r="649" spans="1:11" x14ac:dyDescent="0.2">
      <c r="A649" t="s">
        <v>147</v>
      </c>
      <c r="B649" s="1">
        <v>45050</v>
      </c>
      <c r="C649" t="s">
        <v>57</v>
      </c>
      <c r="E649" t="s">
        <v>48</v>
      </c>
      <c r="G649">
        <v>7</v>
      </c>
      <c r="J649" t="s">
        <v>16</v>
      </c>
      <c r="K649" t="s">
        <v>27</v>
      </c>
    </row>
    <row r="650" spans="1:11" x14ac:dyDescent="0.2">
      <c r="A650" t="s">
        <v>114</v>
      </c>
      <c r="B650" s="1">
        <v>45005</v>
      </c>
      <c r="C650" t="s">
        <v>63</v>
      </c>
      <c r="D650" t="s">
        <v>83</v>
      </c>
      <c r="E650" t="s">
        <v>38</v>
      </c>
      <c r="F650" t="s">
        <v>26</v>
      </c>
      <c r="J650" t="s">
        <v>16</v>
      </c>
      <c r="K650" t="s">
        <v>55</v>
      </c>
    </row>
    <row r="651" spans="1:11" x14ac:dyDescent="0.2">
      <c r="A651" t="s">
        <v>190</v>
      </c>
      <c r="B651" s="1">
        <v>44979</v>
      </c>
      <c r="C651" t="s">
        <v>57</v>
      </c>
      <c r="D651" t="s">
        <v>83</v>
      </c>
      <c r="E651" t="s">
        <v>25</v>
      </c>
      <c r="F651" t="s">
        <v>39</v>
      </c>
      <c r="J651" t="s">
        <v>42</v>
      </c>
      <c r="K651" t="s">
        <v>17</v>
      </c>
    </row>
    <row r="652" spans="1:11" x14ac:dyDescent="0.2">
      <c r="A652" t="s">
        <v>213</v>
      </c>
      <c r="B652" s="1">
        <v>45298</v>
      </c>
      <c r="C652" t="s">
        <v>63</v>
      </c>
      <c r="D652" t="s">
        <v>33</v>
      </c>
      <c r="E652" t="s">
        <v>48</v>
      </c>
      <c r="F652" t="s">
        <v>26</v>
      </c>
      <c r="G652">
        <v>17</v>
      </c>
      <c r="K652" t="s">
        <v>22</v>
      </c>
    </row>
    <row r="653" spans="1:11" x14ac:dyDescent="0.2">
      <c r="A653" t="s">
        <v>205</v>
      </c>
      <c r="B653" s="1">
        <v>44986</v>
      </c>
      <c r="C653" t="s">
        <v>63</v>
      </c>
      <c r="D653" t="s">
        <v>31</v>
      </c>
      <c r="E653" t="s">
        <v>48</v>
      </c>
      <c r="F653" t="s">
        <v>34</v>
      </c>
      <c r="H653">
        <v>878.1</v>
      </c>
      <c r="I653">
        <v>0.09</v>
      </c>
      <c r="J653" t="s">
        <v>42</v>
      </c>
      <c r="K653" t="s">
        <v>55</v>
      </c>
    </row>
    <row r="654" spans="1:11" x14ac:dyDescent="0.2">
      <c r="A654" t="s">
        <v>183</v>
      </c>
      <c r="B654" s="1">
        <v>45045</v>
      </c>
      <c r="C654" t="s">
        <v>37</v>
      </c>
      <c r="D654" t="s">
        <v>31</v>
      </c>
      <c r="E654" t="s">
        <v>48</v>
      </c>
      <c r="F654" t="s">
        <v>34</v>
      </c>
      <c r="H654">
        <v>1317.35</v>
      </c>
      <c r="K654" t="s">
        <v>22</v>
      </c>
    </row>
    <row r="655" spans="1:11" x14ac:dyDescent="0.2">
      <c r="A655" t="s">
        <v>140</v>
      </c>
      <c r="B655" s="1">
        <v>45271</v>
      </c>
      <c r="C655" t="s">
        <v>29</v>
      </c>
      <c r="E655" t="s">
        <v>38</v>
      </c>
      <c r="F655" t="s">
        <v>15</v>
      </c>
      <c r="G655">
        <v>20</v>
      </c>
      <c r="J655" t="s">
        <v>40</v>
      </c>
      <c r="K655" t="s">
        <v>35</v>
      </c>
    </row>
    <row r="656" spans="1:11" x14ac:dyDescent="0.2">
      <c r="A656" t="s">
        <v>217</v>
      </c>
      <c r="B656" s="1">
        <v>45007</v>
      </c>
      <c r="C656" t="s">
        <v>63</v>
      </c>
      <c r="D656" t="s">
        <v>19</v>
      </c>
      <c r="E656" t="s">
        <v>25</v>
      </c>
      <c r="F656" t="s">
        <v>39</v>
      </c>
      <c r="I656">
        <v>0.01</v>
      </c>
      <c r="J656" t="s">
        <v>52</v>
      </c>
      <c r="K656" t="s">
        <v>55</v>
      </c>
    </row>
    <row r="657" spans="1:11" x14ac:dyDescent="0.2">
      <c r="A657" t="s">
        <v>230</v>
      </c>
      <c r="B657" s="1">
        <v>45273</v>
      </c>
      <c r="C657" t="s">
        <v>51</v>
      </c>
      <c r="D657" t="s">
        <v>33</v>
      </c>
      <c r="E657" t="s">
        <v>25</v>
      </c>
      <c r="G657">
        <v>2</v>
      </c>
      <c r="H657">
        <v>682.09</v>
      </c>
      <c r="I657">
        <v>0.19</v>
      </c>
      <c r="J657" t="s">
        <v>21</v>
      </c>
      <c r="K657" t="s">
        <v>35</v>
      </c>
    </row>
    <row r="658" spans="1:11" x14ac:dyDescent="0.2">
      <c r="A658" t="s">
        <v>214</v>
      </c>
      <c r="B658" s="1">
        <v>45059</v>
      </c>
      <c r="C658" t="s">
        <v>29</v>
      </c>
      <c r="E658" t="s">
        <v>14</v>
      </c>
      <c r="F658" t="s">
        <v>26</v>
      </c>
      <c r="K658" t="s">
        <v>27</v>
      </c>
    </row>
    <row r="659" spans="1:11" x14ac:dyDescent="0.2">
      <c r="A659" t="s">
        <v>157</v>
      </c>
      <c r="B659" s="1">
        <v>44952</v>
      </c>
      <c r="C659" t="s">
        <v>63</v>
      </c>
      <c r="E659" t="s">
        <v>38</v>
      </c>
      <c r="F659" t="s">
        <v>26</v>
      </c>
      <c r="H659">
        <v>1223.22</v>
      </c>
      <c r="I659">
        <v>0.25</v>
      </c>
      <c r="J659" t="s">
        <v>21</v>
      </c>
      <c r="K659" t="s">
        <v>27</v>
      </c>
    </row>
    <row r="660" spans="1:11" x14ac:dyDescent="0.2">
      <c r="A660" t="s">
        <v>114</v>
      </c>
      <c r="B660" s="1">
        <v>45249</v>
      </c>
      <c r="C660" t="s">
        <v>54</v>
      </c>
      <c r="E660" t="s">
        <v>20</v>
      </c>
      <c r="F660" t="s">
        <v>34</v>
      </c>
      <c r="K660" t="s">
        <v>27</v>
      </c>
    </row>
    <row r="661" spans="1:11" x14ac:dyDescent="0.2">
      <c r="A661" t="s">
        <v>50</v>
      </c>
      <c r="B661" s="1">
        <v>45258</v>
      </c>
      <c r="C661" t="s">
        <v>29</v>
      </c>
      <c r="D661" t="s">
        <v>59</v>
      </c>
      <c r="E661" t="s">
        <v>25</v>
      </c>
      <c r="F661" t="s">
        <v>15</v>
      </c>
      <c r="G661">
        <v>4</v>
      </c>
      <c r="I661">
        <v>0.23</v>
      </c>
      <c r="J661" t="s">
        <v>40</v>
      </c>
      <c r="K661" t="s">
        <v>22</v>
      </c>
    </row>
    <row r="662" spans="1:11" x14ac:dyDescent="0.2">
      <c r="A662" t="s">
        <v>216</v>
      </c>
      <c r="B662" s="1">
        <v>45073</v>
      </c>
      <c r="C662" t="s">
        <v>51</v>
      </c>
      <c r="D662" t="s">
        <v>19</v>
      </c>
      <c r="E662" t="s">
        <v>14</v>
      </c>
      <c r="F662" t="s">
        <v>34</v>
      </c>
      <c r="H662">
        <v>1262.5899999999999</v>
      </c>
      <c r="J662" t="s">
        <v>42</v>
      </c>
      <c r="K662" t="s">
        <v>35</v>
      </c>
    </row>
    <row r="663" spans="1:11" x14ac:dyDescent="0.2">
      <c r="A663" t="s">
        <v>138</v>
      </c>
      <c r="B663" s="1">
        <v>45146</v>
      </c>
      <c r="C663" t="s">
        <v>57</v>
      </c>
      <c r="D663" t="s">
        <v>83</v>
      </c>
      <c r="E663" t="s">
        <v>38</v>
      </c>
      <c r="G663">
        <v>12</v>
      </c>
      <c r="H663">
        <v>890.73</v>
      </c>
      <c r="J663" t="s">
        <v>16</v>
      </c>
      <c r="K663" t="s">
        <v>27</v>
      </c>
    </row>
    <row r="664" spans="1:11" x14ac:dyDescent="0.2">
      <c r="A664" t="s">
        <v>150</v>
      </c>
      <c r="B664" s="1">
        <v>45088</v>
      </c>
      <c r="C664" t="s">
        <v>57</v>
      </c>
      <c r="E664" t="s">
        <v>20</v>
      </c>
      <c r="F664" t="s">
        <v>39</v>
      </c>
      <c r="I664">
        <v>0.28000000000000003</v>
      </c>
      <c r="J664" t="s">
        <v>21</v>
      </c>
      <c r="K664" t="s">
        <v>27</v>
      </c>
    </row>
    <row r="665" spans="1:11" x14ac:dyDescent="0.2">
      <c r="A665" t="s">
        <v>235</v>
      </c>
      <c r="B665" s="1">
        <v>45292</v>
      </c>
      <c r="C665" t="s">
        <v>24</v>
      </c>
      <c r="D665" t="s">
        <v>83</v>
      </c>
      <c r="E665" t="s">
        <v>38</v>
      </c>
      <c r="J665" t="s">
        <v>21</v>
      </c>
      <c r="K665" t="s">
        <v>17</v>
      </c>
    </row>
    <row r="666" spans="1:11" x14ac:dyDescent="0.2">
      <c r="A666" t="s">
        <v>203</v>
      </c>
      <c r="B666" s="1">
        <v>45285</v>
      </c>
      <c r="C666" t="s">
        <v>57</v>
      </c>
      <c r="D666" t="s">
        <v>83</v>
      </c>
      <c r="E666" t="s">
        <v>48</v>
      </c>
      <c r="F666" t="s">
        <v>15</v>
      </c>
      <c r="K666" t="s">
        <v>22</v>
      </c>
    </row>
    <row r="667" spans="1:11" x14ac:dyDescent="0.2">
      <c r="A667" t="s">
        <v>129</v>
      </c>
      <c r="B667" s="1">
        <v>45028</v>
      </c>
      <c r="C667" t="s">
        <v>24</v>
      </c>
      <c r="D667" t="s">
        <v>19</v>
      </c>
      <c r="E667" t="s">
        <v>46</v>
      </c>
      <c r="J667" t="s">
        <v>21</v>
      </c>
      <c r="K667" t="s">
        <v>55</v>
      </c>
    </row>
    <row r="668" spans="1:11" x14ac:dyDescent="0.2">
      <c r="A668" t="s">
        <v>93</v>
      </c>
      <c r="B668" s="1">
        <v>44974</v>
      </c>
      <c r="C668" t="s">
        <v>24</v>
      </c>
      <c r="D668" t="s">
        <v>31</v>
      </c>
      <c r="E668" t="s">
        <v>14</v>
      </c>
      <c r="F668" t="s">
        <v>15</v>
      </c>
      <c r="G668">
        <v>1</v>
      </c>
      <c r="I668">
        <v>0.18</v>
      </c>
      <c r="J668" t="s">
        <v>52</v>
      </c>
      <c r="K668" t="s">
        <v>22</v>
      </c>
    </row>
    <row r="669" spans="1:11" x14ac:dyDescent="0.2">
      <c r="A669" t="s">
        <v>91</v>
      </c>
      <c r="B669" s="1">
        <v>44983</v>
      </c>
      <c r="C669" t="s">
        <v>12</v>
      </c>
      <c r="E669" t="s">
        <v>14</v>
      </c>
      <c r="F669" t="s">
        <v>34</v>
      </c>
      <c r="J669" t="s">
        <v>52</v>
      </c>
      <c r="K669" t="s">
        <v>17</v>
      </c>
    </row>
    <row r="670" spans="1:11" x14ac:dyDescent="0.2">
      <c r="A670" t="s">
        <v>102</v>
      </c>
      <c r="B670" s="1">
        <v>44929</v>
      </c>
      <c r="C670" t="s">
        <v>63</v>
      </c>
      <c r="D670" t="s">
        <v>59</v>
      </c>
      <c r="E670" t="s">
        <v>20</v>
      </c>
      <c r="J670" t="s">
        <v>40</v>
      </c>
      <c r="K670" t="s">
        <v>55</v>
      </c>
    </row>
    <row r="671" spans="1:11" x14ac:dyDescent="0.2">
      <c r="A671" t="s">
        <v>173</v>
      </c>
      <c r="B671" s="1">
        <v>45072</v>
      </c>
      <c r="C671" t="s">
        <v>51</v>
      </c>
      <c r="D671" t="s">
        <v>13</v>
      </c>
      <c r="E671" t="s">
        <v>38</v>
      </c>
      <c r="G671">
        <v>8</v>
      </c>
      <c r="J671" t="s">
        <v>42</v>
      </c>
      <c r="K671" t="s">
        <v>27</v>
      </c>
    </row>
    <row r="672" spans="1:11" x14ac:dyDescent="0.2">
      <c r="A672" t="s">
        <v>203</v>
      </c>
      <c r="B672" s="1">
        <v>45291</v>
      </c>
      <c r="C672" t="s">
        <v>57</v>
      </c>
      <c r="E672" t="s">
        <v>38</v>
      </c>
      <c r="F672" t="s">
        <v>26</v>
      </c>
      <c r="G672">
        <v>3</v>
      </c>
      <c r="H672">
        <v>855.52</v>
      </c>
      <c r="J672" t="s">
        <v>16</v>
      </c>
      <c r="K672" t="s">
        <v>55</v>
      </c>
    </row>
    <row r="673" spans="1:11" x14ac:dyDescent="0.2">
      <c r="A673" t="s">
        <v>218</v>
      </c>
      <c r="B673" s="1">
        <v>45196</v>
      </c>
      <c r="C673" t="s">
        <v>57</v>
      </c>
      <c r="D673" t="s">
        <v>31</v>
      </c>
      <c r="E673" t="s">
        <v>44</v>
      </c>
      <c r="K673" t="s">
        <v>22</v>
      </c>
    </row>
    <row r="674" spans="1:11" x14ac:dyDescent="0.2">
      <c r="A674" t="s">
        <v>210</v>
      </c>
      <c r="B674" s="1">
        <v>45140</v>
      </c>
      <c r="C674" t="s">
        <v>51</v>
      </c>
      <c r="D674" t="s">
        <v>33</v>
      </c>
      <c r="E674" t="s">
        <v>44</v>
      </c>
      <c r="F674" t="s">
        <v>15</v>
      </c>
      <c r="J674" t="s">
        <v>16</v>
      </c>
      <c r="K674" t="s">
        <v>35</v>
      </c>
    </row>
    <row r="675" spans="1:11" x14ac:dyDescent="0.2">
      <c r="A675" t="s">
        <v>125</v>
      </c>
      <c r="B675" s="1">
        <v>45169</v>
      </c>
      <c r="C675" t="s">
        <v>12</v>
      </c>
      <c r="D675" t="s">
        <v>13</v>
      </c>
      <c r="E675" t="s">
        <v>20</v>
      </c>
      <c r="G675">
        <v>12</v>
      </c>
      <c r="J675" t="s">
        <v>21</v>
      </c>
      <c r="K675" t="s">
        <v>55</v>
      </c>
    </row>
    <row r="676" spans="1:11" x14ac:dyDescent="0.2">
      <c r="A676" t="s">
        <v>200</v>
      </c>
      <c r="B676" s="1">
        <v>45194</v>
      </c>
      <c r="C676" t="s">
        <v>51</v>
      </c>
      <c r="D676" t="s">
        <v>19</v>
      </c>
      <c r="E676" t="s">
        <v>14</v>
      </c>
      <c r="F676" t="s">
        <v>34</v>
      </c>
      <c r="H676">
        <v>595.02</v>
      </c>
      <c r="I676">
        <v>0.24</v>
      </c>
      <c r="J676" t="s">
        <v>21</v>
      </c>
      <c r="K676" t="s">
        <v>22</v>
      </c>
    </row>
    <row r="677" spans="1:11" x14ac:dyDescent="0.2">
      <c r="A677" t="s">
        <v>208</v>
      </c>
      <c r="B677" s="1">
        <v>45083</v>
      </c>
      <c r="C677" t="s">
        <v>24</v>
      </c>
      <c r="D677" t="s">
        <v>33</v>
      </c>
      <c r="E677" t="s">
        <v>20</v>
      </c>
      <c r="F677" t="s">
        <v>39</v>
      </c>
      <c r="G677">
        <v>1</v>
      </c>
      <c r="H677">
        <v>1099.5999999999999</v>
      </c>
      <c r="J677" t="s">
        <v>42</v>
      </c>
      <c r="K677" t="s">
        <v>17</v>
      </c>
    </row>
    <row r="678" spans="1:11" x14ac:dyDescent="0.2">
      <c r="A678" t="s">
        <v>90</v>
      </c>
      <c r="B678" s="1">
        <v>45216</v>
      </c>
      <c r="C678" t="s">
        <v>63</v>
      </c>
      <c r="D678" t="s">
        <v>59</v>
      </c>
      <c r="E678" t="s">
        <v>25</v>
      </c>
      <c r="F678" t="s">
        <v>39</v>
      </c>
      <c r="H678">
        <v>1669.03</v>
      </c>
      <c r="K678" t="s">
        <v>22</v>
      </c>
    </row>
    <row r="679" spans="1:11" x14ac:dyDescent="0.2">
      <c r="A679" t="s">
        <v>106</v>
      </c>
      <c r="B679" s="1">
        <v>45157</v>
      </c>
      <c r="C679" t="s">
        <v>63</v>
      </c>
      <c r="D679" t="s">
        <v>33</v>
      </c>
      <c r="E679" t="s">
        <v>25</v>
      </c>
      <c r="F679" t="s">
        <v>34</v>
      </c>
      <c r="J679" t="s">
        <v>52</v>
      </c>
      <c r="K679" t="s">
        <v>17</v>
      </c>
    </row>
    <row r="680" spans="1:11" x14ac:dyDescent="0.2">
      <c r="A680" t="s">
        <v>153</v>
      </c>
      <c r="B680" s="1">
        <v>45270</v>
      </c>
      <c r="C680" t="s">
        <v>63</v>
      </c>
      <c r="D680" t="s">
        <v>13</v>
      </c>
      <c r="E680" t="s">
        <v>14</v>
      </c>
      <c r="F680" t="s">
        <v>26</v>
      </c>
      <c r="J680" t="s">
        <v>52</v>
      </c>
      <c r="K680" t="s">
        <v>17</v>
      </c>
    </row>
    <row r="681" spans="1:11" x14ac:dyDescent="0.2">
      <c r="A681" t="s">
        <v>226</v>
      </c>
      <c r="B681" s="1">
        <v>44990</v>
      </c>
      <c r="C681" t="s">
        <v>54</v>
      </c>
      <c r="D681" t="s">
        <v>33</v>
      </c>
      <c r="E681" t="s">
        <v>44</v>
      </c>
      <c r="G681">
        <v>19</v>
      </c>
      <c r="J681" t="s">
        <v>21</v>
      </c>
      <c r="K681" t="s">
        <v>27</v>
      </c>
    </row>
    <row r="682" spans="1:11" x14ac:dyDescent="0.2">
      <c r="A682" t="s">
        <v>131</v>
      </c>
      <c r="B682" s="1">
        <v>45264</v>
      </c>
      <c r="C682" t="s">
        <v>51</v>
      </c>
      <c r="D682" t="s">
        <v>19</v>
      </c>
      <c r="E682" t="s">
        <v>14</v>
      </c>
      <c r="F682" t="s">
        <v>15</v>
      </c>
      <c r="J682" t="s">
        <v>21</v>
      </c>
      <c r="K682" t="s">
        <v>55</v>
      </c>
    </row>
    <row r="683" spans="1:11" x14ac:dyDescent="0.2">
      <c r="A683" t="s">
        <v>98</v>
      </c>
      <c r="B683" s="1">
        <v>45228</v>
      </c>
      <c r="C683" t="s">
        <v>12</v>
      </c>
      <c r="D683" t="s">
        <v>83</v>
      </c>
      <c r="E683" t="s">
        <v>25</v>
      </c>
      <c r="F683" t="s">
        <v>26</v>
      </c>
      <c r="H683">
        <v>369.21</v>
      </c>
      <c r="J683" t="s">
        <v>42</v>
      </c>
      <c r="K683" t="s">
        <v>55</v>
      </c>
    </row>
    <row r="684" spans="1:11" x14ac:dyDescent="0.2">
      <c r="A684" t="s">
        <v>126</v>
      </c>
      <c r="B684" s="1">
        <v>44985</v>
      </c>
      <c r="C684" t="s">
        <v>54</v>
      </c>
      <c r="D684" t="s">
        <v>31</v>
      </c>
      <c r="E684" t="s">
        <v>20</v>
      </c>
      <c r="F684" t="s">
        <v>34</v>
      </c>
      <c r="G684">
        <v>5</v>
      </c>
      <c r="H684">
        <v>518.54999999999995</v>
      </c>
      <c r="K684" t="s">
        <v>35</v>
      </c>
    </row>
    <row r="685" spans="1:11" x14ac:dyDescent="0.2">
      <c r="A685" t="s">
        <v>62</v>
      </c>
      <c r="B685" s="1">
        <v>45241</v>
      </c>
      <c r="C685" t="s">
        <v>29</v>
      </c>
      <c r="D685" t="s">
        <v>33</v>
      </c>
      <c r="E685" t="s">
        <v>46</v>
      </c>
      <c r="F685" t="s">
        <v>26</v>
      </c>
      <c r="H685">
        <v>206.5</v>
      </c>
      <c r="J685" t="s">
        <v>52</v>
      </c>
      <c r="K685" t="s">
        <v>22</v>
      </c>
    </row>
    <row r="686" spans="1:11" x14ac:dyDescent="0.2">
      <c r="A686" t="s">
        <v>131</v>
      </c>
      <c r="B686" s="1">
        <v>44953</v>
      </c>
      <c r="C686" t="s">
        <v>37</v>
      </c>
      <c r="D686" t="s">
        <v>33</v>
      </c>
      <c r="E686" t="s">
        <v>25</v>
      </c>
      <c r="G686">
        <v>19</v>
      </c>
      <c r="I686">
        <v>0.12</v>
      </c>
      <c r="J686" t="s">
        <v>52</v>
      </c>
      <c r="K686" t="s">
        <v>27</v>
      </c>
    </row>
    <row r="687" spans="1:11" x14ac:dyDescent="0.2">
      <c r="A687" t="s">
        <v>169</v>
      </c>
      <c r="B687" s="1">
        <v>45164</v>
      </c>
      <c r="C687" t="s">
        <v>57</v>
      </c>
      <c r="D687" t="s">
        <v>19</v>
      </c>
      <c r="E687" t="s">
        <v>38</v>
      </c>
      <c r="F687" t="s">
        <v>26</v>
      </c>
      <c r="H687">
        <v>475.14</v>
      </c>
      <c r="K687" t="s">
        <v>27</v>
      </c>
    </row>
    <row r="688" spans="1:11" x14ac:dyDescent="0.2">
      <c r="A688" t="s">
        <v>58</v>
      </c>
      <c r="B688" s="1">
        <v>45317</v>
      </c>
      <c r="C688" t="s">
        <v>51</v>
      </c>
      <c r="D688" t="s">
        <v>59</v>
      </c>
      <c r="E688" t="s">
        <v>44</v>
      </c>
      <c r="F688" t="s">
        <v>39</v>
      </c>
      <c r="G688">
        <v>15</v>
      </c>
      <c r="I688">
        <v>0.06</v>
      </c>
      <c r="J688" t="s">
        <v>52</v>
      </c>
      <c r="K688" t="s">
        <v>17</v>
      </c>
    </row>
    <row r="689" spans="1:11" x14ac:dyDescent="0.2">
      <c r="A689" t="s">
        <v>187</v>
      </c>
      <c r="B689" s="1">
        <v>45327</v>
      </c>
      <c r="C689" t="s">
        <v>37</v>
      </c>
      <c r="D689" t="s">
        <v>31</v>
      </c>
      <c r="E689" t="s">
        <v>38</v>
      </c>
      <c r="G689">
        <v>15</v>
      </c>
      <c r="J689" t="s">
        <v>52</v>
      </c>
      <c r="K689" t="s">
        <v>35</v>
      </c>
    </row>
    <row r="690" spans="1:11" x14ac:dyDescent="0.2">
      <c r="A690" t="s">
        <v>49</v>
      </c>
      <c r="B690" s="1">
        <v>44957</v>
      </c>
      <c r="C690" t="s">
        <v>63</v>
      </c>
      <c r="D690" t="s">
        <v>59</v>
      </c>
      <c r="E690" t="s">
        <v>44</v>
      </c>
      <c r="F690" t="s">
        <v>34</v>
      </c>
      <c r="H690">
        <v>1686.45</v>
      </c>
      <c r="J690" t="s">
        <v>52</v>
      </c>
      <c r="K690" t="s">
        <v>27</v>
      </c>
    </row>
    <row r="691" spans="1:11" x14ac:dyDescent="0.2">
      <c r="A691" t="s">
        <v>72</v>
      </c>
      <c r="B691" s="1">
        <v>45305</v>
      </c>
      <c r="C691" t="s">
        <v>54</v>
      </c>
      <c r="D691" t="s">
        <v>59</v>
      </c>
      <c r="E691" t="s">
        <v>46</v>
      </c>
      <c r="F691" t="s">
        <v>39</v>
      </c>
      <c r="G691">
        <v>4</v>
      </c>
      <c r="I691">
        <v>0.26</v>
      </c>
      <c r="J691" t="s">
        <v>21</v>
      </c>
      <c r="K691" t="s">
        <v>17</v>
      </c>
    </row>
    <row r="692" spans="1:11" x14ac:dyDescent="0.2">
      <c r="A692" t="s">
        <v>169</v>
      </c>
      <c r="B692" s="1">
        <v>45276</v>
      </c>
      <c r="C692" t="s">
        <v>29</v>
      </c>
      <c r="D692" t="s">
        <v>13</v>
      </c>
      <c r="E692" t="s">
        <v>14</v>
      </c>
      <c r="F692" t="s">
        <v>39</v>
      </c>
      <c r="G692">
        <v>9</v>
      </c>
      <c r="J692" t="s">
        <v>21</v>
      </c>
      <c r="K692" t="s">
        <v>55</v>
      </c>
    </row>
    <row r="693" spans="1:11" x14ac:dyDescent="0.2">
      <c r="A693" t="s">
        <v>156</v>
      </c>
      <c r="B693" s="1">
        <v>45281</v>
      </c>
      <c r="C693" t="s">
        <v>51</v>
      </c>
      <c r="D693" t="s">
        <v>13</v>
      </c>
      <c r="E693" t="s">
        <v>46</v>
      </c>
      <c r="G693">
        <v>16</v>
      </c>
      <c r="K693" t="s">
        <v>22</v>
      </c>
    </row>
    <row r="694" spans="1:11" x14ac:dyDescent="0.2">
      <c r="A694" t="s">
        <v>99</v>
      </c>
      <c r="B694" s="1">
        <v>45128</v>
      </c>
      <c r="C694" t="s">
        <v>54</v>
      </c>
      <c r="E694" t="s">
        <v>48</v>
      </c>
      <c r="F694" t="s">
        <v>26</v>
      </c>
      <c r="G694">
        <v>18</v>
      </c>
      <c r="I694">
        <v>0.13</v>
      </c>
      <c r="J694" t="s">
        <v>52</v>
      </c>
      <c r="K694" t="s">
        <v>22</v>
      </c>
    </row>
    <row r="695" spans="1:11" x14ac:dyDescent="0.2">
      <c r="A695" t="s">
        <v>109</v>
      </c>
      <c r="B695" s="1">
        <v>45110</v>
      </c>
      <c r="C695" t="s">
        <v>57</v>
      </c>
      <c r="D695" t="s">
        <v>33</v>
      </c>
      <c r="E695" t="s">
        <v>25</v>
      </c>
      <c r="F695" t="s">
        <v>26</v>
      </c>
      <c r="H695">
        <v>747.26</v>
      </c>
      <c r="I695">
        <v>0.13</v>
      </c>
      <c r="K695" t="s">
        <v>27</v>
      </c>
    </row>
    <row r="696" spans="1:11" x14ac:dyDescent="0.2">
      <c r="A696" t="s">
        <v>106</v>
      </c>
      <c r="B696" s="1">
        <v>45070</v>
      </c>
      <c r="C696" t="s">
        <v>29</v>
      </c>
      <c r="D696" t="s">
        <v>33</v>
      </c>
      <c r="E696" t="s">
        <v>46</v>
      </c>
      <c r="I696">
        <v>0.28999999999999998</v>
      </c>
      <c r="J696" t="s">
        <v>52</v>
      </c>
      <c r="K696" t="s">
        <v>22</v>
      </c>
    </row>
    <row r="697" spans="1:11" x14ac:dyDescent="0.2">
      <c r="A697" t="s">
        <v>157</v>
      </c>
      <c r="B697" s="1">
        <v>45288</v>
      </c>
      <c r="C697" t="s">
        <v>37</v>
      </c>
      <c r="D697" t="s">
        <v>19</v>
      </c>
      <c r="E697" t="s">
        <v>20</v>
      </c>
      <c r="F697" t="s">
        <v>39</v>
      </c>
      <c r="I697">
        <v>0.05</v>
      </c>
      <c r="K697" t="s">
        <v>17</v>
      </c>
    </row>
    <row r="698" spans="1:11" x14ac:dyDescent="0.2">
      <c r="A698" t="s">
        <v>155</v>
      </c>
      <c r="B698" s="1">
        <v>45276</v>
      </c>
      <c r="C698" t="s">
        <v>51</v>
      </c>
      <c r="D698" t="s">
        <v>19</v>
      </c>
      <c r="E698" t="s">
        <v>44</v>
      </c>
      <c r="F698" t="s">
        <v>15</v>
      </c>
      <c r="G698">
        <v>3</v>
      </c>
      <c r="K698" t="s">
        <v>55</v>
      </c>
    </row>
    <row r="699" spans="1:11" x14ac:dyDescent="0.2">
      <c r="A699" t="s">
        <v>231</v>
      </c>
      <c r="B699" s="1">
        <v>45274</v>
      </c>
      <c r="C699" t="s">
        <v>12</v>
      </c>
      <c r="D699" t="s">
        <v>13</v>
      </c>
      <c r="E699" t="s">
        <v>48</v>
      </c>
      <c r="K699" t="s">
        <v>27</v>
      </c>
    </row>
    <row r="700" spans="1:11" x14ac:dyDescent="0.2">
      <c r="A700" t="s">
        <v>105</v>
      </c>
      <c r="B700" s="1">
        <v>45148</v>
      </c>
      <c r="C700" t="s">
        <v>57</v>
      </c>
      <c r="D700" t="s">
        <v>59</v>
      </c>
      <c r="E700" t="s">
        <v>46</v>
      </c>
      <c r="H700">
        <v>729.33</v>
      </c>
      <c r="I700">
        <v>0.27</v>
      </c>
      <c r="J700" t="s">
        <v>16</v>
      </c>
      <c r="K700" t="s">
        <v>55</v>
      </c>
    </row>
    <row r="701" spans="1:11" x14ac:dyDescent="0.2">
      <c r="A701" t="s">
        <v>212</v>
      </c>
      <c r="B701" s="1">
        <v>45199</v>
      </c>
      <c r="C701" t="s">
        <v>63</v>
      </c>
      <c r="D701" t="s">
        <v>59</v>
      </c>
      <c r="E701" t="s">
        <v>46</v>
      </c>
      <c r="F701" t="s">
        <v>39</v>
      </c>
      <c r="J701" t="s">
        <v>40</v>
      </c>
      <c r="K701" t="s">
        <v>22</v>
      </c>
    </row>
    <row r="702" spans="1:11" x14ac:dyDescent="0.2">
      <c r="A702" t="s">
        <v>112</v>
      </c>
      <c r="B702" s="1">
        <v>45054</v>
      </c>
      <c r="C702" t="s">
        <v>37</v>
      </c>
      <c r="D702" t="s">
        <v>33</v>
      </c>
      <c r="E702" t="s">
        <v>14</v>
      </c>
      <c r="F702" t="s">
        <v>34</v>
      </c>
      <c r="H702">
        <v>1254.3399999999999</v>
      </c>
      <c r="I702">
        <v>0.14000000000000001</v>
      </c>
      <c r="J702" t="s">
        <v>21</v>
      </c>
      <c r="K702" t="s">
        <v>55</v>
      </c>
    </row>
    <row r="703" spans="1:11" x14ac:dyDescent="0.2">
      <c r="A703" t="s">
        <v>47</v>
      </c>
      <c r="B703" s="1">
        <v>45053</v>
      </c>
      <c r="C703" t="s">
        <v>54</v>
      </c>
      <c r="D703" t="s">
        <v>83</v>
      </c>
      <c r="E703" t="s">
        <v>20</v>
      </c>
      <c r="F703" t="s">
        <v>34</v>
      </c>
      <c r="H703">
        <v>1044.1500000000001</v>
      </c>
      <c r="J703" t="s">
        <v>21</v>
      </c>
      <c r="K703" t="s">
        <v>22</v>
      </c>
    </row>
    <row r="704" spans="1:11" x14ac:dyDescent="0.2">
      <c r="A704" t="s">
        <v>99</v>
      </c>
      <c r="B704" s="1">
        <v>44975</v>
      </c>
      <c r="C704" t="s">
        <v>63</v>
      </c>
      <c r="D704" t="s">
        <v>31</v>
      </c>
      <c r="E704" t="s">
        <v>46</v>
      </c>
      <c r="F704" t="s">
        <v>26</v>
      </c>
      <c r="G704">
        <v>2</v>
      </c>
      <c r="I704">
        <v>0.02</v>
      </c>
      <c r="J704" t="s">
        <v>16</v>
      </c>
      <c r="K704" t="s">
        <v>22</v>
      </c>
    </row>
    <row r="705" spans="1:11" x14ac:dyDescent="0.2">
      <c r="A705" t="s">
        <v>53</v>
      </c>
      <c r="B705" s="1">
        <v>45081</v>
      </c>
      <c r="C705" t="s">
        <v>57</v>
      </c>
      <c r="D705" t="s">
        <v>19</v>
      </c>
      <c r="E705" t="s">
        <v>46</v>
      </c>
      <c r="F705" t="s">
        <v>26</v>
      </c>
      <c r="G705">
        <v>18</v>
      </c>
      <c r="J705" t="s">
        <v>42</v>
      </c>
      <c r="K705" t="s">
        <v>35</v>
      </c>
    </row>
    <row r="706" spans="1:11" x14ac:dyDescent="0.2">
      <c r="A706" t="s">
        <v>109</v>
      </c>
      <c r="B706" s="1">
        <v>45264</v>
      </c>
      <c r="C706" t="s">
        <v>12</v>
      </c>
      <c r="D706" t="s">
        <v>83</v>
      </c>
      <c r="E706" t="s">
        <v>38</v>
      </c>
      <c r="F706" t="s">
        <v>39</v>
      </c>
      <c r="J706" t="s">
        <v>16</v>
      </c>
      <c r="K706" t="s">
        <v>22</v>
      </c>
    </row>
    <row r="707" spans="1:11" x14ac:dyDescent="0.2">
      <c r="A707" t="s">
        <v>184</v>
      </c>
      <c r="B707" s="1">
        <v>45095</v>
      </c>
      <c r="C707" t="s">
        <v>37</v>
      </c>
      <c r="D707" t="s">
        <v>19</v>
      </c>
      <c r="E707" t="s">
        <v>46</v>
      </c>
      <c r="F707" t="s">
        <v>26</v>
      </c>
      <c r="H707">
        <v>144.41</v>
      </c>
      <c r="I707">
        <v>0.27</v>
      </c>
      <c r="K707" t="s">
        <v>17</v>
      </c>
    </row>
    <row r="708" spans="1:11" x14ac:dyDescent="0.2">
      <c r="A708" t="s">
        <v>170</v>
      </c>
      <c r="B708" s="1">
        <v>45108</v>
      </c>
      <c r="C708" t="s">
        <v>57</v>
      </c>
      <c r="D708" t="s">
        <v>83</v>
      </c>
      <c r="E708" t="s">
        <v>48</v>
      </c>
      <c r="G708">
        <v>15</v>
      </c>
      <c r="H708">
        <v>493.87</v>
      </c>
      <c r="J708" t="s">
        <v>21</v>
      </c>
      <c r="K708" t="s">
        <v>22</v>
      </c>
    </row>
    <row r="709" spans="1:11" x14ac:dyDescent="0.2">
      <c r="A709" t="s">
        <v>145</v>
      </c>
      <c r="B709" s="1">
        <v>45260</v>
      </c>
      <c r="C709" t="s">
        <v>29</v>
      </c>
      <c r="D709" t="s">
        <v>59</v>
      </c>
      <c r="E709" t="s">
        <v>44</v>
      </c>
      <c r="G709">
        <v>5</v>
      </c>
      <c r="J709" t="s">
        <v>16</v>
      </c>
      <c r="K709" t="s">
        <v>17</v>
      </c>
    </row>
    <row r="710" spans="1:11" x14ac:dyDescent="0.2">
      <c r="A710" t="s">
        <v>110</v>
      </c>
      <c r="B710" s="1">
        <v>45263</v>
      </c>
      <c r="C710" t="s">
        <v>51</v>
      </c>
      <c r="D710" t="s">
        <v>19</v>
      </c>
      <c r="E710" t="s">
        <v>20</v>
      </c>
      <c r="G710">
        <v>18</v>
      </c>
      <c r="H710">
        <v>849.9</v>
      </c>
      <c r="J710" t="s">
        <v>40</v>
      </c>
      <c r="K710" t="s">
        <v>27</v>
      </c>
    </row>
    <row r="711" spans="1:11" x14ac:dyDescent="0.2">
      <c r="A711" t="s">
        <v>216</v>
      </c>
      <c r="B711" s="1">
        <v>45023</v>
      </c>
      <c r="C711" t="s">
        <v>63</v>
      </c>
      <c r="D711" t="s">
        <v>13</v>
      </c>
      <c r="E711" t="s">
        <v>48</v>
      </c>
      <c r="F711" t="s">
        <v>39</v>
      </c>
      <c r="J711" t="s">
        <v>21</v>
      </c>
      <c r="K711" t="s">
        <v>55</v>
      </c>
    </row>
    <row r="712" spans="1:11" x14ac:dyDescent="0.2">
      <c r="A712" t="s">
        <v>212</v>
      </c>
      <c r="B712" s="1">
        <v>45095</v>
      </c>
      <c r="C712" t="s">
        <v>51</v>
      </c>
      <c r="D712" t="s">
        <v>19</v>
      </c>
      <c r="E712" t="s">
        <v>38</v>
      </c>
      <c r="F712" t="s">
        <v>26</v>
      </c>
      <c r="G712">
        <v>16</v>
      </c>
      <c r="I712">
        <v>7.0000000000000007E-2</v>
      </c>
      <c r="J712" t="s">
        <v>42</v>
      </c>
      <c r="K712" t="s">
        <v>17</v>
      </c>
    </row>
    <row r="713" spans="1:11" x14ac:dyDescent="0.2">
      <c r="A713" t="s">
        <v>93</v>
      </c>
      <c r="B713" s="1">
        <v>45049</v>
      </c>
      <c r="C713" t="s">
        <v>63</v>
      </c>
      <c r="D713" t="s">
        <v>13</v>
      </c>
      <c r="E713" t="s">
        <v>25</v>
      </c>
      <c r="F713" t="s">
        <v>34</v>
      </c>
      <c r="G713">
        <v>13</v>
      </c>
      <c r="H713">
        <v>806.62</v>
      </c>
      <c r="I713">
        <v>0.11</v>
      </c>
      <c r="J713" t="s">
        <v>52</v>
      </c>
      <c r="K713" t="s">
        <v>27</v>
      </c>
    </row>
    <row r="714" spans="1:11" x14ac:dyDescent="0.2">
      <c r="A714" t="s">
        <v>94</v>
      </c>
      <c r="B714" s="1">
        <v>44985</v>
      </c>
      <c r="C714" t="s">
        <v>51</v>
      </c>
      <c r="D714" t="s">
        <v>59</v>
      </c>
      <c r="E714" t="s">
        <v>38</v>
      </c>
      <c r="F714" t="s">
        <v>15</v>
      </c>
      <c r="H714">
        <v>97.37</v>
      </c>
      <c r="J714" t="s">
        <v>40</v>
      </c>
      <c r="K714" t="s">
        <v>35</v>
      </c>
    </row>
    <row r="715" spans="1:11" x14ac:dyDescent="0.2">
      <c r="A715" t="s">
        <v>43</v>
      </c>
      <c r="B715" s="1">
        <v>45295</v>
      </c>
      <c r="C715" t="s">
        <v>51</v>
      </c>
      <c r="D715" t="s">
        <v>59</v>
      </c>
      <c r="E715" t="s">
        <v>25</v>
      </c>
      <c r="G715">
        <v>8</v>
      </c>
      <c r="H715">
        <v>400.02</v>
      </c>
      <c r="I715">
        <v>0.25</v>
      </c>
      <c r="J715" t="s">
        <v>16</v>
      </c>
      <c r="K715" t="s">
        <v>35</v>
      </c>
    </row>
    <row r="716" spans="1:11" x14ac:dyDescent="0.2">
      <c r="A716" t="s">
        <v>28</v>
      </c>
      <c r="B716" s="1">
        <v>45262</v>
      </c>
      <c r="C716" t="s">
        <v>54</v>
      </c>
      <c r="D716" t="s">
        <v>59</v>
      </c>
      <c r="E716" t="s">
        <v>20</v>
      </c>
      <c r="F716" t="s">
        <v>34</v>
      </c>
      <c r="G716">
        <v>15</v>
      </c>
      <c r="J716" t="s">
        <v>21</v>
      </c>
      <c r="K716" t="s">
        <v>22</v>
      </c>
    </row>
    <row r="717" spans="1:11" x14ac:dyDescent="0.2">
      <c r="A717" t="s">
        <v>195</v>
      </c>
      <c r="B717" s="1">
        <v>44960</v>
      </c>
      <c r="C717" t="s">
        <v>54</v>
      </c>
      <c r="D717" t="s">
        <v>33</v>
      </c>
      <c r="E717" t="s">
        <v>20</v>
      </c>
      <c r="F717" t="s">
        <v>15</v>
      </c>
      <c r="K717" t="s">
        <v>35</v>
      </c>
    </row>
    <row r="718" spans="1:11" x14ac:dyDescent="0.2">
      <c r="A718" t="s">
        <v>153</v>
      </c>
      <c r="B718" s="1">
        <v>45317</v>
      </c>
      <c r="C718" t="s">
        <v>37</v>
      </c>
      <c r="E718" t="s">
        <v>44</v>
      </c>
      <c r="F718" t="s">
        <v>34</v>
      </c>
      <c r="I718">
        <v>0.24</v>
      </c>
      <c r="J718" t="s">
        <v>21</v>
      </c>
      <c r="K718" t="s">
        <v>17</v>
      </c>
    </row>
    <row r="719" spans="1:11" x14ac:dyDescent="0.2">
      <c r="A719" t="s">
        <v>164</v>
      </c>
      <c r="B719" s="1">
        <v>45034</v>
      </c>
      <c r="C719" t="s">
        <v>54</v>
      </c>
      <c r="E719" t="s">
        <v>38</v>
      </c>
      <c r="G719">
        <v>3</v>
      </c>
      <c r="J719" t="s">
        <v>42</v>
      </c>
      <c r="K719" t="s">
        <v>17</v>
      </c>
    </row>
    <row r="720" spans="1:11" x14ac:dyDescent="0.2">
      <c r="A720" t="s">
        <v>84</v>
      </c>
      <c r="B720" s="1">
        <v>45018</v>
      </c>
      <c r="C720" t="s">
        <v>29</v>
      </c>
      <c r="D720" t="s">
        <v>13</v>
      </c>
      <c r="E720" t="s">
        <v>14</v>
      </c>
      <c r="K720" t="s">
        <v>17</v>
      </c>
    </row>
    <row r="721" spans="1:11" x14ac:dyDescent="0.2">
      <c r="A721" t="s">
        <v>147</v>
      </c>
      <c r="B721" s="1">
        <v>44945</v>
      </c>
      <c r="C721" t="s">
        <v>37</v>
      </c>
      <c r="D721" t="s">
        <v>33</v>
      </c>
      <c r="E721" t="s">
        <v>20</v>
      </c>
      <c r="F721" t="s">
        <v>39</v>
      </c>
      <c r="J721" t="s">
        <v>40</v>
      </c>
      <c r="K721" t="s">
        <v>55</v>
      </c>
    </row>
    <row r="722" spans="1:11" x14ac:dyDescent="0.2">
      <c r="A722" t="s">
        <v>170</v>
      </c>
      <c r="B722" s="1">
        <v>45208</v>
      </c>
      <c r="C722" t="s">
        <v>54</v>
      </c>
      <c r="D722" t="s">
        <v>33</v>
      </c>
      <c r="E722" t="s">
        <v>25</v>
      </c>
      <c r="F722" t="s">
        <v>26</v>
      </c>
      <c r="H722">
        <v>1042.45</v>
      </c>
      <c r="J722" t="s">
        <v>21</v>
      </c>
      <c r="K722" t="s">
        <v>17</v>
      </c>
    </row>
    <row r="723" spans="1:11" x14ac:dyDescent="0.2">
      <c r="A723" t="s">
        <v>150</v>
      </c>
      <c r="B723" s="1">
        <v>45145</v>
      </c>
      <c r="C723" t="s">
        <v>63</v>
      </c>
      <c r="D723" t="s">
        <v>83</v>
      </c>
      <c r="E723" t="s">
        <v>38</v>
      </c>
      <c r="F723" t="s">
        <v>39</v>
      </c>
      <c r="J723" t="s">
        <v>40</v>
      </c>
      <c r="K723" t="s">
        <v>55</v>
      </c>
    </row>
    <row r="724" spans="1:11" x14ac:dyDescent="0.2">
      <c r="A724" t="s">
        <v>226</v>
      </c>
      <c r="B724" s="1">
        <v>44965</v>
      </c>
      <c r="C724" t="s">
        <v>29</v>
      </c>
      <c r="D724" t="s">
        <v>19</v>
      </c>
      <c r="E724" t="s">
        <v>14</v>
      </c>
      <c r="I724">
        <v>0.28000000000000003</v>
      </c>
      <c r="J724" t="s">
        <v>16</v>
      </c>
      <c r="K724" t="s">
        <v>27</v>
      </c>
    </row>
    <row r="725" spans="1:11" x14ac:dyDescent="0.2">
      <c r="A725" t="s">
        <v>148</v>
      </c>
      <c r="B725" s="1">
        <v>44946</v>
      </c>
      <c r="C725" t="s">
        <v>37</v>
      </c>
      <c r="D725" t="s">
        <v>59</v>
      </c>
      <c r="E725" t="s">
        <v>20</v>
      </c>
      <c r="F725" t="s">
        <v>34</v>
      </c>
      <c r="I725">
        <v>0.25</v>
      </c>
      <c r="K725" t="s">
        <v>17</v>
      </c>
    </row>
    <row r="726" spans="1:11" x14ac:dyDescent="0.2">
      <c r="A726" t="s">
        <v>138</v>
      </c>
      <c r="B726" s="1">
        <v>45312</v>
      </c>
      <c r="C726" t="s">
        <v>24</v>
      </c>
      <c r="D726" t="s">
        <v>19</v>
      </c>
      <c r="E726" t="s">
        <v>25</v>
      </c>
      <c r="F726" t="s">
        <v>34</v>
      </c>
      <c r="K726" t="s">
        <v>27</v>
      </c>
    </row>
    <row r="727" spans="1:11" x14ac:dyDescent="0.2">
      <c r="A727" t="s">
        <v>103</v>
      </c>
      <c r="B727" s="1">
        <v>45261</v>
      </c>
      <c r="C727" t="s">
        <v>51</v>
      </c>
      <c r="E727" t="s">
        <v>38</v>
      </c>
      <c r="F727" t="s">
        <v>15</v>
      </c>
      <c r="J727" t="s">
        <v>21</v>
      </c>
      <c r="K727" t="s">
        <v>22</v>
      </c>
    </row>
    <row r="728" spans="1:11" x14ac:dyDescent="0.2">
      <c r="A728" t="s">
        <v>135</v>
      </c>
      <c r="B728" s="1">
        <v>45163</v>
      </c>
      <c r="C728" t="s">
        <v>29</v>
      </c>
      <c r="E728" t="s">
        <v>46</v>
      </c>
      <c r="F728" t="s">
        <v>34</v>
      </c>
      <c r="J728" t="s">
        <v>42</v>
      </c>
      <c r="K728" t="s">
        <v>17</v>
      </c>
    </row>
    <row r="729" spans="1:11" x14ac:dyDescent="0.2">
      <c r="A729" t="s">
        <v>209</v>
      </c>
      <c r="B729" s="1">
        <v>45118</v>
      </c>
      <c r="C729" t="s">
        <v>51</v>
      </c>
      <c r="D729" t="s">
        <v>31</v>
      </c>
      <c r="E729" t="s">
        <v>25</v>
      </c>
      <c r="F729" t="s">
        <v>15</v>
      </c>
      <c r="J729" t="s">
        <v>40</v>
      </c>
      <c r="K729" t="s">
        <v>22</v>
      </c>
    </row>
    <row r="730" spans="1:11" x14ac:dyDescent="0.2">
      <c r="A730" t="s">
        <v>18</v>
      </c>
      <c r="B730" s="1">
        <v>45278</v>
      </c>
      <c r="C730" t="s">
        <v>57</v>
      </c>
      <c r="E730" t="s">
        <v>25</v>
      </c>
      <c r="I730">
        <v>0.24</v>
      </c>
      <c r="J730" t="s">
        <v>40</v>
      </c>
      <c r="K730" t="s">
        <v>55</v>
      </c>
    </row>
    <row r="731" spans="1:11" x14ac:dyDescent="0.2">
      <c r="A731" t="s">
        <v>146</v>
      </c>
      <c r="B731" s="1">
        <v>45249</v>
      </c>
      <c r="C731" t="s">
        <v>57</v>
      </c>
      <c r="D731" t="s">
        <v>83</v>
      </c>
      <c r="E731" t="s">
        <v>20</v>
      </c>
      <c r="F731" t="s">
        <v>39</v>
      </c>
      <c r="J731" t="s">
        <v>42</v>
      </c>
      <c r="K731" t="s">
        <v>55</v>
      </c>
    </row>
    <row r="732" spans="1:11" x14ac:dyDescent="0.2">
      <c r="A732" t="s">
        <v>126</v>
      </c>
      <c r="B732" s="1">
        <v>45014</v>
      </c>
      <c r="C732" t="s">
        <v>54</v>
      </c>
      <c r="D732" t="s">
        <v>13</v>
      </c>
      <c r="E732" t="s">
        <v>44</v>
      </c>
      <c r="F732" t="s">
        <v>15</v>
      </c>
      <c r="H732">
        <v>1210.69</v>
      </c>
      <c r="I732">
        <v>0.06</v>
      </c>
      <c r="J732" t="s">
        <v>42</v>
      </c>
      <c r="K732" t="s">
        <v>55</v>
      </c>
    </row>
    <row r="733" spans="1:11" x14ac:dyDescent="0.2">
      <c r="A733" t="s">
        <v>197</v>
      </c>
      <c r="B733" s="1">
        <v>45046</v>
      </c>
      <c r="C733" t="s">
        <v>24</v>
      </c>
      <c r="D733" t="s">
        <v>13</v>
      </c>
      <c r="E733" t="s">
        <v>44</v>
      </c>
      <c r="F733" t="s">
        <v>26</v>
      </c>
      <c r="G733">
        <v>15</v>
      </c>
      <c r="H733">
        <v>743.62</v>
      </c>
      <c r="J733" t="s">
        <v>42</v>
      </c>
      <c r="K733" t="s">
        <v>35</v>
      </c>
    </row>
    <row r="734" spans="1:11" x14ac:dyDescent="0.2">
      <c r="A734" t="s">
        <v>122</v>
      </c>
      <c r="B734" s="1">
        <v>44993</v>
      </c>
      <c r="C734" t="s">
        <v>57</v>
      </c>
      <c r="D734" t="s">
        <v>83</v>
      </c>
      <c r="E734" t="s">
        <v>48</v>
      </c>
      <c r="F734" t="s">
        <v>26</v>
      </c>
      <c r="G734">
        <v>13</v>
      </c>
      <c r="H734">
        <v>268.57</v>
      </c>
      <c r="K734" t="s">
        <v>22</v>
      </c>
    </row>
    <row r="735" spans="1:11" x14ac:dyDescent="0.2">
      <c r="A735" t="s">
        <v>189</v>
      </c>
      <c r="B735" s="1">
        <v>45236</v>
      </c>
      <c r="C735" t="s">
        <v>24</v>
      </c>
      <c r="D735" t="s">
        <v>31</v>
      </c>
      <c r="E735" t="s">
        <v>20</v>
      </c>
      <c r="H735">
        <v>411.39</v>
      </c>
      <c r="J735" t="s">
        <v>21</v>
      </c>
      <c r="K735" t="s">
        <v>35</v>
      </c>
    </row>
    <row r="736" spans="1:11" x14ac:dyDescent="0.2">
      <c r="A736" t="s">
        <v>123</v>
      </c>
      <c r="B736" s="1">
        <v>45095</v>
      </c>
      <c r="C736" t="s">
        <v>63</v>
      </c>
      <c r="D736" t="s">
        <v>83</v>
      </c>
      <c r="E736" t="s">
        <v>38</v>
      </c>
      <c r="J736" t="s">
        <v>52</v>
      </c>
      <c r="K736" t="s">
        <v>55</v>
      </c>
    </row>
    <row r="737" spans="1:11" x14ac:dyDescent="0.2">
      <c r="A737" t="s">
        <v>154</v>
      </c>
      <c r="B737" s="1">
        <v>45240</v>
      </c>
      <c r="C737" t="s">
        <v>51</v>
      </c>
      <c r="D737" t="s">
        <v>83</v>
      </c>
      <c r="E737" t="s">
        <v>20</v>
      </c>
      <c r="F737" t="s">
        <v>15</v>
      </c>
      <c r="I737">
        <v>0.27</v>
      </c>
      <c r="K737" t="s">
        <v>17</v>
      </c>
    </row>
    <row r="738" spans="1:11" x14ac:dyDescent="0.2">
      <c r="A738" t="s">
        <v>241</v>
      </c>
      <c r="B738" s="1">
        <v>45128</v>
      </c>
      <c r="C738" t="s">
        <v>12</v>
      </c>
      <c r="D738" t="s">
        <v>33</v>
      </c>
      <c r="E738" t="s">
        <v>25</v>
      </c>
      <c r="F738" t="s">
        <v>15</v>
      </c>
      <c r="K738" t="s">
        <v>35</v>
      </c>
    </row>
    <row r="739" spans="1:11" x14ac:dyDescent="0.2">
      <c r="A739" t="s">
        <v>45</v>
      </c>
      <c r="B739" s="1">
        <v>45137</v>
      </c>
      <c r="C739" t="s">
        <v>54</v>
      </c>
      <c r="D739" t="s">
        <v>59</v>
      </c>
      <c r="E739" t="s">
        <v>46</v>
      </c>
      <c r="F739" t="s">
        <v>26</v>
      </c>
      <c r="H739">
        <v>826.09</v>
      </c>
      <c r="J739" t="s">
        <v>16</v>
      </c>
      <c r="K739" t="s">
        <v>22</v>
      </c>
    </row>
    <row r="740" spans="1:11" x14ac:dyDescent="0.2">
      <c r="A740" t="s">
        <v>128</v>
      </c>
      <c r="B740" s="1">
        <v>44964</v>
      </c>
      <c r="C740" t="s">
        <v>63</v>
      </c>
      <c r="D740" t="s">
        <v>83</v>
      </c>
      <c r="E740" t="s">
        <v>14</v>
      </c>
      <c r="F740" t="s">
        <v>39</v>
      </c>
      <c r="I740">
        <v>0.03</v>
      </c>
      <c r="J740" t="s">
        <v>52</v>
      </c>
      <c r="K740" t="s">
        <v>22</v>
      </c>
    </row>
    <row r="741" spans="1:11" x14ac:dyDescent="0.2">
      <c r="A741" t="s">
        <v>214</v>
      </c>
      <c r="B741" s="1">
        <v>45163</v>
      </c>
      <c r="C741" t="s">
        <v>54</v>
      </c>
      <c r="D741" t="s">
        <v>19</v>
      </c>
      <c r="E741" t="s">
        <v>44</v>
      </c>
      <c r="F741" t="s">
        <v>15</v>
      </c>
      <c r="G741">
        <v>15</v>
      </c>
      <c r="I741">
        <v>0.25</v>
      </c>
      <c r="J741" t="s">
        <v>16</v>
      </c>
      <c r="K741" t="s">
        <v>17</v>
      </c>
    </row>
    <row r="742" spans="1:11" x14ac:dyDescent="0.2">
      <c r="A742" t="s">
        <v>242</v>
      </c>
      <c r="B742" s="1">
        <v>45017</v>
      </c>
      <c r="C742" t="s">
        <v>24</v>
      </c>
      <c r="D742" t="s">
        <v>19</v>
      </c>
      <c r="E742" t="s">
        <v>44</v>
      </c>
      <c r="F742" t="s">
        <v>39</v>
      </c>
      <c r="G742">
        <v>6</v>
      </c>
      <c r="H742">
        <v>1346.07</v>
      </c>
      <c r="I742">
        <v>0.2</v>
      </c>
      <c r="J742" t="s">
        <v>42</v>
      </c>
      <c r="K742" t="s">
        <v>55</v>
      </c>
    </row>
    <row r="743" spans="1:11" x14ac:dyDescent="0.2">
      <c r="A743" t="s">
        <v>75</v>
      </c>
      <c r="B743" s="1">
        <v>45037</v>
      </c>
      <c r="C743" t="s">
        <v>12</v>
      </c>
      <c r="D743" t="s">
        <v>13</v>
      </c>
      <c r="E743" t="s">
        <v>44</v>
      </c>
      <c r="F743" t="s">
        <v>15</v>
      </c>
      <c r="K743" t="s">
        <v>27</v>
      </c>
    </row>
    <row r="744" spans="1:11" x14ac:dyDescent="0.2">
      <c r="A744" t="s">
        <v>185</v>
      </c>
      <c r="B744" s="1">
        <v>45280</v>
      </c>
      <c r="C744" t="s">
        <v>24</v>
      </c>
      <c r="D744" t="s">
        <v>83</v>
      </c>
      <c r="E744" t="s">
        <v>46</v>
      </c>
      <c r="G744">
        <v>1</v>
      </c>
      <c r="H744">
        <v>1547.1</v>
      </c>
      <c r="J744" t="s">
        <v>40</v>
      </c>
      <c r="K744" t="s">
        <v>35</v>
      </c>
    </row>
    <row r="745" spans="1:11" x14ac:dyDescent="0.2">
      <c r="A745" t="s">
        <v>126</v>
      </c>
      <c r="B745" s="1">
        <v>44935</v>
      </c>
      <c r="C745" t="s">
        <v>57</v>
      </c>
      <c r="D745" t="s">
        <v>19</v>
      </c>
      <c r="E745" t="s">
        <v>46</v>
      </c>
      <c r="F745" t="s">
        <v>34</v>
      </c>
      <c r="H745">
        <v>1341.21</v>
      </c>
      <c r="I745">
        <v>0.28999999999999998</v>
      </c>
      <c r="K745" t="s">
        <v>35</v>
      </c>
    </row>
    <row r="746" spans="1:11" x14ac:dyDescent="0.2">
      <c r="A746" t="s">
        <v>165</v>
      </c>
      <c r="B746" s="1">
        <v>45012</v>
      </c>
      <c r="C746" t="s">
        <v>12</v>
      </c>
      <c r="D746" t="s">
        <v>83</v>
      </c>
      <c r="E746" t="s">
        <v>44</v>
      </c>
      <c r="F746" t="s">
        <v>26</v>
      </c>
      <c r="H746">
        <v>1128.49</v>
      </c>
      <c r="J746" t="s">
        <v>42</v>
      </c>
      <c r="K746" t="s">
        <v>22</v>
      </c>
    </row>
    <row r="747" spans="1:11" x14ac:dyDescent="0.2">
      <c r="A747" t="s">
        <v>131</v>
      </c>
      <c r="B747" s="1">
        <v>45045</v>
      </c>
      <c r="C747" t="s">
        <v>37</v>
      </c>
      <c r="D747" t="s">
        <v>19</v>
      </c>
      <c r="E747" t="s">
        <v>14</v>
      </c>
      <c r="F747" t="s">
        <v>34</v>
      </c>
      <c r="G747">
        <v>6</v>
      </c>
      <c r="I747">
        <v>0</v>
      </c>
      <c r="J747" t="s">
        <v>42</v>
      </c>
      <c r="K747" t="s">
        <v>35</v>
      </c>
    </row>
    <row r="748" spans="1:11" x14ac:dyDescent="0.2">
      <c r="A748" t="s">
        <v>207</v>
      </c>
      <c r="B748" s="1">
        <v>45263</v>
      </c>
      <c r="C748" t="s">
        <v>24</v>
      </c>
      <c r="D748" t="s">
        <v>13</v>
      </c>
      <c r="E748" t="s">
        <v>44</v>
      </c>
      <c r="F748" t="s">
        <v>34</v>
      </c>
      <c r="G748">
        <v>2</v>
      </c>
      <c r="J748" t="s">
        <v>42</v>
      </c>
      <c r="K748" t="s">
        <v>27</v>
      </c>
    </row>
    <row r="749" spans="1:11" x14ac:dyDescent="0.2">
      <c r="A749" t="s">
        <v>195</v>
      </c>
      <c r="B749" s="1">
        <v>45201</v>
      </c>
      <c r="C749" t="s">
        <v>51</v>
      </c>
      <c r="D749" t="s">
        <v>59</v>
      </c>
      <c r="E749" t="s">
        <v>46</v>
      </c>
      <c r="J749" t="s">
        <v>40</v>
      </c>
      <c r="K749" t="s">
        <v>55</v>
      </c>
    </row>
    <row r="750" spans="1:11" x14ac:dyDescent="0.2">
      <c r="A750" t="s">
        <v>117</v>
      </c>
      <c r="B750" s="1">
        <v>45252</v>
      </c>
      <c r="C750" t="s">
        <v>29</v>
      </c>
      <c r="E750" t="s">
        <v>48</v>
      </c>
      <c r="F750" t="s">
        <v>39</v>
      </c>
      <c r="K750" t="s">
        <v>35</v>
      </c>
    </row>
    <row r="751" spans="1:11" x14ac:dyDescent="0.2">
      <c r="A751" t="s">
        <v>238</v>
      </c>
      <c r="B751" s="1">
        <v>45227</v>
      </c>
      <c r="C751" t="s">
        <v>12</v>
      </c>
      <c r="D751" t="s">
        <v>33</v>
      </c>
      <c r="E751" t="s">
        <v>46</v>
      </c>
      <c r="J751" t="s">
        <v>16</v>
      </c>
      <c r="K751" t="s">
        <v>27</v>
      </c>
    </row>
    <row r="752" spans="1:11" x14ac:dyDescent="0.2">
      <c r="A752" t="s">
        <v>138</v>
      </c>
      <c r="B752" s="1">
        <v>45118</v>
      </c>
      <c r="C752" t="s">
        <v>63</v>
      </c>
      <c r="D752" t="s">
        <v>59</v>
      </c>
      <c r="E752" t="s">
        <v>20</v>
      </c>
      <c r="F752" t="s">
        <v>15</v>
      </c>
      <c r="G752">
        <v>13</v>
      </c>
      <c r="H752">
        <v>1287.6600000000001</v>
      </c>
      <c r="J752" t="s">
        <v>42</v>
      </c>
      <c r="K752" t="s">
        <v>55</v>
      </c>
    </row>
    <row r="753" spans="1:11" x14ac:dyDescent="0.2">
      <c r="A753" t="s">
        <v>141</v>
      </c>
      <c r="B753" s="1">
        <v>45069</v>
      </c>
      <c r="C753" t="s">
        <v>29</v>
      </c>
      <c r="D753" t="s">
        <v>13</v>
      </c>
      <c r="E753" t="s">
        <v>25</v>
      </c>
      <c r="F753" t="s">
        <v>26</v>
      </c>
      <c r="I753">
        <v>0.23</v>
      </c>
      <c r="K753" t="s">
        <v>55</v>
      </c>
    </row>
    <row r="754" spans="1:11" x14ac:dyDescent="0.2">
      <c r="A754" t="s">
        <v>216</v>
      </c>
      <c r="B754" s="1">
        <v>45051</v>
      </c>
      <c r="C754" t="s">
        <v>37</v>
      </c>
      <c r="D754" t="s">
        <v>31</v>
      </c>
      <c r="E754" t="s">
        <v>46</v>
      </c>
      <c r="F754" t="s">
        <v>15</v>
      </c>
      <c r="K754" t="s">
        <v>27</v>
      </c>
    </row>
    <row r="755" spans="1:11" x14ac:dyDescent="0.2">
      <c r="A755" t="s">
        <v>207</v>
      </c>
      <c r="B755" s="1">
        <v>45178</v>
      </c>
      <c r="C755" t="s">
        <v>54</v>
      </c>
      <c r="D755" t="s">
        <v>33</v>
      </c>
      <c r="E755" t="s">
        <v>46</v>
      </c>
      <c r="F755" t="s">
        <v>15</v>
      </c>
      <c r="G755">
        <v>7</v>
      </c>
      <c r="I755">
        <v>0.16</v>
      </c>
      <c r="J755" t="s">
        <v>40</v>
      </c>
      <c r="K755" t="s">
        <v>17</v>
      </c>
    </row>
    <row r="756" spans="1:11" x14ac:dyDescent="0.2">
      <c r="A756" t="s">
        <v>236</v>
      </c>
      <c r="B756" s="1">
        <v>45145</v>
      </c>
      <c r="C756" t="s">
        <v>63</v>
      </c>
      <c r="D756" t="s">
        <v>59</v>
      </c>
      <c r="E756" t="s">
        <v>20</v>
      </c>
      <c r="F756" t="s">
        <v>15</v>
      </c>
      <c r="H756">
        <v>361.11</v>
      </c>
      <c r="J756" t="s">
        <v>42</v>
      </c>
      <c r="K756" t="s">
        <v>35</v>
      </c>
    </row>
    <row r="757" spans="1:11" x14ac:dyDescent="0.2">
      <c r="A757" t="s">
        <v>175</v>
      </c>
      <c r="B757" s="1">
        <v>45327</v>
      </c>
      <c r="C757" t="s">
        <v>63</v>
      </c>
      <c r="D757" t="s">
        <v>19</v>
      </c>
      <c r="E757" t="s">
        <v>14</v>
      </c>
      <c r="F757" t="s">
        <v>39</v>
      </c>
      <c r="G757">
        <v>13</v>
      </c>
      <c r="J757" t="s">
        <v>42</v>
      </c>
      <c r="K757" t="s">
        <v>35</v>
      </c>
    </row>
    <row r="758" spans="1:11" x14ac:dyDescent="0.2">
      <c r="A758" t="s">
        <v>215</v>
      </c>
      <c r="B758" s="1">
        <v>44937</v>
      </c>
      <c r="C758" t="s">
        <v>57</v>
      </c>
      <c r="D758" t="s">
        <v>83</v>
      </c>
      <c r="E758" t="s">
        <v>25</v>
      </c>
      <c r="F758" t="s">
        <v>26</v>
      </c>
      <c r="J758" t="s">
        <v>42</v>
      </c>
      <c r="K758" t="s">
        <v>22</v>
      </c>
    </row>
    <row r="759" spans="1:11" x14ac:dyDescent="0.2">
      <c r="A759" t="s">
        <v>71</v>
      </c>
      <c r="B759" s="1">
        <v>45159</v>
      </c>
      <c r="C759" t="s">
        <v>24</v>
      </c>
      <c r="D759" t="s">
        <v>83</v>
      </c>
      <c r="E759" t="s">
        <v>44</v>
      </c>
      <c r="G759">
        <v>16</v>
      </c>
      <c r="I759">
        <v>0.14000000000000001</v>
      </c>
      <c r="J759" t="s">
        <v>40</v>
      </c>
      <c r="K759" t="s">
        <v>27</v>
      </c>
    </row>
    <row r="760" spans="1:11" x14ac:dyDescent="0.2">
      <c r="A760" t="s">
        <v>243</v>
      </c>
      <c r="B760" s="1">
        <v>45183</v>
      </c>
      <c r="C760" t="s">
        <v>29</v>
      </c>
      <c r="D760" t="s">
        <v>83</v>
      </c>
      <c r="E760" t="s">
        <v>38</v>
      </c>
      <c r="F760" t="s">
        <v>39</v>
      </c>
      <c r="J760" t="s">
        <v>16</v>
      </c>
      <c r="K760" t="s">
        <v>22</v>
      </c>
    </row>
    <row r="761" spans="1:11" x14ac:dyDescent="0.2">
      <c r="A761" t="s">
        <v>73</v>
      </c>
      <c r="B761" s="1">
        <v>44990</v>
      </c>
      <c r="C761" t="s">
        <v>57</v>
      </c>
      <c r="D761" t="s">
        <v>31</v>
      </c>
      <c r="E761" t="s">
        <v>20</v>
      </c>
      <c r="F761" t="s">
        <v>15</v>
      </c>
      <c r="J761" t="s">
        <v>42</v>
      </c>
      <c r="K761" t="s">
        <v>55</v>
      </c>
    </row>
    <row r="762" spans="1:11" x14ac:dyDescent="0.2">
      <c r="A762" t="s">
        <v>65</v>
      </c>
      <c r="B762" s="1">
        <v>44956</v>
      </c>
      <c r="C762" t="s">
        <v>57</v>
      </c>
      <c r="D762" t="s">
        <v>83</v>
      </c>
      <c r="E762" t="s">
        <v>48</v>
      </c>
      <c r="F762" t="s">
        <v>15</v>
      </c>
      <c r="J762" t="s">
        <v>16</v>
      </c>
      <c r="K762" t="s">
        <v>35</v>
      </c>
    </row>
    <row r="763" spans="1:11" x14ac:dyDescent="0.2">
      <c r="A763" t="s">
        <v>206</v>
      </c>
      <c r="B763" s="1">
        <v>45236</v>
      </c>
      <c r="C763" t="s">
        <v>63</v>
      </c>
      <c r="D763" t="s">
        <v>13</v>
      </c>
      <c r="E763" t="s">
        <v>20</v>
      </c>
      <c r="F763" t="s">
        <v>34</v>
      </c>
      <c r="I763">
        <v>0.25</v>
      </c>
      <c r="J763" t="s">
        <v>16</v>
      </c>
      <c r="K763" t="s">
        <v>27</v>
      </c>
    </row>
    <row r="764" spans="1:11" x14ac:dyDescent="0.2">
      <c r="A764" t="s">
        <v>222</v>
      </c>
      <c r="B764" s="1">
        <v>45291</v>
      </c>
      <c r="C764" t="s">
        <v>57</v>
      </c>
      <c r="D764" t="s">
        <v>83</v>
      </c>
      <c r="E764" t="s">
        <v>48</v>
      </c>
      <c r="J764" t="s">
        <v>52</v>
      </c>
      <c r="K764" t="s">
        <v>55</v>
      </c>
    </row>
    <row r="765" spans="1:11" x14ac:dyDescent="0.2">
      <c r="A765" t="s">
        <v>238</v>
      </c>
      <c r="B765" s="1">
        <v>45199</v>
      </c>
      <c r="C765" t="s">
        <v>57</v>
      </c>
      <c r="D765" t="s">
        <v>31</v>
      </c>
      <c r="E765" t="s">
        <v>14</v>
      </c>
      <c r="F765" t="s">
        <v>39</v>
      </c>
      <c r="G765">
        <v>3</v>
      </c>
      <c r="K765" t="s">
        <v>35</v>
      </c>
    </row>
    <row r="766" spans="1:11" x14ac:dyDescent="0.2">
      <c r="A766" t="s">
        <v>89</v>
      </c>
      <c r="B766" s="1">
        <v>45130</v>
      </c>
      <c r="C766" t="s">
        <v>24</v>
      </c>
      <c r="D766" t="s">
        <v>19</v>
      </c>
      <c r="E766" t="s">
        <v>20</v>
      </c>
      <c r="F766" t="s">
        <v>39</v>
      </c>
      <c r="G766">
        <v>1</v>
      </c>
      <c r="K766" t="s">
        <v>55</v>
      </c>
    </row>
    <row r="767" spans="1:11" x14ac:dyDescent="0.2">
      <c r="A767" t="s">
        <v>210</v>
      </c>
      <c r="B767" s="1">
        <v>45147</v>
      </c>
      <c r="C767" t="s">
        <v>51</v>
      </c>
      <c r="D767" t="s">
        <v>33</v>
      </c>
      <c r="E767" t="s">
        <v>14</v>
      </c>
      <c r="F767" t="s">
        <v>15</v>
      </c>
      <c r="G767">
        <v>5</v>
      </c>
      <c r="J767" t="s">
        <v>21</v>
      </c>
      <c r="K767" t="s">
        <v>35</v>
      </c>
    </row>
    <row r="768" spans="1:11" x14ac:dyDescent="0.2">
      <c r="A768" t="s">
        <v>171</v>
      </c>
      <c r="B768" s="1">
        <v>45029</v>
      </c>
      <c r="C768" t="s">
        <v>12</v>
      </c>
      <c r="D768" t="s">
        <v>13</v>
      </c>
      <c r="E768" t="s">
        <v>20</v>
      </c>
      <c r="F768" t="s">
        <v>15</v>
      </c>
      <c r="J768" t="s">
        <v>40</v>
      </c>
      <c r="K768" t="s">
        <v>27</v>
      </c>
    </row>
    <row r="769" spans="1:11" x14ac:dyDescent="0.2">
      <c r="A769" t="s">
        <v>30</v>
      </c>
      <c r="B769" s="1">
        <v>44970</v>
      </c>
      <c r="C769" t="s">
        <v>57</v>
      </c>
      <c r="D769" t="s">
        <v>19</v>
      </c>
      <c r="E769" t="s">
        <v>14</v>
      </c>
      <c r="F769" t="s">
        <v>26</v>
      </c>
      <c r="G769">
        <v>11</v>
      </c>
      <c r="I769">
        <v>0.15</v>
      </c>
      <c r="J769" t="s">
        <v>16</v>
      </c>
      <c r="K769" t="s">
        <v>27</v>
      </c>
    </row>
    <row r="770" spans="1:11" x14ac:dyDescent="0.2">
      <c r="A770" t="s">
        <v>186</v>
      </c>
      <c r="B770" s="1">
        <v>45311</v>
      </c>
      <c r="C770" t="s">
        <v>12</v>
      </c>
      <c r="D770" t="s">
        <v>13</v>
      </c>
      <c r="E770" t="s">
        <v>44</v>
      </c>
      <c r="F770" t="s">
        <v>26</v>
      </c>
      <c r="G770">
        <v>4</v>
      </c>
      <c r="H770">
        <v>1049.45</v>
      </c>
      <c r="J770" t="s">
        <v>52</v>
      </c>
      <c r="K770" t="s">
        <v>22</v>
      </c>
    </row>
    <row r="771" spans="1:11" x14ac:dyDescent="0.2">
      <c r="A771" t="s">
        <v>205</v>
      </c>
      <c r="B771" s="1">
        <v>45314</v>
      </c>
      <c r="C771" t="s">
        <v>29</v>
      </c>
      <c r="D771" t="s">
        <v>31</v>
      </c>
      <c r="E771" t="s">
        <v>38</v>
      </c>
      <c r="F771" t="s">
        <v>34</v>
      </c>
      <c r="K771" t="s">
        <v>22</v>
      </c>
    </row>
    <row r="772" spans="1:11" x14ac:dyDescent="0.2">
      <c r="A772" t="s">
        <v>166</v>
      </c>
      <c r="B772" s="1">
        <v>45239</v>
      </c>
      <c r="C772" t="s">
        <v>12</v>
      </c>
      <c r="D772" t="s">
        <v>59</v>
      </c>
      <c r="E772" t="s">
        <v>25</v>
      </c>
      <c r="F772" t="s">
        <v>34</v>
      </c>
      <c r="G772">
        <v>4</v>
      </c>
      <c r="I772">
        <v>0.12</v>
      </c>
      <c r="J772" t="s">
        <v>16</v>
      </c>
      <c r="K772" t="s">
        <v>17</v>
      </c>
    </row>
    <row r="773" spans="1:11" x14ac:dyDescent="0.2">
      <c r="A773" t="s">
        <v>239</v>
      </c>
      <c r="B773" s="1">
        <v>45198</v>
      </c>
      <c r="C773" t="s">
        <v>24</v>
      </c>
      <c r="D773" t="s">
        <v>13</v>
      </c>
      <c r="E773" t="s">
        <v>25</v>
      </c>
      <c r="F773" t="s">
        <v>15</v>
      </c>
      <c r="J773" t="s">
        <v>42</v>
      </c>
      <c r="K773" t="s">
        <v>35</v>
      </c>
    </row>
    <row r="774" spans="1:11" x14ac:dyDescent="0.2">
      <c r="A774" t="s">
        <v>49</v>
      </c>
      <c r="B774" s="1">
        <v>45253</v>
      </c>
      <c r="C774" t="s">
        <v>29</v>
      </c>
      <c r="D774" t="s">
        <v>19</v>
      </c>
      <c r="E774" t="s">
        <v>48</v>
      </c>
      <c r="F774" t="s">
        <v>34</v>
      </c>
      <c r="J774" t="s">
        <v>42</v>
      </c>
      <c r="K774" t="s">
        <v>17</v>
      </c>
    </row>
    <row r="775" spans="1:11" x14ac:dyDescent="0.2">
      <c r="A775" t="s">
        <v>236</v>
      </c>
      <c r="B775" s="1">
        <v>45105</v>
      </c>
      <c r="C775" t="s">
        <v>57</v>
      </c>
      <c r="D775" t="s">
        <v>83</v>
      </c>
      <c r="E775" t="s">
        <v>48</v>
      </c>
      <c r="F775" t="s">
        <v>26</v>
      </c>
      <c r="J775" t="s">
        <v>21</v>
      </c>
      <c r="K775" t="s">
        <v>17</v>
      </c>
    </row>
    <row r="776" spans="1:11" x14ac:dyDescent="0.2">
      <c r="A776" t="s">
        <v>168</v>
      </c>
      <c r="B776" s="1">
        <v>44992</v>
      </c>
      <c r="C776" t="s">
        <v>63</v>
      </c>
      <c r="E776" t="s">
        <v>46</v>
      </c>
      <c r="F776" t="s">
        <v>34</v>
      </c>
      <c r="K776" t="s">
        <v>17</v>
      </c>
    </row>
    <row r="777" spans="1:11" x14ac:dyDescent="0.2">
      <c r="A777" t="s">
        <v>172</v>
      </c>
      <c r="B777" s="1">
        <v>45051</v>
      </c>
      <c r="C777" t="s">
        <v>37</v>
      </c>
      <c r="D777" t="s">
        <v>33</v>
      </c>
      <c r="E777" t="s">
        <v>25</v>
      </c>
      <c r="F777" t="s">
        <v>26</v>
      </c>
      <c r="H777">
        <v>1986.79</v>
      </c>
      <c r="J777" t="s">
        <v>42</v>
      </c>
      <c r="K777" t="s">
        <v>55</v>
      </c>
    </row>
    <row r="778" spans="1:11" x14ac:dyDescent="0.2">
      <c r="A778" t="s">
        <v>23</v>
      </c>
      <c r="B778" s="1">
        <v>45295</v>
      </c>
      <c r="C778" t="s">
        <v>24</v>
      </c>
      <c r="D778" t="s">
        <v>13</v>
      </c>
      <c r="E778" t="s">
        <v>38</v>
      </c>
      <c r="F778" t="s">
        <v>26</v>
      </c>
      <c r="J778" t="s">
        <v>52</v>
      </c>
      <c r="K778" t="s">
        <v>35</v>
      </c>
    </row>
    <row r="779" spans="1:11" x14ac:dyDescent="0.2">
      <c r="A779" t="s">
        <v>76</v>
      </c>
      <c r="B779" s="1">
        <v>45319</v>
      </c>
      <c r="C779" t="s">
        <v>54</v>
      </c>
      <c r="D779" t="s">
        <v>13</v>
      </c>
      <c r="E779" t="s">
        <v>14</v>
      </c>
      <c r="F779" t="s">
        <v>39</v>
      </c>
      <c r="J779" t="s">
        <v>40</v>
      </c>
      <c r="K779" t="s">
        <v>35</v>
      </c>
    </row>
    <row r="780" spans="1:11" x14ac:dyDescent="0.2">
      <c r="A780" t="s">
        <v>206</v>
      </c>
      <c r="B780" s="1">
        <v>44986</v>
      </c>
      <c r="C780" t="s">
        <v>24</v>
      </c>
      <c r="D780" t="s">
        <v>19</v>
      </c>
      <c r="E780" t="s">
        <v>46</v>
      </c>
      <c r="F780" t="s">
        <v>26</v>
      </c>
      <c r="H780">
        <v>1188.48</v>
      </c>
      <c r="I780">
        <v>0.22</v>
      </c>
      <c r="J780" t="s">
        <v>21</v>
      </c>
      <c r="K780" t="s">
        <v>55</v>
      </c>
    </row>
    <row r="781" spans="1:11" x14ac:dyDescent="0.2">
      <c r="A781" t="s">
        <v>88</v>
      </c>
      <c r="B781" s="1">
        <v>45087</v>
      </c>
      <c r="C781" t="s">
        <v>57</v>
      </c>
      <c r="D781" t="s">
        <v>31</v>
      </c>
      <c r="E781" t="s">
        <v>48</v>
      </c>
      <c r="F781" t="s">
        <v>26</v>
      </c>
      <c r="G781">
        <v>10</v>
      </c>
      <c r="H781">
        <v>1184.22</v>
      </c>
      <c r="J781" t="s">
        <v>52</v>
      </c>
      <c r="K781" t="s">
        <v>55</v>
      </c>
    </row>
    <row r="782" spans="1:11" x14ac:dyDescent="0.2">
      <c r="A782" t="s">
        <v>218</v>
      </c>
      <c r="B782" s="1">
        <v>44991</v>
      </c>
      <c r="C782" t="s">
        <v>37</v>
      </c>
      <c r="D782" t="s">
        <v>19</v>
      </c>
      <c r="E782" t="s">
        <v>38</v>
      </c>
      <c r="F782" t="s">
        <v>26</v>
      </c>
      <c r="K782" t="s">
        <v>22</v>
      </c>
    </row>
    <row r="783" spans="1:11" x14ac:dyDescent="0.2">
      <c r="A783" t="s">
        <v>203</v>
      </c>
      <c r="B783" s="1">
        <v>45234</v>
      </c>
      <c r="C783" t="s">
        <v>24</v>
      </c>
      <c r="D783" t="s">
        <v>33</v>
      </c>
      <c r="E783" t="s">
        <v>48</v>
      </c>
      <c r="F783" t="s">
        <v>26</v>
      </c>
      <c r="J783" t="s">
        <v>21</v>
      </c>
      <c r="K783" t="s">
        <v>22</v>
      </c>
    </row>
    <row r="784" spans="1:11" x14ac:dyDescent="0.2">
      <c r="A784" t="s">
        <v>235</v>
      </c>
      <c r="B784" s="1">
        <v>45037</v>
      </c>
      <c r="C784" t="s">
        <v>63</v>
      </c>
      <c r="D784" t="s">
        <v>59</v>
      </c>
      <c r="E784" t="s">
        <v>48</v>
      </c>
      <c r="F784" t="s">
        <v>39</v>
      </c>
      <c r="J784" t="s">
        <v>40</v>
      </c>
      <c r="K784" t="s">
        <v>27</v>
      </c>
    </row>
    <row r="785" spans="1:11" x14ac:dyDescent="0.2">
      <c r="A785" t="s">
        <v>129</v>
      </c>
      <c r="B785" s="1">
        <v>45018</v>
      </c>
      <c r="C785" t="s">
        <v>63</v>
      </c>
      <c r="D785" t="s">
        <v>13</v>
      </c>
      <c r="E785" t="s">
        <v>38</v>
      </c>
      <c r="F785" t="s">
        <v>34</v>
      </c>
      <c r="G785">
        <v>6</v>
      </c>
      <c r="J785" t="s">
        <v>52</v>
      </c>
      <c r="K785" t="s">
        <v>22</v>
      </c>
    </row>
    <row r="786" spans="1:11" x14ac:dyDescent="0.2">
      <c r="A786" t="s">
        <v>154</v>
      </c>
      <c r="B786" s="1">
        <v>44963</v>
      </c>
      <c r="C786" t="s">
        <v>24</v>
      </c>
      <c r="D786" t="s">
        <v>59</v>
      </c>
      <c r="E786" t="s">
        <v>48</v>
      </c>
      <c r="F786" t="s">
        <v>15</v>
      </c>
      <c r="J786" t="s">
        <v>16</v>
      </c>
      <c r="K786" t="s">
        <v>55</v>
      </c>
    </row>
    <row r="787" spans="1:11" x14ac:dyDescent="0.2">
      <c r="A787" t="s">
        <v>167</v>
      </c>
      <c r="B787" s="1">
        <v>45262</v>
      </c>
      <c r="C787" t="s">
        <v>51</v>
      </c>
      <c r="D787" t="s">
        <v>31</v>
      </c>
      <c r="E787" t="s">
        <v>20</v>
      </c>
      <c r="F787" t="s">
        <v>39</v>
      </c>
      <c r="H787">
        <v>1795.46</v>
      </c>
      <c r="J787" t="s">
        <v>40</v>
      </c>
      <c r="K787" t="s">
        <v>27</v>
      </c>
    </row>
    <row r="788" spans="1:11" x14ac:dyDescent="0.2">
      <c r="A788" t="s">
        <v>148</v>
      </c>
      <c r="B788" s="1">
        <v>45298</v>
      </c>
      <c r="C788" t="s">
        <v>54</v>
      </c>
      <c r="D788" t="s">
        <v>13</v>
      </c>
      <c r="E788" t="s">
        <v>25</v>
      </c>
      <c r="F788" t="s">
        <v>15</v>
      </c>
      <c r="H788">
        <v>1362.1</v>
      </c>
      <c r="I788">
        <v>0.28000000000000003</v>
      </c>
      <c r="J788" t="s">
        <v>52</v>
      </c>
      <c r="K788" t="s">
        <v>22</v>
      </c>
    </row>
    <row r="789" spans="1:11" x14ac:dyDescent="0.2">
      <c r="A789" t="s">
        <v>75</v>
      </c>
      <c r="B789" s="1">
        <v>44953</v>
      </c>
      <c r="C789" t="s">
        <v>54</v>
      </c>
      <c r="D789" t="s">
        <v>31</v>
      </c>
      <c r="E789" t="s">
        <v>48</v>
      </c>
      <c r="F789" t="s">
        <v>34</v>
      </c>
      <c r="I789">
        <v>0.22</v>
      </c>
      <c r="J789" t="s">
        <v>16</v>
      </c>
      <c r="K789" t="s">
        <v>27</v>
      </c>
    </row>
    <row r="790" spans="1:11" x14ac:dyDescent="0.2">
      <c r="A790" t="s">
        <v>172</v>
      </c>
      <c r="B790" s="1">
        <v>45130</v>
      </c>
      <c r="C790" t="s">
        <v>63</v>
      </c>
      <c r="D790" t="s">
        <v>59</v>
      </c>
      <c r="E790" t="s">
        <v>48</v>
      </c>
      <c r="K790" t="s">
        <v>27</v>
      </c>
    </row>
    <row r="791" spans="1:11" x14ac:dyDescent="0.2">
      <c r="A791" t="s">
        <v>191</v>
      </c>
      <c r="B791" s="1">
        <v>45164</v>
      </c>
      <c r="C791" t="s">
        <v>57</v>
      </c>
      <c r="D791" t="s">
        <v>59</v>
      </c>
      <c r="E791" t="s">
        <v>48</v>
      </c>
      <c r="F791" t="s">
        <v>39</v>
      </c>
      <c r="G791">
        <v>12</v>
      </c>
      <c r="H791">
        <v>248.8</v>
      </c>
      <c r="K791" t="s">
        <v>17</v>
      </c>
    </row>
    <row r="792" spans="1:11" x14ac:dyDescent="0.2">
      <c r="A792" t="s">
        <v>81</v>
      </c>
      <c r="B792" s="1">
        <v>44938</v>
      </c>
      <c r="C792" t="s">
        <v>63</v>
      </c>
      <c r="D792" t="s">
        <v>59</v>
      </c>
      <c r="E792" t="s">
        <v>48</v>
      </c>
      <c r="F792" t="s">
        <v>26</v>
      </c>
      <c r="G792">
        <v>19</v>
      </c>
      <c r="J792" t="s">
        <v>21</v>
      </c>
      <c r="K792" t="s">
        <v>35</v>
      </c>
    </row>
    <row r="793" spans="1:11" x14ac:dyDescent="0.2">
      <c r="A793" t="s">
        <v>242</v>
      </c>
      <c r="B793" s="1">
        <v>45093</v>
      </c>
      <c r="C793" t="s">
        <v>54</v>
      </c>
      <c r="D793" t="s">
        <v>13</v>
      </c>
      <c r="E793" t="s">
        <v>25</v>
      </c>
      <c r="H793">
        <v>1627.61</v>
      </c>
      <c r="J793" t="s">
        <v>21</v>
      </c>
      <c r="K793" t="s">
        <v>22</v>
      </c>
    </row>
    <row r="794" spans="1:11" x14ac:dyDescent="0.2">
      <c r="A794" t="s">
        <v>207</v>
      </c>
      <c r="B794" s="1">
        <v>45192</v>
      </c>
      <c r="C794" t="s">
        <v>54</v>
      </c>
      <c r="E794" t="s">
        <v>25</v>
      </c>
      <c r="F794" t="s">
        <v>15</v>
      </c>
      <c r="G794">
        <v>4</v>
      </c>
      <c r="J794" t="s">
        <v>42</v>
      </c>
      <c r="K794" t="s">
        <v>55</v>
      </c>
    </row>
    <row r="795" spans="1:11" x14ac:dyDescent="0.2">
      <c r="A795" t="s">
        <v>239</v>
      </c>
      <c r="B795" s="1">
        <v>44947</v>
      </c>
      <c r="C795" t="s">
        <v>51</v>
      </c>
      <c r="D795" t="s">
        <v>31</v>
      </c>
      <c r="E795" t="s">
        <v>20</v>
      </c>
      <c r="F795" t="s">
        <v>15</v>
      </c>
      <c r="H795">
        <v>520.95000000000005</v>
      </c>
      <c r="I795">
        <v>0.03</v>
      </c>
      <c r="J795" t="s">
        <v>21</v>
      </c>
      <c r="K795" t="s">
        <v>55</v>
      </c>
    </row>
    <row r="796" spans="1:11" x14ac:dyDescent="0.2">
      <c r="A796" t="s">
        <v>77</v>
      </c>
      <c r="B796" s="1">
        <v>45205</v>
      </c>
      <c r="C796" t="s">
        <v>51</v>
      </c>
      <c r="D796" t="s">
        <v>83</v>
      </c>
      <c r="E796" t="s">
        <v>48</v>
      </c>
      <c r="F796" t="s">
        <v>26</v>
      </c>
      <c r="K796" t="s">
        <v>17</v>
      </c>
    </row>
    <row r="797" spans="1:11" x14ac:dyDescent="0.2">
      <c r="A797" t="s">
        <v>120</v>
      </c>
      <c r="B797" s="1">
        <v>44998</v>
      </c>
      <c r="C797" t="s">
        <v>63</v>
      </c>
      <c r="D797" t="s">
        <v>13</v>
      </c>
      <c r="E797" t="s">
        <v>14</v>
      </c>
      <c r="H797">
        <v>1081.04</v>
      </c>
      <c r="J797" t="s">
        <v>16</v>
      </c>
      <c r="K797" t="s">
        <v>35</v>
      </c>
    </row>
    <row r="798" spans="1:11" x14ac:dyDescent="0.2">
      <c r="A798" t="s">
        <v>73</v>
      </c>
      <c r="B798" s="1">
        <v>45023</v>
      </c>
      <c r="C798" t="s">
        <v>51</v>
      </c>
      <c r="D798" t="s">
        <v>59</v>
      </c>
      <c r="E798" t="s">
        <v>25</v>
      </c>
      <c r="F798" t="s">
        <v>15</v>
      </c>
      <c r="I798">
        <v>0.11</v>
      </c>
      <c r="K798" t="s">
        <v>17</v>
      </c>
    </row>
    <row r="799" spans="1:11" x14ac:dyDescent="0.2">
      <c r="A799" t="s">
        <v>18</v>
      </c>
      <c r="B799" s="1">
        <v>44965</v>
      </c>
      <c r="C799" t="s">
        <v>24</v>
      </c>
      <c r="D799" t="s">
        <v>59</v>
      </c>
      <c r="E799" t="s">
        <v>38</v>
      </c>
      <c r="F799" t="s">
        <v>15</v>
      </c>
      <c r="J799" t="s">
        <v>40</v>
      </c>
      <c r="K799" t="s">
        <v>17</v>
      </c>
    </row>
    <row r="800" spans="1:11" x14ac:dyDescent="0.2">
      <c r="A800" t="s">
        <v>197</v>
      </c>
      <c r="B800" s="1">
        <v>44963</v>
      </c>
      <c r="C800" t="s">
        <v>24</v>
      </c>
      <c r="D800" t="s">
        <v>13</v>
      </c>
      <c r="E800" t="s">
        <v>48</v>
      </c>
      <c r="F800" t="s">
        <v>15</v>
      </c>
      <c r="J800" t="s">
        <v>40</v>
      </c>
      <c r="K800" t="s">
        <v>55</v>
      </c>
    </row>
    <row r="801" spans="1:11" x14ac:dyDescent="0.2">
      <c r="A801" t="s">
        <v>92</v>
      </c>
      <c r="B801" s="1">
        <v>45121</v>
      </c>
      <c r="C801" t="s">
        <v>12</v>
      </c>
      <c r="D801" t="s">
        <v>31</v>
      </c>
      <c r="E801" t="s">
        <v>20</v>
      </c>
      <c r="F801" t="s">
        <v>26</v>
      </c>
      <c r="G801">
        <v>9</v>
      </c>
      <c r="I801">
        <v>0.16</v>
      </c>
      <c r="J801" t="s">
        <v>52</v>
      </c>
      <c r="K801" t="s">
        <v>27</v>
      </c>
    </row>
    <row r="802" spans="1:11" x14ac:dyDescent="0.2">
      <c r="A802" t="s">
        <v>148</v>
      </c>
      <c r="B802" s="1">
        <v>45097</v>
      </c>
      <c r="C802" t="s">
        <v>24</v>
      </c>
      <c r="D802" t="s">
        <v>33</v>
      </c>
      <c r="E802" t="s">
        <v>25</v>
      </c>
      <c r="F802" t="s">
        <v>15</v>
      </c>
      <c r="G802">
        <v>9</v>
      </c>
      <c r="H802">
        <v>204.91</v>
      </c>
      <c r="I802">
        <v>0.11</v>
      </c>
      <c r="J802" t="s">
        <v>16</v>
      </c>
      <c r="K802" t="s">
        <v>35</v>
      </c>
    </row>
    <row r="803" spans="1:11" x14ac:dyDescent="0.2">
      <c r="A803" t="s">
        <v>123</v>
      </c>
      <c r="B803" s="1">
        <v>45299</v>
      </c>
      <c r="C803" t="s">
        <v>24</v>
      </c>
      <c r="D803" t="s">
        <v>31</v>
      </c>
      <c r="E803" t="s">
        <v>25</v>
      </c>
      <c r="F803" t="s">
        <v>39</v>
      </c>
      <c r="J803" t="s">
        <v>52</v>
      </c>
      <c r="K803" t="s">
        <v>17</v>
      </c>
    </row>
    <row r="804" spans="1:11" x14ac:dyDescent="0.2">
      <c r="A804" t="s">
        <v>242</v>
      </c>
      <c r="B804" s="1">
        <v>44951</v>
      </c>
      <c r="C804" t="s">
        <v>51</v>
      </c>
      <c r="D804" t="s">
        <v>59</v>
      </c>
      <c r="E804" t="s">
        <v>25</v>
      </c>
      <c r="F804" t="s">
        <v>39</v>
      </c>
      <c r="J804" t="s">
        <v>21</v>
      </c>
      <c r="K804" t="s">
        <v>17</v>
      </c>
    </row>
    <row r="805" spans="1:11" x14ac:dyDescent="0.2">
      <c r="A805" t="s">
        <v>221</v>
      </c>
      <c r="B805" s="1">
        <v>45171</v>
      </c>
      <c r="C805" t="s">
        <v>51</v>
      </c>
      <c r="D805" t="s">
        <v>59</v>
      </c>
      <c r="E805" t="s">
        <v>46</v>
      </c>
      <c r="J805" t="s">
        <v>16</v>
      </c>
      <c r="K805" t="s">
        <v>55</v>
      </c>
    </row>
    <row r="806" spans="1:11" x14ac:dyDescent="0.2">
      <c r="A806" t="s">
        <v>107</v>
      </c>
      <c r="B806" s="1">
        <v>45325</v>
      </c>
      <c r="C806" t="s">
        <v>37</v>
      </c>
      <c r="D806" t="s">
        <v>13</v>
      </c>
      <c r="E806" t="s">
        <v>44</v>
      </c>
      <c r="F806" t="s">
        <v>39</v>
      </c>
      <c r="G806">
        <v>15</v>
      </c>
      <c r="J806" t="s">
        <v>52</v>
      </c>
      <c r="K806" t="s">
        <v>55</v>
      </c>
    </row>
    <row r="807" spans="1:11" x14ac:dyDescent="0.2">
      <c r="A807" t="s">
        <v>85</v>
      </c>
      <c r="B807" s="1">
        <v>45193</v>
      </c>
      <c r="C807" t="s">
        <v>37</v>
      </c>
      <c r="D807" t="s">
        <v>59</v>
      </c>
      <c r="E807" t="s">
        <v>48</v>
      </c>
      <c r="F807" t="s">
        <v>26</v>
      </c>
      <c r="H807">
        <v>1543.45</v>
      </c>
      <c r="I807">
        <v>0.19</v>
      </c>
      <c r="K807" t="s">
        <v>35</v>
      </c>
    </row>
    <row r="808" spans="1:11" x14ac:dyDescent="0.2">
      <c r="A808" t="s">
        <v>126</v>
      </c>
      <c r="B808" s="1">
        <v>45011</v>
      </c>
      <c r="C808" t="s">
        <v>12</v>
      </c>
      <c r="D808" t="s">
        <v>19</v>
      </c>
      <c r="E808" t="s">
        <v>48</v>
      </c>
      <c r="F808" t="s">
        <v>34</v>
      </c>
      <c r="H808">
        <v>1618.61</v>
      </c>
      <c r="K808" t="s">
        <v>17</v>
      </c>
    </row>
    <row r="809" spans="1:11" x14ac:dyDescent="0.2">
      <c r="A809" t="s">
        <v>210</v>
      </c>
      <c r="B809" s="1">
        <v>44996</v>
      </c>
      <c r="C809" t="s">
        <v>63</v>
      </c>
      <c r="D809" t="s">
        <v>83</v>
      </c>
      <c r="E809" t="s">
        <v>44</v>
      </c>
      <c r="H809">
        <v>37.659999999999997</v>
      </c>
      <c r="J809" t="s">
        <v>16</v>
      </c>
      <c r="K809" t="s">
        <v>22</v>
      </c>
    </row>
    <row r="810" spans="1:11" x14ac:dyDescent="0.2">
      <c r="A810" t="s">
        <v>244</v>
      </c>
      <c r="B810" s="1">
        <v>45200</v>
      </c>
      <c r="C810" t="s">
        <v>29</v>
      </c>
      <c r="D810" t="s">
        <v>33</v>
      </c>
      <c r="E810" t="s">
        <v>48</v>
      </c>
      <c r="G810">
        <v>20</v>
      </c>
      <c r="H810">
        <v>1218.67</v>
      </c>
      <c r="J810" t="s">
        <v>40</v>
      </c>
      <c r="K810" t="s">
        <v>35</v>
      </c>
    </row>
    <row r="811" spans="1:11" x14ac:dyDescent="0.2">
      <c r="A811" t="s">
        <v>112</v>
      </c>
      <c r="B811" s="1">
        <v>45114</v>
      </c>
      <c r="C811" t="s">
        <v>51</v>
      </c>
      <c r="D811" t="s">
        <v>31</v>
      </c>
      <c r="E811" t="s">
        <v>14</v>
      </c>
      <c r="F811" t="s">
        <v>26</v>
      </c>
      <c r="K811" t="s">
        <v>35</v>
      </c>
    </row>
    <row r="812" spans="1:11" x14ac:dyDescent="0.2">
      <c r="A812" t="s">
        <v>113</v>
      </c>
      <c r="B812" s="1">
        <v>45319</v>
      </c>
      <c r="C812" t="s">
        <v>54</v>
      </c>
      <c r="D812" t="s">
        <v>59</v>
      </c>
      <c r="E812" t="s">
        <v>14</v>
      </c>
      <c r="F812" t="s">
        <v>39</v>
      </c>
      <c r="J812" t="s">
        <v>40</v>
      </c>
      <c r="K812" t="s">
        <v>55</v>
      </c>
    </row>
    <row r="813" spans="1:11" x14ac:dyDescent="0.2">
      <c r="A813" t="s">
        <v>222</v>
      </c>
      <c r="B813" s="1">
        <v>45190</v>
      </c>
      <c r="C813" t="s">
        <v>12</v>
      </c>
      <c r="D813" t="s">
        <v>83</v>
      </c>
      <c r="E813" t="s">
        <v>44</v>
      </c>
      <c r="F813" t="s">
        <v>39</v>
      </c>
      <c r="J813" t="s">
        <v>16</v>
      </c>
      <c r="K813" t="s">
        <v>27</v>
      </c>
    </row>
    <row r="814" spans="1:11" x14ac:dyDescent="0.2">
      <c r="A814" t="s">
        <v>144</v>
      </c>
      <c r="B814" s="1">
        <v>45296</v>
      </c>
      <c r="C814" t="s">
        <v>51</v>
      </c>
      <c r="D814" t="s">
        <v>83</v>
      </c>
      <c r="E814" t="s">
        <v>14</v>
      </c>
      <c r="F814" t="s">
        <v>26</v>
      </c>
      <c r="H814">
        <v>989.17</v>
      </c>
      <c r="I814">
        <v>0.16</v>
      </c>
      <c r="J814" t="s">
        <v>42</v>
      </c>
      <c r="K814" t="s">
        <v>27</v>
      </c>
    </row>
    <row r="815" spans="1:11" x14ac:dyDescent="0.2">
      <c r="A815" t="s">
        <v>214</v>
      </c>
      <c r="B815" s="1">
        <v>44930</v>
      </c>
      <c r="C815" t="s">
        <v>51</v>
      </c>
      <c r="E815" t="s">
        <v>48</v>
      </c>
      <c r="F815" t="s">
        <v>34</v>
      </c>
      <c r="I815">
        <v>0.11</v>
      </c>
      <c r="J815" t="s">
        <v>21</v>
      </c>
      <c r="K815" t="s">
        <v>55</v>
      </c>
    </row>
    <row r="816" spans="1:11" x14ac:dyDescent="0.2">
      <c r="A816" t="s">
        <v>199</v>
      </c>
      <c r="B816" s="1">
        <v>45151</v>
      </c>
      <c r="C816" t="s">
        <v>63</v>
      </c>
      <c r="D816" t="s">
        <v>33</v>
      </c>
      <c r="E816" t="s">
        <v>20</v>
      </c>
      <c r="F816" t="s">
        <v>34</v>
      </c>
      <c r="G816">
        <v>14</v>
      </c>
      <c r="I816">
        <v>0.06</v>
      </c>
      <c r="J816" t="s">
        <v>52</v>
      </c>
      <c r="K816" t="s">
        <v>27</v>
      </c>
    </row>
    <row r="817" spans="1:11" x14ac:dyDescent="0.2">
      <c r="A817" t="s">
        <v>141</v>
      </c>
      <c r="B817" s="1">
        <v>45129</v>
      </c>
      <c r="C817" t="s">
        <v>57</v>
      </c>
      <c r="D817" t="s">
        <v>13</v>
      </c>
      <c r="E817" t="s">
        <v>14</v>
      </c>
      <c r="F817" t="s">
        <v>26</v>
      </c>
      <c r="J817" t="s">
        <v>16</v>
      </c>
      <c r="K817" t="s">
        <v>22</v>
      </c>
    </row>
    <row r="818" spans="1:11" x14ac:dyDescent="0.2">
      <c r="A818" t="s">
        <v>164</v>
      </c>
      <c r="B818" s="1">
        <v>45208</v>
      </c>
      <c r="C818" t="s">
        <v>63</v>
      </c>
      <c r="E818" t="s">
        <v>48</v>
      </c>
      <c r="F818" t="s">
        <v>15</v>
      </c>
      <c r="J818" t="s">
        <v>40</v>
      </c>
      <c r="K818" t="s">
        <v>27</v>
      </c>
    </row>
    <row r="819" spans="1:11" x14ac:dyDescent="0.2">
      <c r="A819" t="s">
        <v>199</v>
      </c>
      <c r="B819" s="1">
        <v>44937</v>
      </c>
      <c r="C819" t="s">
        <v>51</v>
      </c>
      <c r="D819" t="s">
        <v>33</v>
      </c>
      <c r="E819" t="s">
        <v>14</v>
      </c>
      <c r="J819" t="s">
        <v>21</v>
      </c>
      <c r="K819" t="s">
        <v>27</v>
      </c>
    </row>
    <row r="820" spans="1:11" x14ac:dyDescent="0.2">
      <c r="A820" t="s">
        <v>92</v>
      </c>
      <c r="B820" s="1">
        <v>45172</v>
      </c>
      <c r="C820" t="s">
        <v>24</v>
      </c>
      <c r="D820" t="s">
        <v>59</v>
      </c>
      <c r="E820" t="s">
        <v>38</v>
      </c>
      <c r="F820" t="s">
        <v>26</v>
      </c>
      <c r="G820">
        <v>14</v>
      </c>
      <c r="I820">
        <v>0.15</v>
      </c>
      <c r="J820" t="s">
        <v>52</v>
      </c>
      <c r="K820" t="s">
        <v>27</v>
      </c>
    </row>
    <row r="821" spans="1:11" x14ac:dyDescent="0.2">
      <c r="A821" t="s">
        <v>43</v>
      </c>
      <c r="B821" s="1">
        <v>45285</v>
      </c>
      <c r="C821" t="s">
        <v>37</v>
      </c>
      <c r="D821" t="s">
        <v>13</v>
      </c>
      <c r="E821" t="s">
        <v>25</v>
      </c>
      <c r="F821" t="s">
        <v>39</v>
      </c>
      <c r="H821">
        <v>1415.86</v>
      </c>
      <c r="J821" t="s">
        <v>21</v>
      </c>
      <c r="K821" t="s">
        <v>35</v>
      </c>
    </row>
    <row r="822" spans="1:11" x14ac:dyDescent="0.2">
      <c r="A822" t="s">
        <v>111</v>
      </c>
      <c r="B822" s="1">
        <v>45229</v>
      </c>
      <c r="C822" t="s">
        <v>51</v>
      </c>
      <c r="D822" t="s">
        <v>33</v>
      </c>
      <c r="E822" t="s">
        <v>46</v>
      </c>
      <c r="F822" t="s">
        <v>15</v>
      </c>
      <c r="G822">
        <v>13</v>
      </c>
      <c r="H822">
        <v>554.98</v>
      </c>
      <c r="J822" t="s">
        <v>16</v>
      </c>
      <c r="K822" t="s">
        <v>17</v>
      </c>
    </row>
    <row r="823" spans="1:11" x14ac:dyDescent="0.2">
      <c r="A823" t="s">
        <v>217</v>
      </c>
      <c r="B823" s="1">
        <v>44973</v>
      </c>
      <c r="C823" t="s">
        <v>12</v>
      </c>
      <c r="D823" t="s">
        <v>83</v>
      </c>
      <c r="E823" t="s">
        <v>38</v>
      </c>
      <c r="H823">
        <v>1270.29</v>
      </c>
      <c r="J823" t="s">
        <v>42</v>
      </c>
      <c r="K823" t="s">
        <v>27</v>
      </c>
    </row>
    <row r="824" spans="1:11" x14ac:dyDescent="0.2">
      <c r="A824" t="s">
        <v>80</v>
      </c>
      <c r="B824" s="1">
        <v>45145</v>
      </c>
      <c r="C824" t="s">
        <v>12</v>
      </c>
      <c r="D824" t="s">
        <v>59</v>
      </c>
      <c r="E824" t="s">
        <v>46</v>
      </c>
      <c r="F824" t="s">
        <v>34</v>
      </c>
      <c r="J824" t="s">
        <v>16</v>
      </c>
      <c r="K824" t="s">
        <v>35</v>
      </c>
    </row>
    <row r="825" spans="1:11" x14ac:dyDescent="0.2">
      <c r="A825" t="s">
        <v>200</v>
      </c>
      <c r="B825" s="1">
        <v>44927</v>
      </c>
      <c r="C825" t="s">
        <v>12</v>
      </c>
      <c r="D825" t="s">
        <v>13</v>
      </c>
      <c r="E825" t="s">
        <v>48</v>
      </c>
      <c r="F825" t="s">
        <v>34</v>
      </c>
      <c r="I825">
        <v>0.03</v>
      </c>
      <c r="J825" t="s">
        <v>52</v>
      </c>
      <c r="K825" t="s">
        <v>22</v>
      </c>
    </row>
    <row r="826" spans="1:11" x14ac:dyDescent="0.2">
      <c r="A826" t="s">
        <v>77</v>
      </c>
      <c r="B826" s="1">
        <v>45098</v>
      </c>
      <c r="C826" t="s">
        <v>24</v>
      </c>
      <c r="D826" t="s">
        <v>19</v>
      </c>
      <c r="E826" t="s">
        <v>46</v>
      </c>
      <c r="F826" t="s">
        <v>26</v>
      </c>
      <c r="G826">
        <v>18</v>
      </c>
      <c r="J826" t="s">
        <v>21</v>
      </c>
      <c r="K826" t="s">
        <v>17</v>
      </c>
    </row>
    <row r="827" spans="1:11" x14ac:dyDescent="0.2">
      <c r="A827" t="s">
        <v>136</v>
      </c>
      <c r="B827" s="1">
        <v>45117</v>
      </c>
      <c r="C827" t="s">
        <v>37</v>
      </c>
      <c r="D827" t="s">
        <v>13</v>
      </c>
      <c r="E827" t="s">
        <v>14</v>
      </c>
      <c r="F827" t="s">
        <v>15</v>
      </c>
      <c r="H827">
        <v>183.59</v>
      </c>
      <c r="J827" t="s">
        <v>21</v>
      </c>
      <c r="K827" t="s">
        <v>27</v>
      </c>
    </row>
    <row r="828" spans="1:11" x14ac:dyDescent="0.2">
      <c r="A828" t="s">
        <v>200</v>
      </c>
      <c r="B828" s="1">
        <v>45227</v>
      </c>
      <c r="C828" t="s">
        <v>37</v>
      </c>
      <c r="D828" t="s">
        <v>33</v>
      </c>
      <c r="E828" t="s">
        <v>48</v>
      </c>
      <c r="F828" t="s">
        <v>39</v>
      </c>
      <c r="G828">
        <v>4</v>
      </c>
      <c r="J828" t="s">
        <v>42</v>
      </c>
      <c r="K828" t="s">
        <v>35</v>
      </c>
    </row>
    <row r="829" spans="1:11" x14ac:dyDescent="0.2">
      <c r="A829" t="s">
        <v>36</v>
      </c>
      <c r="B829" s="1">
        <v>45296</v>
      </c>
      <c r="C829" t="s">
        <v>51</v>
      </c>
      <c r="D829" t="s">
        <v>19</v>
      </c>
      <c r="E829" t="s">
        <v>20</v>
      </c>
      <c r="F829" t="s">
        <v>15</v>
      </c>
      <c r="J829" t="s">
        <v>42</v>
      </c>
      <c r="K829" t="s">
        <v>27</v>
      </c>
    </row>
    <row r="830" spans="1:11" x14ac:dyDescent="0.2">
      <c r="A830" t="s">
        <v>92</v>
      </c>
      <c r="B830" s="1">
        <v>44961</v>
      </c>
      <c r="C830" t="s">
        <v>63</v>
      </c>
      <c r="D830" t="s">
        <v>83</v>
      </c>
      <c r="E830" t="s">
        <v>44</v>
      </c>
      <c r="G830">
        <v>1</v>
      </c>
      <c r="J830" t="s">
        <v>16</v>
      </c>
      <c r="K830" t="s">
        <v>17</v>
      </c>
    </row>
    <row r="831" spans="1:11" x14ac:dyDescent="0.2">
      <c r="A831" t="s">
        <v>62</v>
      </c>
      <c r="B831" s="1">
        <v>45282</v>
      </c>
      <c r="C831" t="s">
        <v>37</v>
      </c>
      <c r="D831" t="s">
        <v>13</v>
      </c>
      <c r="E831" t="s">
        <v>25</v>
      </c>
      <c r="F831" t="s">
        <v>39</v>
      </c>
      <c r="I831">
        <v>0.28999999999999998</v>
      </c>
      <c r="J831" t="s">
        <v>42</v>
      </c>
      <c r="K831" t="s">
        <v>17</v>
      </c>
    </row>
    <row r="832" spans="1:11" x14ac:dyDescent="0.2">
      <c r="A832" t="s">
        <v>142</v>
      </c>
      <c r="B832" s="1">
        <v>45214</v>
      </c>
      <c r="C832" t="s">
        <v>57</v>
      </c>
      <c r="D832" t="s">
        <v>83</v>
      </c>
      <c r="E832" t="s">
        <v>44</v>
      </c>
      <c r="F832" t="s">
        <v>34</v>
      </c>
      <c r="G832">
        <v>7</v>
      </c>
      <c r="J832" t="s">
        <v>16</v>
      </c>
      <c r="K832" t="s">
        <v>17</v>
      </c>
    </row>
    <row r="833" spans="1:11" x14ac:dyDescent="0.2">
      <c r="A833" t="s">
        <v>125</v>
      </c>
      <c r="B833" s="1">
        <v>45184</v>
      </c>
      <c r="C833" t="s">
        <v>24</v>
      </c>
      <c r="D833" t="s">
        <v>59</v>
      </c>
      <c r="E833" t="s">
        <v>25</v>
      </c>
      <c r="F833" t="s">
        <v>15</v>
      </c>
      <c r="H833">
        <v>544.34</v>
      </c>
      <c r="I833">
        <v>0.05</v>
      </c>
      <c r="J833" t="s">
        <v>21</v>
      </c>
      <c r="K833" t="s">
        <v>35</v>
      </c>
    </row>
    <row r="834" spans="1:11" x14ac:dyDescent="0.2">
      <c r="A834" t="s">
        <v>152</v>
      </c>
      <c r="B834" s="1">
        <v>44947</v>
      </c>
      <c r="C834" t="s">
        <v>51</v>
      </c>
      <c r="D834" t="s">
        <v>59</v>
      </c>
      <c r="E834" t="s">
        <v>20</v>
      </c>
      <c r="F834" t="s">
        <v>34</v>
      </c>
      <c r="H834">
        <v>1960.25</v>
      </c>
      <c r="I834">
        <v>0.16</v>
      </c>
      <c r="K834" t="s">
        <v>55</v>
      </c>
    </row>
    <row r="835" spans="1:11" x14ac:dyDescent="0.2">
      <c r="A835" t="s">
        <v>235</v>
      </c>
      <c r="B835" s="1">
        <v>45236</v>
      </c>
      <c r="C835" t="s">
        <v>29</v>
      </c>
      <c r="D835" t="s">
        <v>59</v>
      </c>
      <c r="E835" t="s">
        <v>46</v>
      </c>
      <c r="I835">
        <v>0.09</v>
      </c>
      <c r="K835" t="s">
        <v>27</v>
      </c>
    </row>
    <row r="836" spans="1:11" x14ac:dyDescent="0.2">
      <c r="A836" t="s">
        <v>230</v>
      </c>
      <c r="B836" s="1">
        <v>45039</v>
      </c>
      <c r="C836" t="s">
        <v>24</v>
      </c>
      <c r="D836" t="s">
        <v>33</v>
      </c>
      <c r="E836" t="s">
        <v>14</v>
      </c>
      <c r="F836" t="s">
        <v>26</v>
      </c>
      <c r="K836" t="s">
        <v>22</v>
      </c>
    </row>
    <row r="837" spans="1:11" x14ac:dyDescent="0.2">
      <c r="A837" t="s">
        <v>188</v>
      </c>
      <c r="B837" s="1">
        <v>45058</v>
      </c>
      <c r="C837" t="s">
        <v>37</v>
      </c>
      <c r="E837" t="s">
        <v>38</v>
      </c>
      <c r="F837" t="s">
        <v>15</v>
      </c>
      <c r="J837" t="s">
        <v>40</v>
      </c>
      <c r="K837" t="s">
        <v>22</v>
      </c>
    </row>
    <row r="838" spans="1:11" x14ac:dyDescent="0.2">
      <c r="A838" t="s">
        <v>228</v>
      </c>
      <c r="B838" s="1">
        <v>45300</v>
      </c>
      <c r="C838" t="s">
        <v>57</v>
      </c>
      <c r="D838" t="s">
        <v>59</v>
      </c>
      <c r="E838" t="s">
        <v>20</v>
      </c>
      <c r="F838" t="s">
        <v>39</v>
      </c>
      <c r="H838">
        <v>371.21</v>
      </c>
      <c r="I838">
        <v>0.24</v>
      </c>
      <c r="J838" t="s">
        <v>40</v>
      </c>
      <c r="K838" t="s">
        <v>17</v>
      </c>
    </row>
    <row r="839" spans="1:11" x14ac:dyDescent="0.2">
      <c r="A839" t="s">
        <v>164</v>
      </c>
      <c r="B839" s="1">
        <v>45300</v>
      </c>
      <c r="C839" t="s">
        <v>51</v>
      </c>
      <c r="D839" t="s">
        <v>13</v>
      </c>
      <c r="E839" t="s">
        <v>14</v>
      </c>
      <c r="F839" t="s">
        <v>26</v>
      </c>
      <c r="G839">
        <v>10</v>
      </c>
      <c r="I839">
        <v>0.21</v>
      </c>
      <c r="J839" t="s">
        <v>16</v>
      </c>
      <c r="K839" t="s">
        <v>35</v>
      </c>
    </row>
    <row r="840" spans="1:11" x14ac:dyDescent="0.2">
      <c r="A840" t="s">
        <v>67</v>
      </c>
      <c r="B840" s="1">
        <v>45145</v>
      </c>
      <c r="C840" t="s">
        <v>37</v>
      </c>
      <c r="D840" t="s">
        <v>83</v>
      </c>
      <c r="E840" t="s">
        <v>48</v>
      </c>
      <c r="F840" t="s">
        <v>39</v>
      </c>
      <c r="I840">
        <v>0.23</v>
      </c>
      <c r="J840" t="s">
        <v>21</v>
      </c>
      <c r="K840" t="s">
        <v>27</v>
      </c>
    </row>
    <row r="841" spans="1:11" x14ac:dyDescent="0.2">
      <c r="A841" t="s">
        <v>166</v>
      </c>
      <c r="B841" s="1">
        <v>45123</v>
      </c>
      <c r="C841" t="s">
        <v>12</v>
      </c>
      <c r="D841" t="s">
        <v>19</v>
      </c>
      <c r="E841" t="s">
        <v>25</v>
      </c>
      <c r="F841" t="s">
        <v>26</v>
      </c>
      <c r="G841">
        <v>2</v>
      </c>
      <c r="H841">
        <v>504.2</v>
      </c>
      <c r="J841" t="s">
        <v>21</v>
      </c>
      <c r="K841" t="s">
        <v>27</v>
      </c>
    </row>
    <row r="842" spans="1:11" x14ac:dyDescent="0.2">
      <c r="A842" t="s">
        <v>190</v>
      </c>
      <c r="B842" s="1">
        <v>44981</v>
      </c>
      <c r="C842" t="s">
        <v>29</v>
      </c>
      <c r="E842" t="s">
        <v>48</v>
      </c>
      <c r="F842" t="s">
        <v>26</v>
      </c>
      <c r="G842">
        <v>7</v>
      </c>
      <c r="I842">
        <v>0.27</v>
      </c>
      <c r="J842" t="s">
        <v>52</v>
      </c>
      <c r="K842" t="s">
        <v>55</v>
      </c>
    </row>
    <row r="843" spans="1:11" x14ac:dyDescent="0.2">
      <c r="A843" t="s">
        <v>161</v>
      </c>
      <c r="B843" s="1">
        <v>45006</v>
      </c>
      <c r="C843" t="s">
        <v>37</v>
      </c>
      <c r="D843" t="s">
        <v>19</v>
      </c>
      <c r="E843" t="s">
        <v>44</v>
      </c>
      <c r="F843" t="s">
        <v>34</v>
      </c>
      <c r="G843">
        <v>18</v>
      </c>
      <c r="H843">
        <v>52.2</v>
      </c>
      <c r="J843" t="s">
        <v>16</v>
      </c>
      <c r="K843" t="s">
        <v>17</v>
      </c>
    </row>
    <row r="844" spans="1:11" x14ac:dyDescent="0.2">
      <c r="A844" t="s">
        <v>140</v>
      </c>
      <c r="B844" s="1">
        <v>44999</v>
      </c>
      <c r="C844" t="s">
        <v>12</v>
      </c>
      <c r="D844" t="s">
        <v>33</v>
      </c>
      <c r="E844" t="s">
        <v>46</v>
      </c>
      <c r="F844" t="s">
        <v>15</v>
      </c>
      <c r="J844" t="s">
        <v>42</v>
      </c>
      <c r="K844" t="s">
        <v>27</v>
      </c>
    </row>
    <row r="845" spans="1:11" x14ac:dyDescent="0.2">
      <c r="A845" t="s">
        <v>164</v>
      </c>
      <c r="B845" s="1">
        <v>45013</v>
      </c>
      <c r="C845" t="s">
        <v>54</v>
      </c>
      <c r="D845" t="s">
        <v>33</v>
      </c>
      <c r="E845" t="s">
        <v>46</v>
      </c>
      <c r="F845" t="s">
        <v>34</v>
      </c>
      <c r="G845">
        <v>12</v>
      </c>
      <c r="H845">
        <v>1235.24</v>
      </c>
      <c r="I845">
        <v>0.11</v>
      </c>
      <c r="J845" t="s">
        <v>16</v>
      </c>
      <c r="K845" t="s">
        <v>17</v>
      </c>
    </row>
    <row r="846" spans="1:11" x14ac:dyDescent="0.2">
      <c r="A846" t="s">
        <v>133</v>
      </c>
      <c r="B846" s="1">
        <v>45018</v>
      </c>
      <c r="C846" t="s">
        <v>57</v>
      </c>
      <c r="D846" t="s">
        <v>31</v>
      </c>
      <c r="E846" t="s">
        <v>14</v>
      </c>
      <c r="J846" t="s">
        <v>52</v>
      </c>
      <c r="K846" t="s">
        <v>55</v>
      </c>
    </row>
    <row r="847" spans="1:11" x14ac:dyDescent="0.2">
      <c r="A847" t="s">
        <v>97</v>
      </c>
      <c r="B847" s="1">
        <v>45065</v>
      </c>
      <c r="C847" t="s">
        <v>63</v>
      </c>
      <c r="D847" t="s">
        <v>13</v>
      </c>
      <c r="E847" t="s">
        <v>14</v>
      </c>
      <c r="F847" t="s">
        <v>34</v>
      </c>
      <c r="G847">
        <v>3</v>
      </c>
      <c r="H847">
        <v>1724.81</v>
      </c>
      <c r="I847">
        <v>0.23</v>
      </c>
      <c r="J847" t="s">
        <v>52</v>
      </c>
      <c r="K847" t="s">
        <v>35</v>
      </c>
    </row>
    <row r="848" spans="1:11" x14ac:dyDescent="0.2">
      <c r="A848" t="s">
        <v>185</v>
      </c>
      <c r="B848" s="1">
        <v>45155</v>
      </c>
      <c r="C848" t="s">
        <v>63</v>
      </c>
      <c r="E848" t="s">
        <v>46</v>
      </c>
      <c r="F848" t="s">
        <v>26</v>
      </c>
      <c r="J848" t="s">
        <v>40</v>
      </c>
      <c r="K848" t="s">
        <v>35</v>
      </c>
    </row>
    <row r="849" spans="1:11" x14ac:dyDescent="0.2">
      <c r="A849" t="s">
        <v>227</v>
      </c>
      <c r="B849" s="1">
        <v>45124</v>
      </c>
      <c r="C849" t="s">
        <v>29</v>
      </c>
      <c r="D849" t="s">
        <v>59</v>
      </c>
      <c r="E849" t="s">
        <v>38</v>
      </c>
      <c r="F849" t="s">
        <v>39</v>
      </c>
      <c r="J849" t="s">
        <v>40</v>
      </c>
      <c r="K849" t="s">
        <v>35</v>
      </c>
    </row>
    <row r="850" spans="1:11" x14ac:dyDescent="0.2">
      <c r="A850" t="s">
        <v>142</v>
      </c>
      <c r="B850" s="1">
        <v>45141</v>
      </c>
      <c r="C850" t="s">
        <v>63</v>
      </c>
      <c r="D850" t="s">
        <v>31</v>
      </c>
      <c r="E850" t="s">
        <v>44</v>
      </c>
      <c r="F850" t="s">
        <v>39</v>
      </c>
      <c r="J850" t="s">
        <v>42</v>
      </c>
      <c r="K850" t="s">
        <v>17</v>
      </c>
    </row>
    <row r="851" spans="1:11" x14ac:dyDescent="0.2">
      <c r="A851" t="s">
        <v>76</v>
      </c>
      <c r="B851" s="1">
        <v>45324</v>
      </c>
      <c r="C851" t="s">
        <v>37</v>
      </c>
      <c r="D851" t="s">
        <v>13</v>
      </c>
      <c r="E851" t="s">
        <v>46</v>
      </c>
      <c r="F851" t="s">
        <v>15</v>
      </c>
      <c r="G851">
        <v>12</v>
      </c>
      <c r="H851">
        <v>414.53</v>
      </c>
      <c r="J851" t="s">
        <v>40</v>
      </c>
      <c r="K851" t="s">
        <v>27</v>
      </c>
    </row>
    <row r="852" spans="1:11" x14ac:dyDescent="0.2">
      <c r="A852" t="s">
        <v>62</v>
      </c>
      <c r="B852" s="1">
        <v>45105</v>
      </c>
      <c r="C852" t="s">
        <v>29</v>
      </c>
      <c r="E852" t="s">
        <v>25</v>
      </c>
      <c r="F852" t="s">
        <v>15</v>
      </c>
      <c r="J852" t="s">
        <v>40</v>
      </c>
      <c r="K852" t="s">
        <v>35</v>
      </c>
    </row>
    <row r="853" spans="1:11" x14ac:dyDescent="0.2">
      <c r="A853" t="s">
        <v>81</v>
      </c>
      <c r="B853" s="1">
        <v>44955</v>
      </c>
      <c r="C853" t="s">
        <v>51</v>
      </c>
      <c r="D853" t="s">
        <v>19</v>
      </c>
      <c r="E853" t="s">
        <v>48</v>
      </c>
      <c r="F853" t="s">
        <v>15</v>
      </c>
      <c r="J853" t="s">
        <v>16</v>
      </c>
      <c r="K853" t="s">
        <v>17</v>
      </c>
    </row>
    <row r="854" spans="1:11" x14ac:dyDescent="0.2">
      <c r="A854" t="s">
        <v>67</v>
      </c>
      <c r="B854" s="1">
        <v>45171</v>
      </c>
      <c r="C854" t="s">
        <v>51</v>
      </c>
      <c r="D854" t="s">
        <v>19</v>
      </c>
      <c r="E854" t="s">
        <v>20</v>
      </c>
      <c r="F854" t="s">
        <v>34</v>
      </c>
      <c r="G854">
        <v>5</v>
      </c>
      <c r="H854">
        <v>497.64</v>
      </c>
      <c r="J854" t="s">
        <v>40</v>
      </c>
      <c r="K854" t="s">
        <v>35</v>
      </c>
    </row>
    <row r="855" spans="1:11" x14ac:dyDescent="0.2">
      <c r="A855" t="s">
        <v>103</v>
      </c>
      <c r="B855" s="1">
        <v>45307</v>
      </c>
      <c r="C855" t="s">
        <v>51</v>
      </c>
      <c r="D855" t="s">
        <v>13</v>
      </c>
      <c r="E855" t="s">
        <v>44</v>
      </c>
      <c r="F855" t="s">
        <v>34</v>
      </c>
      <c r="J855" t="s">
        <v>16</v>
      </c>
      <c r="K855" t="s">
        <v>55</v>
      </c>
    </row>
    <row r="856" spans="1:11" x14ac:dyDescent="0.2">
      <c r="A856" t="s">
        <v>122</v>
      </c>
      <c r="B856" s="1">
        <v>45006</v>
      </c>
      <c r="C856" t="s">
        <v>12</v>
      </c>
      <c r="D856" t="s">
        <v>13</v>
      </c>
      <c r="E856" t="s">
        <v>46</v>
      </c>
      <c r="J856" t="s">
        <v>42</v>
      </c>
      <c r="K856" t="s">
        <v>17</v>
      </c>
    </row>
    <row r="857" spans="1:11" x14ac:dyDescent="0.2">
      <c r="A857" t="s">
        <v>195</v>
      </c>
      <c r="B857" s="1">
        <v>45059</v>
      </c>
      <c r="C857" t="s">
        <v>24</v>
      </c>
      <c r="D857" t="s">
        <v>13</v>
      </c>
      <c r="E857" t="s">
        <v>20</v>
      </c>
      <c r="F857" t="s">
        <v>39</v>
      </c>
      <c r="I857">
        <v>0.11</v>
      </c>
      <c r="K857" t="s">
        <v>35</v>
      </c>
    </row>
    <row r="858" spans="1:11" x14ac:dyDescent="0.2">
      <c r="A858" t="s">
        <v>98</v>
      </c>
      <c r="B858" s="1">
        <v>45243</v>
      </c>
      <c r="C858" t="s">
        <v>12</v>
      </c>
      <c r="D858" t="s">
        <v>33</v>
      </c>
      <c r="E858" t="s">
        <v>38</v>
      </c>
      <c r="F858" t="s">
        <v>15</v>
      </c>
      <c r="K858" t="s">
        <v>22</v>
      </c>
    </row>
    <row r="859" spans="1:11" x14ac:dyDescent="0.2">
      <c r="A859" t="s">
        <v>28</v>
      </c>
      <c r="B859" s="1">
        <v>45011</v>
      </c>
      <c r="C859" t="s">
        <v>12</v>
      </c>
      <c r="E859" t="s">
        <v>14</v>
      </c>
      <c r="F859" t="s">
        <v>39</v>
      </c>
      <c r="H859">
        <v>225.72</v>
      </c>
      <c r="J859" t="s">
        <v>16</v>
      </c>
      <c r="K859" t="s">
        <v>35</v>
      </c>
    </row>
    <row r="860" spans="1:11" x14ac:dyDescent="0.2">
      <c r="A860" t="s">
        <v>229</v>
      </c>
      <c r="B860" s="1">
        <v>45010</v>
      </c>
      <c r="C860" t="s">
        <v>54</v>
      </c>
      <c r="D860" t="s">
        <v>19</v>
      </c>
      <c r="E860" t="s">
        <v>20</v>
      </c>
      <c r="H860">
        <v>383.61</v>
      </c>
      <c r="I860">
        <v>0.19</v>
      </c>
      <c r="J860" t="s">
        <v>40</v>
      </c>
      <c r="K860" t="s">
        <v>55</v>
      </c>
    </row>
    <row r="861" spans="1:11" x14ac:dyDescent="0.2">
      <c r="A861" t="s">
        <v>174</v>
      </c>
      <c r="B861" s="1">
        <v>45218</v>
      </c>
      <c r="C861" t="s">
        <v>12</v>
      </c>
      <c r="D861" t="s">
        <v>31</v>
      </c>
      <c r="E861" t="s">
        <v>25</v>
      </c>
      <c r="F861" t="s">
        <v>39</v>
      </c>
      <c r="G861">
        <v>2</v>
      </c>
      <c r="J861" t="s">
        <v>52</v>
      </c>
      <c r="K861" t="s">
        <v>22</v>
      </c>
    </row>
    <row r="862" spans="1:11" x14ac:dyDescent="0.2">
      <c r="A862" t="s">
        <v>238</v>
      </c>
      <c r="B862" s="1">
        <v>45026</v>
      </c>
      <c r="C862" t="s">
        <v>29</v>
      </c>
      <c r="E862" t="s">
        <v>38</v>
      </c>
      <c r="F862" t="s">
        <v>34</v>
      </c>
      <c r="J862" t="s">
        <v>21</v>
      </c>
      <c r="K862" t="s">
        <v>27</v>
      </c>
    </row>
    <row r="863" spans="1:11" x14ac:dyDescent="0.2">
      <c r="A863" t="s">
        <v>238</v>
      </c>
      <c r="B863" s="1">
        <v>45323</v>
      </c>
      <c r="C863" t="s">
        <v>51</v>
      </c>
      <c r="D863" t="s">
        <v>19</v>
      </c>
      <c r="E863" t="s">
        <v>44</v>
      </c>
      <c r="F863" t="s">
        <v>39</v>
      </c>
      <c r="H863">
        <v>1738.94</v>
      </c>
      <c r="I863">
        <v>0.09</v>
      </c>
      <c r="K863" t="s">
        <v>22</v>
      </c>
    </row>
    <row r="864" spans="1:11" x14ac:dyDescent="0.2">
      <c r="A864" t="s">
        <v>236</v>
      </c>
      <c r="B864" s="1">
        <v>45247</v>
      </c>
      <c r="C864" t="s">
        <v>54</v>
      </c>
      <c r="D864" t="s">
        <v>13</v>
      </c>
      <c r="E864" t="s">
        <v>20</v>
      </c>
      <c r="F864" t="s">
        <v>15</v>
      </c>
      <c r="J864" t="s">
        <v>21</v>
      </c>
      <c r="K864" t="s">
        <v>17</v>
      </c>
    </row>
    <row r="865" spans="1:11" x14ac:dyDescent="0.2">
      <c r="A865" t="s">
        <v>227</v>
      </c>
      <c r="B865" s="1">
        <v>45101</v>
      </c>
      <c r="C865" t="s">
        <v>63</v>
      </c>
      <c r="E865" t="s">
        <v>20</v>
      </c>
      <c r="F865" t="s">
        <v>34</v>
      </c>
      <c r="K865" t="s">
        <v>22</v>
      </c>
    </row>
    <row r="866" spans="1:11" x14ac:dyDescent="0.2">
      <c r="A866" t="s">
        <v>172</v>
      </c>
      <c r="B866" s="1">
        <v>45033</v>
      </c>
      <c r="C866" t="s">
        <v>54</v>
      </c>
      <c r="D866" t="s">
        <v>33</v>
      </c>
      <c r="E866" t="s">
        <v>44</v>
      </c>
      <c r="F866" t="s">
        <v>39</v>
      </c>
      <c r="G866">
        <v>4</v>
      </c>
      <c r="I866">
        <v>0.16</v>
      </c>
      <c r="J866" t="s">
        <v>42</v>
      </c>
      <c r="K866" t="s">
        <v>27</v>
      </c>
    </row>
    <row r="867" spans="1:11" x14ac:dyDescent="0.2">
      <c r="A867" t="s">
        <v>125</v>
      </c>
      <c r="B867" s="1">
        <v>45087</v>
      </c>
      <c r="C867" t="s">
        <v>51</v>
      </c>
      <c r="D867" t="s">
        <v>59</v>
      </c>
      <c r="E867" t="s">
        <v>20</v>
      </c>
      <c r="F867" t="s">
        <v>26</v>
      </c>
      <c r="H867">
        <v>733.02</v>
      </c>
      <c r="J867" t="s">
        <v>42</v>
      </c>
      <c r="K867" t="s">
        <v>55</v>
      </c>
    </row>
    <row r="868" spans="1:11" x14ac:dyDescent="0.2">
      <c r="A868" t="s">
        <v>205</v>
      </c>
      <c r="B868" s="1">
        <v>45058</v>
      </c>
      <c r="C868" t="s">
        <v>63</v>
      </c>
      <c r="D868" t="s">
        <v>13</v>
      </c>
      <c r="E868" t="s">
        <v>20</v>
      </c>
      <c r="F868" t="s">
        <v>26</v>
      </c>
      <c r="K868" t="s">
        <v>35</v>
      </c>
    </row>
    <row r="869" spans="1:11" x14ac:dyDescent="0.2">
      <c r="A869" t="s">
        <v>183</v>
      </c>
      <c r="B869" s="1">
        <v>45114</v>
      </c>
      <c r="C869" t="s">
        <v>29</v>
      </c>
      <c r="D869" t="s">
        <v>59</v>
      </c>
      <c r="E869" t="s">
        <v>46</v>
      </c>
      <c r="F869" t="s">
        <v>39</v>
      </c>
      <c r="J869" t="s">
        <v>16</v>
      </c>
      <c r="K869" t="s">
        <v>35</v>
      </c>
    </row>
    <row r="870" spans="1:11" x14ac:dyDescent="0.2">
      <c r="A870" t="s">
        <v>244</v>
      </c>
      <c r="B870" s="1">
        <v>45214</v>
      </c>
      <c r="C870" t="s">
        <v>12</v>
      </c>
      <c r="D870" t="s">
        <v>33</v>
      </c>
      <c r="E870" t="s">
        <v>25</v>
      </c>
      <c r="F870" t="s">
        <v>26</v>
      </c>
      <c r="I870">
        <v>0.26</v>
      </c>
      <c r="J870" t="s">
        <v>42</v>
      </c>
      <c r="K870" t="s">
        <v>22</v>
      </c>
    </row>
    <row r="871" spans="1:11" x14ac:dyDescent="0.2">
      <c r="A871" t="s">
        <v>104</v>
      </c>
      <c r="B871" s="1">
        <v>44974</v>
      </c>
      <c r="C871" t="s">
        <v>29</v>
      </c>
      <c r="D871" t="s">
        <v>83</v>
      </c>
      <c r="E871" t="s">
        <v>38</v>
      </c>
      <c r="G871">
        <v>15</v>
      </c>
      <c r="J871" t="s">
        <v>42</v>
      </c>
      <c r="K871" t="s">
        <v>35</v>
      </c>
    </row>
    <row r="872" spans="1:11" x14ac:dyDescent="0.2">
      <c r="A872" t="s">
        <v>98</v>
      </c>
      <c r="B872" s="1">
        <v>45095</v>
      </c>
      <c r="C872" t="s">
        <v>54</v>
      </c>
      <c r="D872" t="s">
        <v>59</v>
      </c>
      <c r="E872" t="s">
        <v>14</v>
      </c>
      <c r="G872">
        <v>16</v>
      </c>
      <c r="J872" t="s">
        <v>16</v>
      </c>
      <c r="K872" t="s">
        <v>17</v>
      </c>
    </row>
    <row r="873" spans="1:11" x14ac:dyDescent="0.2">
      <c r="A873" t="s">
        <v>50</v>
      </c>
      <c r="B873" s="1">
        <v>45167</v>
      </c>
      <c r="C873" t="s">
        <v>51</v>
      </c>
      <c r="D873" t="s">
        <v>13</v>
      </c>
      <c r="E873" t="s">
        <v>20</v>
      </c>
      <c r="F873" t="s">
        <v>34</v>
      </c>
      <c r="G873">
        <v>19</v>
      </c>
      <c r="J873" t="s">
        <v>42</v>
      </c>
      <c r="K873" t="s">
        <v>22</v>
      </c>
    </row>
    <row r="874" spans="1:11" x14ac:dyDescent="0.2">
      <c r="A874" t="s">
        <v>93</v>
      </c>
      <c r="B874" s="1">
        <v>44954</v>
      </c>
      <c r="C874" t="s">
        <v>37</v>
      </c>
      <c r="E874" t="s">
        <v>46</v>
      </c>
      <c r="F874" t="s">
        <v>39</v>
      </c>
      <c r="H874">
        <v>1275.02</v>
      </c>
      <c r="J874" t="s">
        <v>42</v>
      </c>
      <c r="K874" t="s">
        <v>27</v>
      </c>
    </row>
    <row r="875" spans="1:11" x14ac:dyDescent="0.2">
      <c r="A875" t="s">
        <v>173</v>
      </c>
      <c r="B875" s="1">
        <v>45291</v>
      </c>
      <c r="C875" t="s">
        <v>63</v>
      </c>
      <c r="E875" t="s">
        <v>38</v>
      </c>
      <c r="H875">
        <v>1787.22</v>
      </c>
      <c r="I875">
        <v>0.25</v>
      </c>
      <c r="J875" t="s">
        <v>42</v>
      </c>
      <c r="K875" t="s">
        <v>55</v>
      </c>
    </row>
    <row r="876" spans="1:11" x14ac:dyDescent="0.2">
      <c r="A876" t="s">
        <v>176</v>
      </c>
      <c r="B876" s="1">
        <v>45079</v>
      </c>
      <c r="C876" t="s">
        <v>51</v>
      </c>
      <c r="D876" t="s">
        <v>33</v>
      </c>
      <c r="E876" t="s">
        <v>14</v>
      </c>
      <c r="F876" t="s">
        <v>39</v>
      </c>
      <c r="H876">
        <v>1075.6600000000001</v>
      </c>
      <c r="J876" t="s">
        <v>52</v>
      </c>
      <c r="K876" t="s">
        <v>17</v>
      </c>
    </row>
    <row r="877" spans="1:11" x14ac:dyDescent="0.2">
      <c r="A877" t="s">
        <v>185</v>
      </c>
      <c r="B877" s="1">
        <v>44932</v>
      </c>
      <c r="C877" t="s">
        <v>37</v>
      </c>
      <c r="D877" t="s">
        <v>19</v>
      </c>
      <c r="E877" t="s">
        <v>48</v>
      </c>
      <c r="G877">
        <v>20</v>
      </c>
      <c r="K877" t="s">
        <v>55</v>
      </c>
    </row>
    <row r="878" spans="1:11" x14ac:dyDescent="0.2">
      <c r="A878" t="s">
        <v>243</v>
      </c>
      <c r="B878" s="1">
        <v>45004</v>
      </c>
      <c r="C878" t="s">
        <v>63</v>
      </c>
      <c r="D878" t="s">
        <v>33</v>
      </c>
      <c r="E878" t="s">
        <v>38</v>
      </c>
      <c r="F878" t="s">
        <v>34</v>
      </c>
      <c r="J878" t="s">
        <v>40</v>
      </c>
      <c r="K878" t="s">
        <v>22</v>
      </c>
    </row>
    <row r="879" spans="1:11" x14ac:dyDescent="0.2">
      <c r="A879" t="s">
        <v>11</v>
      </c>
      <c r="B879" s="1">
        <v>45223</v>
      </c>
      <c r="C879" t="s">
        <v>54</v>
      </c>
      <c r="D879" t="s">
        <v>19</v>
      </c>
      <c r="E879" t="s">
        <v>20</v>
      </c>
      <c r="F879" t="s">
        <v>15</v>
      </c>
      <c r="H879">
        <v>1096.71</v>
      </c>
      <c r="I879">
        <v>0.18</v>
      </c>
      <c r="J879" t="s">
        <v>52</v>
      </c>
      <c r="K879" t="s">
        <v>35</v>
      </c>
    </row>
    <row r="880" spans="1:11" x14ac:dyDescent="0.2">
      <c r="A880" t="s">
        <v>111</v>
      </c>
      <c r="B880" s="1">
        <v>45274</v>
      </c>
      <c r="C880" t="s">
        <v>12</v>
      </c>
      <c r="D880" t="s">
        <v>59</v>
      </c>
      <c r="E880" t="s">
        <v>25</v>
      </c>
      <c r="F880" t="s">
        <v>34</v>
      </c>
      <c r="I880">
        <v>0.25</v>
      </c>
      <c r="K880" t="s">
        <v>22</v>
      </c>
    </row>
    <row r="881" spans="1:11" x14ac:dyDescent="0.2">
      <c r="A881" t="s">
        <v>147</v>
      </c>
      <c r="B881" s="1">
        <v>45160</v>
      </c>
      <c r="C881" t="s">
        <v>57</v>
      </c>
      <c r="D881" t="s">
        <v>83</v>
      </c>
      <c r="E881" t="s">
        <v>14</v>
      </c>
      <c r="F881" t="s">
        <v>34</v>
      </c>
      <c r="I881">
        <v>0.03</v>
      </c>
      <c r="J881" t="s">
        <v>42</v>
      </c>
      <c r="K881" t="s">
        <v>22</v>
      </c>
    </row>
    <row r="882" spans="1:11" x14ac:dyDescent="0.2">
      <c r="A882" t="s">
        <v>194</v>
      </c>
      <c r="B882" s="1">
        <v>45017</v>
      </c>
      <c r="C882" t="s">
        <v>51</v>
      </c>
      <c r="D882" t="s">
        <v>31</v>
      </c>
      <c r="E882" t="s">
        <v>38</v>
      </c>
      <c r="F882" t="s">
        <v>39</v>
      </c>
      <c r="J882" t="s">
        <v>21</v>
      </c>
      <c r="K882" t="s">
        <v>27</v>
      </c>
    </row>
    <row r="883" spans="1:11" x14ac:dyDescent="0.2">
      <c r="A883" t="s">
        <v>201</v>
      </c>
      <c r="B883" s="1">
        <v>44980</v>
      </c>
      <c r="C883" t="s">
        <v>54</v>
      </c>
      <c r="D883" t="s">
        <v>13</v>
      </c>
      <c r="E883" t="s">
        <v>46</v>
      </c>
      <c r="G883">
        <v>14</v>
      </c>
      <c r="I883">
        <v>0.28000000000000003</v>
      </c>
      <c r="K883" t="s">
        <v>22</v>
      </c>
    </row>
    <row r="884" spans="1:11" x14ac:dyDescent="0.2">
      <c r="A884" t="s">
        <v>238</v>
      </c>
      <c r="B884" s="1">
        <v>45224</v>
      </c>
      <c r="C884" t="s">
        <v>12</v>
      </c>
      <c r="D884" t="s">
        <v>13</v>
      </c>
      <c r="E884" t="s">
        <v>14</v>
      </c>
      <c r="F884" t="s">
        <v>39</v>
      </c>
      <c r="G884">
        <v>7</v>
      </c>
      <c r="I884">
        <v>0.11</v>
      </c>
      <c r="J884" t="s">
        <v>42</v>
      </c>
      <c r="K884" t="s">
        <v>27</v>
      </c>
    </row>
    <row r="885" spans="1:11" x14ac:dyDescent="0.2">
      <c r="A885" t="s">
        <v>144</v>
      </c>
      <c r="B885" s="1">
        <v>45164</v>
      </c>
      <c r="C885" t="s">
        <v>57</v>
      </c>
      <c r="E885" t="s">
        <v>48</v>
      </c>
      <c r="F885" t="s">
        <v>39</v>
      </c>
      <c r="J885" t="s">
        <v>52</v>
      </c>
      <c r="K885" t="s">
        <v>55</v>
      </c>
    </row>
    <row r="886" spans="1:11" x14ac:dyDescent="0.2">
      <c r="A886" t="s">
        <v>140</v>
      </c>
      <c r="B886" s="1">
        <v>45271</v>
      </c>
      <c r="C886" t="s">
        <v>37</v>
      </c>
      <c r="D886" t="s">
        <v>19</v>
      </c>
      <c r="E886" t="s">
        <v>38</v>
      </c>
      <c r="F886" t="s">
        <v>26</v>
      </c>
      <c r="G886">
        <v>1</v>
      </c>
      <c r="K886" t="s">
        <v>17</v>
      </c>
    </row>
    <row r="887" spans="1:11" x14ac:dyDescent="0.2">
      <c r="A887" t="s">
        <v>169</v>
      </c>
      <c r="B887" s="1">
        <v>45098</v>
      </c>
      <c r="C887" t="s">
        <v>51</v>
      </c>
      <c r="D887" t="s">
        <v>31</v>
      </c>
      <c r="E887" t="s">
        <v>38</v>
      </c>
      <c r="F887" t="s">
        <v>15</v>
      </c>
      <c r="I887">
        <v>0.12</v>
      </c>
      <c r="J887" t="s">
        <v>21</v>
      </c>
      <c r="K887" t="s">
        <v>22</v>
      </c>
    </row>
    <row r="888" spans="1:11" x14ac:dyDescent="0.2">
      <c r="A888" t="s">
        <v>88</v>
      </c>
      <c r="B888" s="1">
        <v>45252</v>
      </c>
      <c r="C888" t="s">
        <v>57</v>
      </c>
      <c r="D888" t="s">
        <v>13</v>
      </c>
      <c r="E888" t="s">
        <v>20</v>
      </c>
      <c r="F888" t="s">
        <v>39</v>
      </c>
      <c r="H888">
        <v>325.3</v>
      </c>
      <c r="I888">
        <v>0.03</v>
      </c>
      <c r="J888" t="s">
        <v>21</v>
      </c>
      <c r="K888" t="s">
        <v>27</v>
      </c>
    </row>
    <row r="889" spans="1:11" x14ac:dyDescent="0.2">
      <c r="A889" t="s">
        <v>235</v>
      </c>
      <c r="B889" s="1">
        <v>45222</v>
      </c>
      <c r="C889" t="s">
        <v>57</v>
      </c>
      <c r="E889" t="s">
        <v>25</v>
      </c>
      <c r="F889" t="s">
        <v>34</v>
      </c>
      <c r="G889">
        <v>18</v>
      </c>
      <c r="H889">
        <v>1897.91</v>
      </c>
      <c r="I889">
        <v>0.03</v>
      </c>
      <c r="J889" t="s">
        <v>42</v>
      </c>
      <c r="K889" t="s">
        <v>27</v>
      </c>
    </row>
    <row r="890" spans="1:11" x14ac:dyDescent="0.2">
      <c r="A890" t="s">
        <v>116</v>
      </c>
      <c r="B890" s="1">
        <v>45321</v>
      </c>
      <c r="C890" t="s">
        <v>51</v>
      </c>
      <c r="D890" t="s">
        <v>19</v>
      </c>
      <c r="E890" t="s">
        <v>44</v>
      </c>
      <c r="K890" t="s">
        <v>55</v>
      </c>
    </row>
    <row r="891" spans="1:11" x14ac:dyDescent="0.2">
      <c r="A891" t="s">
        <v>171</v>
      </c>
      <c r="B891" s="1">
        <v>45049</v>
      </c>
      <c r="C891" t="s">
        <v>37</v>
      </c>
      <c r="D891" t="s">
        <v>59</v>
      </c>
      <c r="E891" t="s">
        <v>20</v>
      </c>
      <c r="J891" t="s">
        <v>16</v>
      </c>
      <c r="K891" t="s">
        <v>55</v>
      </c>
    </row>
    <row r="892" spans="1:11" x14ac:dyDescent="0.2">
      <c r="A892" t="s">
        <v>174</v>
      </c>
      <c r="B892" s="1">
        <v>45000</v>
      </c>
      <c r="C892" t="s">
        <v>12</v>
      </c>
      <c r="D892" t="s">
        <v>13</v>
      </c>
      <c r="E892" t="s">
        <v>44</v>
      </c>
      <c r="F892" t="s">
        <v>26</v>
      </c>
      <c r="H892">
        <v>1855.13</v>
      </c>
      <c r="J892" t="s">
        <v>52</v>
      </c>
      <c r="K892" t="s">
        <v>35</v>
      </c>
    </row>
    <row r="893" spans="1:11" x14ac:dyDescent="0.2">
      <c r="A893" t="s">
        <v>126</v>
      </c>
      <c r="B893" s="1">
        <v>44966</v>
      </c>
      <c r="C893" t="s">
        <v>63</v>
      </c>
      <c r="E893" t="s">
        <v>14</v>
      </c>
      <c r="F893" t="s">
        <v>15</v>
      </c>
      <c r="G893">
        <v>13</v>
      </c>
      <c r="H893">
        <v>987.16</v>
      </c>
      <c r="K893" t="s">
        <v>27</v>
      </c>
    </row>
    <row r="894" spans="1:11" x14ac:dyDescent="0.2">
      <c r="A894" t="s">
        <v>225</v>
      </c>
      <c r="B894" s="1">
        <v>45278</v>
      </c>
      <c r="C894" t="s">
        <v>57</v>
      </c>
      <c r="D894" t="s">
        <v>83</v>
      </c>
      <c r="E894" t="s">
        <v>14</v>
      </c>
      <c r="F894" t="s">
        <v>39</v>
      </c>
      <c r="G894">
        <v>6</v>
      </c>
      <c r="H894">
        <v>604.52</v>
      </c>
      <c r="J894" t="s">
        <v>21</v>
      </c>
      <c r="K894" t="s">
        <v>27</v>
      </c>
    </row>
    <row r="895" spans="1:11" x14ac:dyDescent="0.2">
      <c r="A895" t="s">
        <v>131</v>
      </c>
      <c r="B895" s="1">
        <v>45102</v>
      </c>
      <c r="C895" t="s">
        <v>29</v>
      </c>
      <c r="D895" t="s">
        <v>83</v>
      </c>
      <c r="E895" t="s">
        <v>44</v>
      </c>
      <c r="G895">
        <v>18</v>
      </c>
      <c r="I895">
        <v>0.08</v>
      </c>
      <c r="J895" t="s">
        <v>40</v>
      </c>
      <c r="K895" t="s">
        <v>17</v>
      </c>
    </row>
    <row r="896" spans="1:11" x14ac:dyDescent="0.2">
      <c r="A896" t="s">
        <v>209</v>
      </c>
      <c r="B896" s="1">
        <v>45201</v>
      </c>
      <c r="C896" t="s">
        <v>12</v>
      </c>
      <c r="D896" t="s">
        <v>31</v>
      </c>
      <c r="E896" t="s">
        <v>44</v>
      </c>
      <c r="F896" t="s">
        <v>15</v>
      </c>
      <c r="H896">
        <v>238.43</v>
      </c>
      <c r="I896">
        <v>0.01</v>
      </c>
      <c r="J896" t="s">
        <v>40</v>
      </c>
      <c r="K896" t="s">
        <v>27</v>
      </c>
    </row>
    <row r="897" spans="1:11" x14ac:dyDescent="0.2">
      <c r="A897" t="s">
        <v>139</v>
      </c>
      <c r="B897" s="1">
        <v>45281</v>
      </c>
      <c r="C897" t="s">
        <v>51</v>
      </c>
      <c r="D897" t="s">
        <v>59</v>
      </c>
      <c r="E897" t="s">
        <v>14</v>
      </c>
      <c r="F897" t="s">
        <v>39</v>
      </c>
      <c r="G897">
        <v>7</v>
      </c>
      <c r="K897" t="s">
        <v>22</v>
      </c>
    </row>
    <row r="898" spans="1:11" x14ac:dyDescent="0.2">
      <c r="A898" t="s">
        <v>92</v>
      </c>
      <c r="B898" s="1">
        <v>45189</v>
      </c>
      <c r="C898" t="s">
        <v>57</v>
      </c>
      <c r="D898" t="s">
        <v>33</v>
      </c>
      <c r="E898" t="s">
        <v>14</v>
      </c>
      <c r="F898" t="s">
        <v>15</v>
      </c>
      <c r="J898" t="s">
        <v>16</v>
      </c>
      <c r="K898" t="s">
        <v>17</v>
      </c>
    </row>
    <row r="899" spans="1:11" x14ac:dyDescent="0.2">
      <c r="A899" t="s">
        <v>227</v>
      </c>
      <c r="B899" s="1">
        <v>45227</v>
      </c>
      <c r="C899" t="s">
        <v>24</v>
      </c>
      <c r="D899" t="s">
        <v>33</v>
      </c>
      <c r="E899" t="s">
        <v>25</v>
      </c>
      <c r="F899" t="s">
        <v>15</v>
      </c>
      <c r="J899" t="s">
        <v>52</v>
      </c>
      <c r="K899" t="s">
        <v>17</v>
      </c>
    </row>
    <row r="900" spans="1:11" x14ac:dyDescent="0.2">
      <c r="A900" t="s">
        <v>199</v>
      </c>
      <c r="B900" s="1">
        <v>45237</v>
      </c>
      <c r="C900" t="s">
        <v>57</v>
      </c>
      <c r="D900" t="s">
        <v>83</v>
      </c>
      <c r="E900" t="s">
        <v>20</v>
      </c>
      <c r="H900">
        <v>1796.81</v>
      </c>
      <c r="I900">
        <v>0.13</v>
      </c>
      <c r="J900" t="s">
        <v>21</v>
      </c>
      <c r="K900" t="s">
        <v>55</v>
      </c>
    </row>
    <row r="901" spans="1:11" x14ac:dyDescent="0.2">
      <c r="A901" t="s">
        <v>110</v>
      </c>
      <c r="B901" s="1">
        <v>45136</v>
      </c>
      <c r="C901" t="s">
        <v>24</v>
      </c>
      <c r="D901" t="s">
        <v>31</v>
      </c>
      <c r="E901" t="s">
        <v>25</v>
      </c>
      <c r="H901">
        <v>69.58</v>
      </c>
      <c r="J901" t="s">
        <v>40</v>
      </c>
      <c r="K901" t="s">
        <v>55</v>
      </c>
    </row>
    <row r="902" spans="1:11" x14ac:dyDescent="0.2">
      <c r="A902" t="s">
        <v>61</v>
      </c>
      <c r="B902" s="1">
        <v>44964</v>
      </c>
      <c r="C902" t="s">
        <v>37</v>
      </c>
      <c r="D902" t="s">
        <v>13</v>
      </c>
      <c r="E902" t="s">
        <v>14</v>
      </c>
      <c r="F902" t="s">
        <v>34</v>
      </c>
      <c r="J902" t="s">
        <v>52</v>
      </c>
      <c r="K902" t="s">
        <v>35</v>
      </c>
    </row>
    <row r="903" spans="1:11" x14ac:dyDescent="0.2">
      <c r="A903" t="s">
        <v>204</v>
      </c>
      <c r="B903" s="1">
        <v>45217</v>
      </c>
      <c r="C903" t="s">
        <v>29</v>
      </c>
      <c r="D903" t="s">
        <v>33</v>
      </c>
      <c r="E903" t="s">
        <v>44</v>
      </c>
      <c r="F903" t="s">
        <v>26</v>
      </c>
      <c r="J903" t="s">
        <v>52</v>
      </c>
      <c r="K903" t="s">
        <v>17</v>
      </c>
    </row>
    <row r="904" spans="1:11" x14ac:dyDescent="0.2">
      <c r="A904" t="s">
        <v>104</v>
      </c>
      <c r="B904" s="1">
        <v>44965</v>
      </c>
      <c r="C904" t="s">
        <v>57</v>
      </c>
      <c r="D904" t="s">
        <v>13</v>
      </c>
      <c r="E904" t="s">
        <v>25</v>
      </c>
      <c r="F904" t="s">
        <v>39</v>
      </c>
      <c r="H904">
        <v>404.32</v>
      </c>
      <c r="J904" t="s">
        <v>16</v>
      </c>
      <c r="K904" t="s">
        <v>55</v>
      </c>
    </row>
    <row r="905" spans="1:11" x14ac:dyDescent="0.2">
      <c r="A905" t="s">
        <v>212</v>
      </c>
      <c r="B905" s="1">
        <v>44988</v>
      </c>
      <c r="C905" t="s">
        <v>54</v>
      </c>
      <c r="D905" t="s">
        <v>83</v>
      </c>
      <c r="E905" t="s">
        <v>20</v>
      </c>
      <c r="I905">
        <v>0.01</v>
      </c>
      <c r="K905" t="s">
        <v>17</v>
      </c>
    </row>
    <row r="906" spans="1:11" x14ac:dyDescent="0.2">
      <c r="A906" t="s">
        <v>237</v>
      </c>
      <c r="B906" s="1">
        <v>45163</v>
      </c>
      <c r="C906" t="s">
        <v>24</v>
      </c>
      <c r="D906" t="s">
        <v>33</v>
      </c>
      <c r="E906" t="s">
        <v>25</v>
      </c>
      <c r="F906" t="s">
        <v>39</v>
      </c>
      <c r="H906">
        <v>1836.89</v>
      </c>
      <c r="I906">
        <v>0.1</v>
      </c>
      <c r="J906" t="s">
        <v>16</v>
      </c>
      <c r="K906" t="s">
        <v>22</v>
      </c>
    </row>
    <row r="907" spans="1:11" x14ac:dyDescent="0.2">
      <c r="A907" t="s">
        <v>241</v>
      </c>
      <c r="B907" s="1">
        <v>45139</v>
      </c>
      <c r="C907" t="s">
        <v>24</v>
      </c>
      <c r="D907" t="s">
        <v>59</v>
      </c>
      <c r="E907" t="s">
        <v>14</v>
      </c>
      <c r="F907" t="s">
        <v>34</v>
      </c>
      <c r="G907">
        <v>13</v>
      </c>
      <c r="I907">
        <v>0.15</v>
      </c>
      <c r="J907" t="s">
        <v>42</v>
      </c>
      <c r="K907" t="s">
        <v>55</v>
      </c>
    </row>
    <row r="908" spans="1:11" x14ac:dyDescent="0.2">
      <c r="A908" t="s">
        <v>65</v>
      </c>
      <c r="B908" s="1">
        <v>45159</v>
      </c>
      <c r="C908" t="s">
        <v>63</v>
      </c>
      <c r="E908" t="s">
        <v>48</v>
      </c>
      <c r="F908" t="s">
        <v>26</v>
      </c>
      <c r="H908">
        <v>214.46</v>
      </c>
      <c r="I908">
        <v>0.01</v>
      </c>
      <c r="J908" t="s">
        <v>40</v>
      </c>
      <c r="K908" t="s">
        <v>27</v>
      </c>
    </row>
    <row r="909" spans="1:11" x14ac:dyDescent="0.2">
      <c r="A909" t="s">
        <v>105</v>
      </c>
      <c r="B909" s="1">
        <v>45279</v>
      </c>
      <c r="C909" t="s">
        <v>57</v>
      </c>
      <c r="D909" t="s">
        <v>33</v>
      </c>
      <c r="E909" t="s">
        <v>20</v>
      </c>
      <c r="F909" t="s">
        <v>26</v>
      </c>
      <c r="J909" t="s">
        <v>16</v>
      </c>
      <c r="K909" t="s">
        <v>27</v>
      </c>
    </row>
    <row r="910" spans="1:11" x14ac:dyDescent="0.2">
      <c r="A910" t="s">
        <v>206</v>
      </c>
      <c r="B910" s="1">
        <v>44949</v>
      </c>
      <c r="C910" t="s">
        <v>54</v>
      </c>
      <c r="D910" t="s">
        <v>19</v>
      </c>
      <c r="E910" t="s">
        <v>14</v>
      </c>
      <c r="F910" t="s">
        <v>26</v>
      </c>
      <c r="I910">
        <v>0.08</v>
      </c>
      <c r="J910" t="s">
        <v>40</v>
      </c>
      <c r="K910" t="s">
        <v>17</v>
      </c>
    </row>
    <row r="911" spans="1:11" x14ac:dyDescent="0.2">
      <c r="A911" t="s">
        <v>167</v>
      </c>
      <c r="B911" s="1">
        <v>44988</v>
      </c>
      <c r="C911" t="s">
        <v>51</v>
      </c>
      <c r="D911" t="s">
        <v>59</v>
      </c>
      <c r="E911" t="s">
        <v>25</v>
      </c>
      <c r="F911" t="s">
        <v>15</v>
      </c>
      <c r="J911" t="s">
        <v>40</v>
      </c>
      <c r="K911" t="s">
        <v>17</v>
      </c>
    </row>
    <row r="912" spans="1:11" x14ac:dyDescent="0.2">
      <c r="A912" t="s">
        <v>161</v>
      </c>
      <c r="B912" s="1">
        <v>45265</v>
      </c>
      <c r="C912" t="s">
        <v>63</v>
      </c>
      <c r="D912" t="s">
        <v>59</v>
      </c>
      <c r="E912" t="s">
        <v>14</v>
      </c>
      <c r="F912" t="s">
        <v>39</v>
      </c>
      <c r="G912">
        <v>8</v>
      </c>
      <c r="J912" t="s">
        <v>21</v>
      </c>
      <c r="K912" t="s">
        <v>35</v>
      </c>
    </row>
    <row r="913" spans="1:11" x14ac:dyDescent="0.2">
      <c r="A913" t="s">
        <v>224</v>
      </c>
      <c r="B913" s="1">
        <v>45258</v>
      </c>
      <c r="C913" t="s">
        <v>37</v>
      </c>
      <c r="D913" t="s">
        <v>13</v>
      </c>
      <c r="E913" t="s">
        <v>46</v>
      </c>
      <c r="F913" t="s">
        <v>26</v>
      </c>
      <c r="G913">
        <v>16</v>
      </c>
      <c r="J913" t="s">
        <v>40</v>
      </c>
      <c r="K913" t="s">
        <v>22</v>
      </c>
    </row>
    <row r="914" spans="1:11" x14ac:dyDescent="0.2">
      <c r="A914" t="s">
        <v>97</v>
      </c>
      <c r="B914" s="1">
        <v>45101</v>
      </c>
      <c r="C914" t="s">
        <v>37</v>
      </c>
      <c r="E914" t="s">
        <v>44</v>
      </c>
      <c r="J914" t="s">
        <v>40</v>
      </c>
      <c r="K914" t="s">
        <v>17</v>
      </c>
    </row>
    <row r="915" spans="1:11" x14ac:dyDescent="0.2">
      <c r="A915" t="s">
        <v>199</v>
      </c>
      <c r="B915" s="1">
        <v>44993</v>
      </c>
      <c r="C915" t="s">
        <v>37</v>
      </c>
      <c r="D915" t="s">
        <v>59</v>
      </c>
      <c r="E915" t="s">
        <v>38</v>
      </c>
      <c r="F915" t="s">
        <v>39</v>
      </c>
      <c r="J915" t="s">
        <v>42</v>
      </c>
      <c r="K915" t="s">
        <v>35</v>
      </c>
    </row>
    <row r="916" spans="1:11" x14ac:dyDescent="0.2">
      <c r="A916" t="s">
        <v>232</v>
      </c>
      <c r="B916" s="1">
        <v>45084</v>
      </c>
      <c r="C916" t="s">
        <v>54</v>
      </c>
      <c r="D916" t="s">
        <v>33</v>
      </c>
      <c r="E916" t="s">
        <v>38</v>
      </c>
      <c r="F916" t="s">
        <v>26</v>
      </c>
      <c r="G916">
        <v>4</v>
      </c>
      <c r="I916">
        <v>0.06</v>
      </c>
      <c r="J916" t="s">
        <v>42</v>
      </c>
      <c r="K916" t="s">
        <v>17</v>
      </c>
    </row>
    <row r="917" spans="1:11" x14ac:dyDescent="0.2">
      <c r="A917" t="s">
        <v>149</v>
      </c>
      <c r="B917" s="1">
        <v>45107</v>
      </c>
      <c r="C917" t="s">
        <v>24</v>
      </c>
      <c r="D917" t="s">
        <v>19</v>
      </c>
      <c r="E917" t="s">
        <v>44</v>
      </c>
      <c r="F917" t="s">
        <v>26</v>
      </c>
      <c r="J917" t="s">
        <v>52</v>
      </c>
      <c r="K917" t="s">
        <v>27</v>
      </c>
    </row>
    <row r="918" spans="1:11" x14ac:dyDescent="0.2">
      <c r="A918" t="s">
        <v>183</v>
      </c>
      <c r="B918" s="1">
        <v>45066</v>
      </c>
      <c r="C918" t="s">
        <v>29</v>
      </c>
      <c r="D918" t="s">
        <v>19</v>
      </c>
      <c r="E918" t="s">
        <v>46</v>
      </c>
      <c r="F918" t="s">
        <v>39</v>
      </c>
      <c r="G918">
        <v>14</v>
      </c>
      <c r="J918" t="s">
        <v>21</v>
      </c>
      <c r="K918" t="s">
        <v>17</v>
      </c>
    </row>
    <row r="919" spans="1:11" x14ac:dyDescent="0.2">
      <c r="A919" t="s">
        <v>45</v>
      </c>
      <c r="B919" s="1">
        <v>45192</v>
      </c>
      <c r="C919" t="s">
        <v>57</v>
      </c>
      <c r="D919" t="s">
        <v>19</v>
      </c>
      <c r="E919" t="s">
        <v>48</v>
      </c>
      <c r="F919" t="s">
        <v>26</v>
      </c>
      <c r="G919">
        <v>8</v>
      </c>
      <c r="H919">
        <v>446.96</v>
      </c>
      <c r="J919" t="s">
        <v>52</v>
      </c>
      <c r="K919" t="s">
        <v>35</v>
      </c>
    </row>
    <row r="920" spans="1:11" x14ac:dyDescent="0.2">
      <c r="A920" t="s">
        <v>207</v>
      </c>
      <c r="B920" s="1">
        <v>45199</v>
      </c>
      <c r="C920" t="s">
        <v>54</v>
      </c>
      <c r="D920" t="s">
        <v>59</v>
      </c>
      <c r="E920" t="s">
        <v>20</v>
      </c>
      <c r="H920">
        <v>791.84</v>
      </c>
      <c r="J920" t="s">
        <v>52</v>
      </c>
      <c r="K920" t="s">
        <v>22</v>
      </c>
    </row>
    <row r="921" spans="1:11" x14ac:dyDescent="0.2">
      <c r="A921" t="s">
        <v>197</v>
      </c>
      <c r="B921" s="1">
        <v>45014</v>
      </c>
      <c r="C921" t="s">
        <v>37</v>
      </c>
      <c r="D921" t="s">
        <v>59</v>
      </c>
      <c r="E921" t="s">
        <v>48</v>
      </c>
      <c r="F921" t="s">
        <v>34</v>
      </c>
      <c r="H921">
        <v>1470.43</v>
      </c>
      <c r="J921" t="s">
        <v>21</v>
      </c>
      <c r="K921" t="s">
        <v>22</v>
      </c>
    </row>
    <row r="922" spans="1:11" x14ac:dyDescent="0.2">
      <c r="A922" t="s">
        <v>177</v>
      </c>
      <c r="B922" s="1">
        <v>45083</v>
      </c>
      <c r="C922" t="s">
        <v>37</v>
      </c>
      <c r="D922" t="s">
        <v>33</v>
      </c>
      <c r="E922" t="s">
        <v>14</v>
      </c>
      <c r="F922" t="s">
        <v>26</v>
      </c>
      <c r="G922">
        <v>6</v>
      </c>
      <c r="I922">
        <v>0.04</v>
      </c>
      <c r="K922" t="s">
        <v>22</v>
      </c>
    </row>
    <row r="923" spans="1:11" x14ac:dyDescent="0.2">
      <c r="A923" t="s">
        <v>85</v>
      </c>
      <c r="B923" s="1">
        <v>45098</v>
      </c>
      <c r="C923" t="s">
        <v>12</v>
      </c>
      <c r="D923" t="s">
        <v>33</v>
      </c>
      <c r="E923" t="s">
        <v>14</v>
      </c>
      <c r="F923" t="s">
        <v>26</v>
      </c>
      <c r="H923">
        <v>1522.92</v>
      </c>
      <c r="J923" t="s">
        <v>21</v>
      </c>
      <c r="K923" t="s">
        <v>27</v>
      </c>
    </row>
    <row r="924" spans="1:11" x14ac:dyDescent="0.2">
      <c r="A924" t="s">
        <v>164</v>
      </c>
      <c r="B924" s="1">
        <v>45053</v>
      </c>
      <c r="C924" t="s">
        <v>63</v>
      </c>
      <c r="D924" t="s">
        <v>19</v>
      </c>
      <c r="E924" t="s">
        <v>46</v>
      </c>
      <c r="F924" t="s">
        <v>26</v>
      </c>
      <c r="H924">
        <v>1980.92</v>
      </c>
      <c r="I924">
        <v>0.16</v>
      </c>
      <c r="J924" t="s">
        <v>40</v>
      </c>
      <c r="K924" t="s">
        <v>27</v>
      </c>
    </row>
    <row r="925" spans="1:11" x14ac:dyDescent="0.2">
      <c r="A925" t="s">
        <v>242</v>
      </c>
      <c r="B925" s="1">
        <v>45082</v>
      </c>
      <c r="C925" t="s">
        <v>29</v>
      </c>
      <c r="D925" t="s">
        <v>83</v>
      </c>
      <c r="E925" t="s">
        <v>38</v>
      </c>
      <c r="F925" t="s">
        <v>34</v>
      </c>
      <c r="I925">
        <v>0.11</v>
      </c>
      <c r="J925" t="s">
        <v>52</v>
      </c>
      <c r="K925" t="s">
        <v>55</v>
      </c>
    </row>
    <row r="926" spans="1:11" x14ac:dyDescent="0.2">
      <c r="A926" t="s">
        <v>107</v>
      </c>
      <c r="B926" s="1">
        <v>45097</v>
      </c>
      <c r="C926" t="s">
        <v>63</v>
      </c>
      <c r="D926" t="s">
        <v>19</v>
      </c>
      <c r="E926" t="s">
        <v>14</v>
      </c>
      <c r="G926">
        <v>1</v>
      </c>
      <c r="H926">
        <v>1957.49</v>
      </c>
      <c r="I926">
        <v>0.2</v>
      </c>
      <c r="J926" t="s">
        <v>52</v>
      </c>
      <c r="K926" t="s">
        <v>22</v>
      </c>
    </row>
    <row r="927" spans="1:11" x14ac:dyDescent="0.2">
      <c r="A927" t="s">
        <v>209</v>
      </c>
      <c r="B927" s="1">
        <v>45052</v>
      </c>
      <c r="C927" t="s">
        <v>57</v>
      </c>
      <c r="D927" t="s">
        <v>59</v>
      </c>
      <c r="E927" t="s">
        <v>20</v>
      </c>
      <c r="F927" t="s">
        <v>26</v>
      </c>
      <c r="J927" t="s">
        <v>21</v>
      </c>
      <c r="K927" t="s">
        <v>22</v>
      </c>
    </row>
    <row r="928" spans="1:11" x14ac:dyDescent="0.2">
      <c r="A928" t="s">
        <v>123</v>
      </c>
      <c r="B928" s="1">
        <v>45016</v>
      </c>
      <c r="C928" t="s">
        <v>24</v>
      </c>
      <c r="D928" t="s">
        <v>13</v>
      </c>
      <c r="E928" t="s">
        <v>14</v>
      </c>
      <c r="F928" t="s">
        <v>34</v>
      </c>
      <c r="I928">
        <v>0.09</v>
      </c>
      <c r="J928" t="s">
        <v>21</v>
      </c>
      <c r="K928" t="s">
        <v>17</v>
      </c>
    </row>
    <row r="929" spans="1:11" x14ac:dyDescent="0.2">
      <c r="A929" t="s">
        <v>244</v>
      </c>
      <c r="B929" s="1">
        <v>45102</v>
      </c>
      <c r="C929" t="s">
        <v>54</v>
      </c>
      <c r="D929" t="s">
        <v>83</v>
      </c>
      <c r="E929" t="s">
        <v>25</v>
      </c>
      <c r="F929" t="s">
        <v>39</v>
      </c>
      <c r="H929">
        <v>583.92999999999995</v>
      </c>
      <c r="J929" t="s">
        <v>40</v>
      </c>
      <c r="K929" t="s">
        <v>22</v>
      </c>
    </row>
    <row r="930" spans="1:11" x14ac:dyDescent="0.2">
      <c r="A930" t="s">
        <v>115</v>
      </c>
      <c r="B930" s="1">
        <v>45003</v>
      </c>
      <c r="C930" t="s">
        <v>24</v>
      </c>
      <c r="D930" t="s">
        <v>31</v>
      </c>
      <c r="E930" t="s">
        <v>44</v>
      </c>
      <c r="F930" t="s">
        <v>15</v>
      </c>
      <c r="I930">
        <v>0</v>
      </c>
      <c r="J930" t="s">
        <v>40</v>
      </c>
      <c r="K930" t="s">
        <v>55</v>
      </c>
    </row>
    <row r="931" spans="1:11" x14ac:dyDescent="0.2">
      <c r="A931" t="s">
        <v>213</v>
      </c>
      <c r="B931" s="1">
        <v>44990</v>
      </c>
      <c r="C931" t="s">
        <v>12</v>
      </c>
      <c r="D931" t="s">
        <v>83</v>
      </c>
      <c r="E931" t="s">
        <v>14</v>
      </c>
      <c r="F931" t="s">
        <v>26</v>
      </c>
      <c r="H931">
        <v>1323.9</v>
      </c>
      <c r="I931">
        <v>0.01</v>
      </c>
      <c r="J931" t="s">
        <v>52</v>
      </c>
      <c r="K931" t="s">
        <v>55</v>
      </c>
    </row>
    <row r="932" spans="1:11" x14ac:dyDescent="0.2">
      <c r="A932" t="s">
        <v>238</v>
      </c>
      <c r="B932" s="1">
        <v>45267</v>
      </c>
      <c r="C932" t="s">
        <v>51</v>
      </c>
      <c r="D932" t="s">
        <v>19</v>
      </c>
      <c r="E932" t="s">
        <v>48</v>
      </c>
      <c r="F932" t="s">
        <v>34</v>
      </c>
      <c r="J932" t="s">
        <v>40</v>
      </c>
      <c r="K932" t="s">
        <v>27</v>
      </c>
    </row>
    <row r="933" spans="1:11" x14ac:dyDescent="0.2">
      <c r="A933" t="s">
        <v>205</v>
      </c>
      <c r="B933" s="1">
        <v>45108</v>
      </c>
      <c r="C933" t="s">
        <v>37</v>
      </c>
      <c r="E933" t="s">
        <v>48</v>
      </c>
      <c r="F933" t="s">
        <v>39</v>
      </c>
      <c r="H933">
        <v>1934.14</v>
      </c>
      <c r="J933" t="s">
        <v>21</v>
      </c>
      <c r="K933" t="s">
        <v>55</v>
      </c>
    </row>
    <row r="934" spans="1:11" x14ac:dyDescent="0.2">
      <c r="A934" t="s">
        <v>117</v>
      </c>
      <c r="B934" s="1">
        <v>45215</v>
      </c>
      <c r="C934" t="s">
        <v>57</v>
      </c>
      <c r="D934" t="s">
        <v>13</v>
      </c>
      <c r="E934" t="s">
        <v>14</v>
      </c>
      <c r="J934" t="s">
        <v>40</v>
      </c>
      <c r="K934" t="s">
        <v>55</v>
      </c>
    </row>
    <row r="935" spans="1:11" x14ac:dyDescent="0.2">
      <c r="A935" t="s">
        <v>71</v>
      </c>
      <c r="B935" s="1">
        <v>44970</v>
      </c>
      <c r="C935" t="s">
        <v>24</v>
      </c>
      <c r="D935" t="s">
        <v>31</v>
      </c>
      <c r="E935" t="s">
        <v>48</v>
      </c>
      <c r="F935" t="s">
        <v>39</v>
      </c>
      <c r="G935">
        <v>18</v>
      </c>
      <c r="J935" t="s">
        <v>42</v>
      </c>
      <c r="K935" t="s">
        <v>55</v>
      </c>
    </row>
    <row r="936" spans="1:11" x14ac:dyDescent="0.2">
      <c r="A936" t="s">
        <v>238</v>
      </c>
      <c r="B936" s="1">
        <v>45277</v>
      </c>
      <c r="C936" t="s">
        <v>29</v>
      </c>
      <c r="D936" t="s">
        <v>83</v>
      </c>
      <c r="E936" t="s">
        <v>14</v>
      </c>
      <c r="F936" t="s">
        <v>39</v>
      </c>
      <c r="J936" t="s">
        <v>16</v>
      </c>
      <c r="K936" t="s">
        <v>22</v>
      </c>
    </row>
    <row r="937" spans="1:11" x14ac:dyDescent="0.2">
      <c r="A937" t="s">
        <v>201</v>
      </c>
      <c r="B937" s="1">
        <v>45313</v>
      </c>
      <c r="C937" t="s">
        <v>51</v>
      </c>
      <c r="D937" t="s">
        <v>31</v>
      </c>
      <c r="E937" t="s">
        <v>14</v>
      </c>
      <c r="F937" t="s">
        <v>15</v>
      </c>
      <c r="J937" t="s">
        <v>52</v>
      </c>
      <c r="K937" t="s">
        <v>27</v>
      </c>
    </row>
    <row r="938" spans="1:11" x14ac:dyDescent="0.2">
      <c r="A938" t="s">
        <v>162</v>
      </c>
      <c r="B938" s="1">
        <v>45128</v>
      </c>
      <c r="C938" t="s">
        <v>51</v>
      </c>
      <c r="D938" t="s">
        <v>83</v>
      </c>
      <c r="E938" t="s">
        <v>48</v>
      </c>
      <c r="F938" t="s">
        <v>26</v>
      </c>
      <c r="H938">
        <v>925.84</v>
      </c>
      <c r="K938" t="s">
        <v>27</v>
      </c>
    </row>
    <row r="939" spans="1:11" x14ac:dyDescent="0.2">
      <c r="A939" t="s">
        <v>181</v>
      </c>
      <c r="B939" s="1">
        <v>45231</v>
      </c>
      <c r="C939" t="s">
        <v>54</v>
      </c>
      <c r="E939" t="s">
        <v>14</v>
      </c>
      <c r="H939">
        <v>669.3</v>
      </c>
      <c r="K939" t="s">
        <v>17</v>
      </c>
    </row>
    <row r="940" spans="1:11" x14ac:dyDescent="0.2">
      <c r="A940" t="s">
        <v>177</v>
      </c>
      <c r="B940" s="1">
        <v>45294</v>
      </c>
      <c r="C940" t="s">
        <v>12</v>
      </c>
      <c r="D940" t="s">
        <v>13</v>
      </c>
      <c r="E940" t="s">
        <v>20</v>
      </c>
      <c r="K940" t="s">
        <v>35</v>
      </c>
    </row>
    <row r="941" spans="1:11" x14ac:dyDescent="0.2">
      <c r="A941" t="s">
        <v>79</v>
      </c>
      <c r="B941" s="1">
        <v>45248</v>
      </c>
      <c r="C941" t="s">
        <v>24</v>
      </c>
      <c r="D941" t="s">
        <v>13</v>
      </c>
      <c r="E941" t="s">
        <v>46</v>
      </c>
      <c r="F941" t="s">
        <v>39</v>
      </c>
      <c r="H941">
        <v>409.39</v>
      </c>
      <c r="J941" t="s">
        <v>16</v>
      </c>
      <c r="K941" t="s">
        <v>17</v>
      </c>
    </row>
    <row r="942" spans="1:11" x14ac:dyDescent="0.2">
      <c r="A942" t="s">
        <v>241</v>
      </c>
      <c r="B942" s="1">
        <v>45053</v>
      </c>
      <c r="C942" t="s">
        <v>37</v>
      </c>
      <c r="D942" t="s">
        <v>19</v>
      </c>
      <c r="E942" t="s">
        <v>38</v>
      </c>
      <c r="F942" t="s">
        <v>26</v>
      </c>
      <c r="H942">
        <v>787.52</v>
      </c>
      <c r="J942" t="s">
        <v>40</v>
      </c>
      <c r="K942" t="s">
        <v>35</v>
      </c>
    </row>
    <row r="943" spans="1:11" x14ac:dyDescent="0.2">
      <c r="A943" t="s">
        <v>182</v>
      </c>
      <c r="B943" s="1">
        <v>45060</v>
      </c>
      <c r="C943" t="s">
        <v>63</v>
      </c>
      <c r="E943" t="s">
        <v>48</v>
      </c>
      <c r="H943">
        <v>301.02999999999997</v>
      </c>
      <c r="K943" t="s">
        <v>35</v>
      </c>
    </row>
    <row r="944" spans="1:11" x14ac:dyDescent="0.2">
      <c r="A944" t="s">
        <v>187</v>
      </c>
      <c r="B944" s="1">
        <v>45188</v>
      </c>
      <c r="C944" t="s">
        <v>37</v>
      </c>
      <c r="D944" t="s">
        <v>83</v>
      </c>
      <c r="E944" t="s">
        <v>38</v>
      </c>
      <c r="F944" t="s">
        <v>34</v>
      </c>
      <c r="J944" t="s">
        <v>52</v>
      </c>
      <c r="K944" t="s">
        <v>22</v>
      </c>
    </row>
    <row r="945" spans="1:11" x14ac:dyDescent="0.2">
      <c r="A945" t="s">
        <v>142</v>
      </c>
      <c r="B945" s="1">
        <v>45284</v>
      </c>
      <c r="C945" t="s">
        <v>54</v>
      </c>
      <c r="D945" t="s">
        <v>83</v>
      </c>
      <c r="E945" t="s">
        <v>38</v>
      </c>
      <c r="F945" t="s">
        <v>39</v>
      </c>
      <c r="G945">
        <v>5</v>
      </c>
      <c r="H945">
        <v>574.01</v>
      </c>
      <c r="I945">
        <v>0.17</v>
      </c>
      <c r="J945" t="s">
        <v>21</v>
      </c>
      <c r="K945" t="s">
        <v>55</v>
      </c>
    </row>
    <row r="946" spans="1:11" x14ac:dyDescent="0.2">
      <c r="A946" t="s">
        <v>168</v>
      </c>
      <c r="B946" s="1">
        <v>45257</v>
      </c>
      <c r="C946" t="s">
        <v>63</v>
      </c>
      <c r="D946" t="s">
        <v>19</v>
      </c>
      <c r="E946" t="s">
        <v>14</v>
      </c>
      <c r="F946" t="s">
        <v>15</v>
      </c>
      <c r="H946">
        <v>922.12</v>
      </c>
      <c r="J946" t="s">
        <v>21</v>
      </c>
      <c r="K946" t="s">
        <v>17</v>
      </c>
    </row>
    <row r="947" spans="1:11" x14ac:dyDescent="0.2">
      <c r="A947" t="s">
        <v>225</v>
      </c>
      <c r="B947" s="1">
        <v>45105</v>
      </c>
      <c r="C947" t="s">
        <v>57</v>
      </c>
      <c r="D947" t="s">
        <v>31</v>
      </c>
      <c r="E947" t="s">
        <v>46</v>
      </c>
      <c r="F947" t="s">
        <v>15</v>
      </c>
      <c r="J947" t="s">
        <v>40</v>
      </c>
      <c r="K947" t="s">
        <v>55</v>
      </c>
    </row>
    <row r="948" spans="1:11" x14ac:dyDescent="0.2">
      <c r="A948" t="s">
        <v>192</v>
      </c>
      <c r="B948" s="1">
        <v>45317</v>
      </c>
      <c r="C948" t="s">
        <v>24</v>
      </c>
      <c r="D948" t="s">
        <v>83</v>
      </c>
      <c r="E948" t="s">
        <v>46</v>
      </c>
      <c r="F948" t="s">
        <v>39</v>
      </c>
      <c r="H948">
        <v>1215.6300000000001</v>
      </c>
      <c r="K948" t="s">
        <v>17</v>
      </c>
    </row>
    <row r="949" spans="1:11" x14ac:dyDescent="0.2">
      <c r="A949" t="s">
        <v>206</v>
      </c>
      <c r="B949" s="1">
        <v>44993</v>
      </c>
      <c r="C949" t="s">
        <v>29</v>
      </c>
      <c r="D949" t="s">
        <v>31</v>
      </c>
      <c r="E949" t="s">
        <v>44</v>
      </c>
      <c r="F949" t="s">
        <v>34</v>
      </c>
      <c r="H949">
        <v>1661.47</v>
      </c>
      <c r="J949" t="s">
        <v>40</v>
      </c>
      <c r="K949" t="s">
        <v>35</v>
      </c>
    </row>
    <row r="950" spans="1:11" x14ac:dyDescent="0.2">
      <c r="A950" t="s">
        <v>241</v>
      </c>
      <c r="B950" s="1">
        <v>45267</v>
      </c>
      <c r="C950" t="s">
        <v>54</v>
      </c>
      <c r="D950" t="s">
        <v>83</v>
      </c>
      <c r="E950" t="s">
        <v>48</v>
      </c>
      <c r="F950" t="s">
        <v>39</v>
      </c>
      <c r="G950">
        <v>11</v>
      </c>
      <c r="I950">
        <v>0.24</v>
      </c>
      <c r="J950" t="s">
        <v>40</v>
      </c>
      <c r="K950" t="s">
        <v>22</v>
      </c>
    </row>
    <row r="951" spans="1:11" x14ac:dyDescent="0.2">
      <c r="A951" t="s">
        <v>162</v>
      </c>
      <c r="B951" s="1">
        <v>45142</v>
      </c>
      <c r="C951" t="s">
        <v>54</v>
      </c>
      <c r="D951" t="s">
        <v>19</v>
      </c>
      <c r="E951" t="s">
        <v>44</v>
      </c>
      <c r="F951" t="s">
        <v>34</v>
      </c>
      <c r="G951">
        <v>4</v>
      </c>
      <c r="H951">
        <v>1695.14</v>
      </c>
      <c r="J951" t="s">
        <v>21</v>
      </c>
      <c r="K951" t="s">
        <v>27</v>
      </c>
    </row>
    <row r="952" spans="1:11" x14ac:dyDescent="0.2">
      <c r="A952" t="s">
        <v>117</v>
      </c>
      <c r="B952" s="1">
        <v>45091</v>
      </c>
      <c r="C952" t="s">
        <v>54</v>
      </c>
      <c r="D952" t="s">
        <v>13</v>
      </c>
      <c r="E952" t="s">
        <v>38</v>
      </c>
      <c r="F952" t="s">
        <v>39</v>
      </c>
      <c r="H952">
        <v>1151.82</v>
      </c>
      <c r="J952" t="s">
        <v>42</v>
      </c>
      <c r="K952" t="s">
        <v>55</v>
      </c>
    </row>
    <row r="953" spans="1:11" x14ac:dyDescent="0.2">
      <c r="A953" t="s">
        <v>81</v>
      </c>
      <c r="B953" s="1">
        <v>45030</v>
      </c>
      <c r="C953" t="s">
        <v>51</v>
      </c>
      <c r="D953" t="s">
        <v>83</v>
      </c>
      <c r="E953" t="s">
        <v>25</v>
      </c>
      <c r="G953">
        <v>7</v>
      </c>
      <c r="I953">
        <v>0.28999999999999998</v>
      </c>
      <c r="J953" t="s">
        <v>40</v>
      </c>
      <c r="K953" t="s">
        <v>27</v>
      </c>
    </row>
    <row r="954" spans="1:11" x14ac:dyDescent="0.2">
      <c r="A954" t="s">
        <v>138</v>
      </c>
      <c r="B954" s="1">
        <v>44929</v>
      </c>
      <c r="C954" t="s">
        <v>29</v>
      </c>
      <c r="E954" t="s">
        <v>38</v>
      </c>
      <c r="G954">
        <v>18</v>
      </c>
      <c r="K954" t="s">
        <v>17</v>
      </c>
    </row>
    <row r="955" spans="1:11" x14ac:dyDescent="0.2">
      <c r="A955" t="s">
        <v>108</v>
      </c>
      <c r="B955" s="1">
        <v>45024</v>
      </c>
      <c r="C955" t="s">
        <v>37</v>
      </c>
      <c r="D955" t="s">
        <v>31</v>
      </c>
      <c r="E955" t="s">
        <v>25</v>
      </c>
      <c r="F955" t="s">
        <v>39</v>
      </c>
      <c r="I955">
        <v>0.26</v>
      </c>
      <c r="J955" t="s">
        <v>42</v>
      </c>
      <c r="K955" t="s">
        <v>22</v>
      </c>
    </row>
    <row r="956" spans="1:11" x14ac:dyDescent="0.2">
      <c r="A956" t="s">
        <v>116</v>
      </c>
      <c r="B956" s="1">
        <v>45119</v>
      </c>
      <c r="C956" t="s">
        <v>54</v>
      </c>
      <c r="D956" t="s">
        <v>31</v>
      </c>
      <c r="E956" t="s">
        <v>46</v>
      </c>
      <c r="F956" t="s">
        <v>15</v>
      </c>
      <c r="J956" t="s">
        <v>21</v>
      </c>
      <c r="K956" t="s">
        <v>55</v>
      </c>
    </row>
    <row r="957" spans="1:11" x14ac:dyDescent="0.2">
      <c r="A957" t="s">
        <v>202</v>
      </c>
      <c r="B957" s="1">
        <v>45041</v>
      </c>
      <c r="C957" t="s">
        <v>24</v>
      </c>
      <c r="E957" t="s">
        <v>14</v>
      </c>
      <c r="F957" t="s">
        <v>39</v>
      </c>
      <c r="G957">
        <v>12</v>
      </c>
      <c r="H957">
        <v>1746.16</v>
      </c>
      <c r="I957">
        <v>0.28999999999999998</v>
      </c>
      <c r="J957" t="s">
        <v>21</v>
      </c>
      <c r="K957" t="s">
        <v>17</v>
      </c>
    </row>
    <row r="958" spans="1:11" x14ac:dyDescent="0.2">
      <c r="A958" t="s">
        <v>172</v>
      </c>
      <c r="B958" s="1">
        <v>45192</v>
      </c>
      <c r="C958" t="s">
        <v>24</v>
      </c>
      <c r="D958" t="s">
        <v>83</v>
      </c>
      <c r="E958" t="s">
        <v>44</v>
      </c>
      <c r="F958" t="s">
        <v>26</v>
      </c>
      <c r="K958" t="s">
        <v>27</v>
      </c>
    </row>
    <row r="959" spans="1:11" x14ac:dyDescent="0.2">
      <c r="A959" t="s">
        <v>168</v>
      </c>
      <c r="B959" s="1">
        <v>45100</v>
      </c>
      <c r="C959" t="s">
        <v>57</v>
      </c>
      <c r="D959" t="s">
        <v>59</v>
      </c>
      <c r="E959" t="s">
        <v>20</v>
      </c>
      <c r="F959" t="s">
        <v>34</v>
      </c>
      <c r="G959">
        <v>2</v>
      </c>
      <c r="J959" t="s">
        <v>16</v>
      </c>
      <c r="K959" t="s">
        <v>35</v>
      </c>
    </row>
    <row r="960" spans="1:11" x14ac:dyDescent="0.2">
      <c r="A960" t="s">
        <v>45</v>
      </c>
      <c r="B960" s="1">
        <v>44964</v>
      </c>
      <c r="C960" t="s">
        <v>12</v>
      </c>
      <c r="D960" t="s">
        <v>59</v>
      </c>
      <c r="E960" t="s">
        <v>46</v>
      </c>
      <c r="F960" t="s">
        <v>39</v>
      </c>
      <c r="H960">
        <v>1228.74</v>
      </c>
      <c r="J960" t="s">
        <v>40</v>
      </c>
      <c r="K960" t="s">
        <v>55</v>
      </c>
    </row>
    <row r="961" spans="1:11" x14ac:dyDescent="0.2">
      <c r="A961" t="s">
        <v>165</v>
      </c>
      <c r="B961" s="1">
        <v>44948</v>
      </c>
      <c r="C961" t="s">
        <v>54</v>
      </c>
      <c r="D961" t="s">
        <v>19</v>
      </c>
      <c r="E961" t="s">
        <v>38</v>
      </c>
      <c r="I961">
        <v>0.09</v>
      </c>
      <c r="J961" t="s">
        <v>16</v>
      </c>
      <c r="K961" t="s">
        <v>27</v>
      </c>
    </row>
    <row r="962" spans="1:11" x14ac:dyDescent="0.2">
      <c r="A962" t="s">
        <v>128</v>
      </c>
      <c r="B962" s="1">
        <v>45323</v>
      </c>
      <c r="C962" t="s">
        <v>37</v>
      </c>
      <c r="D962" t="s">
        <v>31</v>
      </c>
      <c r="E962" t="s">
        <v>44</v>
      </c>
      <c r="F962" t="s">
        <v>39</v>
      </c>
      <c r="J962" t="s">
        <v>40</v>
      </c>
      <c r="K962" t="s">
        <v>22</v>
      </c>
    </row>
    <row r="963" spans="1:11" x14ac:dyDescent="0.2">
      <c r="A963" t="s">
        <v>244</v>
      </c>
      <c r="B963" s="1">
        <v>45145</v>
      </c>
      <c r="C963" t="s">
        <v>51</v>
      </c>
      <c r="D963" t="s">
        <v>19</v>
      </c>
      <c r="E963" t="s">
        <v>38</v>
      </c>
      <c r="F963" t="s">
        <v>26</v>
      </c>
      <c r="I963">
        <v>0.13</v>
      </c>
      <c r="J963" t="s">
        <v>40</v>
      </c>
      <c r="K963" t="s">
        <v>35</v>
      </c>
    </row>
    <row r="964" spans="1:11" x14ac:dyDescent="0.2">
      <c r="A964" t="s">
        <v>126</v>
      </c>
      <c r="B964" s="1">
        <v>45228</v>
      </c>
      <c r="C964" t="s">
        <v>12</v>
      </c>
      <c r="D964" t="s">
        <v>33</v>
      </c>
      <c r="E964" t="s">
        <v>38</v>
      </c>
      <c r="G964">
        <v>19</v>
      </c>
      <c r="H964">
        <v>1981.97</v>
      </c>
      <c r="I964">
        <v>0.26</v>
      </c>
      <c r="J964" t="s">
        <v>16</v>
      </c>
      <c r="K964" t="s">
        <v>27</v>
      </c>
    </row>
    <row r="965" spans="1:11" x14ac:dyDescent="0.2">
      <c r="A965" t="s">
        <v>53</v>
      </c>
      <c r="B965" s="1">
        <v>44991</v>
      </c>
      <c r="C965" t="s">
        <v>63</v>
      </c>
      <c r="D965" t="s">
        <v>33</v>
      </c>
      <c r="E965" t="s">
        <v>14</v>
      </c>
      <c r="F965" t="s">
        <v>26</v>
      </c>
      <c r="H965">
        <v>1208.81</v>
      </c>
      <c r="I965">
        <v>0.3</v>
      </c>
      <c r="J965" t="s">
        <v>21</v>
      </c>
      <c r="K965" t="s">
        <v>22</v>
      </c>
    </row>
    <row r="966" spans="1:11" x14ac:dyDescent="0.2">
      <c r="A966" t="s">
        <v>161</v>
      </c>
      <c r="B966" s="1">
        <v>45263</v>
      </c>
      <c r="C966" t="s">
        <v>54</v>
      </c>
      <c r="D966" t="s">
        <v>13</v>
      </c>
      <c r="E966" t="s">
        <v>46</v>
      </c>
      <c r="F966" t="s">
        <v>26</v>
      </c>
      <c r="J966" t="s">
        <v>40</v>
      </c>
      <c r="K966" t="s">
        <v>22</v>
      </c>
    </row>
    <row r="967" spans="1:11" x14ac:dyDescent="0.2">
      <c r="A967" t="s">
        <v>195</v>
      </c>
      <c r="B967" s="1">
        <v>45081</v>
      </c>
      <c r="C967" t="s">
        <v>29</v>
      </c>
      <c r="E967" t="s">
        <v>44</v>
      </c>
      <c r="F967" t="s">
        <v>34</v>
      </c>
      <c r="J967" t="s">
        <v>16</v>
      </c>
      <c r="K967" t="s">
        <v>27</v>
      </c>
    </row>
    <row r="968" spans="1:11" x14ac:dyDescent="0.2">
      <c r="A968" t="s">
        <v>159</v>
      </c>
      <c r="B968" s="1">
        <v>45137</v>
      </c>
      <c r="C968" t="s">
        <v>63</v>
      </c>
      <c r="D968" t="s">
        <v>59</v>
      </c>
      <c r="E968" t="s">
        <v>46</v>
      </c>
      <c r="F968" t="s">
        <v>15</v>
      </c>
      <c r="I968">
        <v>0.17</v>
      </c>
      <c r="J968" t="s">
        <v>52</v>
      </c>
      <c r="K968" t="s">
        <v>35</v>
      </c>
    </row>
    <row r="969" spans="1:11" x14ac:dyDescent="0.2">
      <c r="A969" t="s">
        <v>73</v>
      </c>
      <c r="B969" s="1">
        <v>45047</v>
      </c>
      <c r="C969" t="s">
        <v>63</v>
      </c>
      <c r="D969" t="s">
        <v>13</v>
      </c>
      <c r="E969" t="s">
        <v>25</v>
      </c>
      <c r="F969" t="s">
        <v>39</v>
      </c>
      <c r="G969">
        <v>4</v>
      </c>
      <c r="H969">
        <v>1002.83</v>
      </c>
      <c r="J969" t="s">
        <v>42</v>
      </c>
      <c r="K969" t="s">
        <v>55</v>
      </c>
    </row>
    <row r="970" spans="1:11" x14ac:dyDescent="0.2">
      <c r="A970" t="s">
        <v>174</v>
      </c>
      <c r="B970" s="1">
        <v>44957</v>
      </c>
      <c r="C970" t="s">
        <v>24</v>
      </c>
      <c r="E970" t="s">
        <v>44</v>
      </c>
      <c r="F970" t="s">
        <v>39</v>
      </c>
      <c r="G970">
        <v>16</v>
      </c>
      <c r="I970">
        <v>0.13</v>
      </c>
      <c r="J970" t="s">
        <v>40</v>
      </c>
      <c r="K970" t="s">
        <v>22</v>
      </c>
    </row>
    <row r="971" spans="1:11" x14ac:dyDescent="0.2">
      <c r="A971" t="s">
        <v>171</v>
      </c>
      <c r="B971" s="1">
        <v>45264</v>
      </c>
      <c r="C971" t="s">
        <v>57</v>
      </c>
      <c r="D971" t="s">
        <v>31</v>
      </c>
      <c r="E971" t="s">
        <v>46</v>
      </c>
      <c r="F971" t="s">
        <v>34</v>
      </c>
      <c r="H971">
        <v>1528.36</v>
      </c>
      <c r="J971" t="s">
        <v>52</v>
      </c>
      <c r="K971" t="s">
        <v>17</v>
      </c>
    </row>
    <row r="972" spans="1:11" x14ac:dyDescent="0.2">
      <c r="A972" t="s">
        <v>121</v>
      </c>
      <c r="B972" s="1">
        <v>45314</v>
      </c>
      <c r="C972" t="s">
        <v>12</v>
      </c>
      <c r="D972" t="s">
        <v>59</v>
      </c>
      <c r="E972" t="s">
        <v>48</v>
      </c>
      <c r="I972">
        <v>0.23</v>
      </c>
      <c r="J972" t="s">
        <v>21</v>
      </c>
      <c r="K972" t="s">
        <v>22</v>
      </c>
    </row>
    <row r="973" spans="1:11" x14ac:dyDescent="0.2">
      <c r="A973" t="s">
        <v>135</v>
      </c>
      <c r="B973" s="1">
        <v>45274</v>
      </c>
      <c r="C973" t="s">
        <v>24</v>
      </c>
      <c r="E973" t="s">
        <v>44</v>
      </c>
      <c r="F973" t="s">
        <v>39</v>
      </c>
      <c r="J973" t="s">
        <v>42</v>
      </c>
      <c r="K973" t="s">
        <v>35</v>
      </c>
    </row>
    <row r="974" spans="1:11" x14ac:dyDescent="0.2">
      <c r="A974" t="s">
        <v>193</v>
      </c>
      <c r="B974" s="1">
        <v>44934</v>
      </c>
      <c r="C974" t="s">
        <v>24</v>
      </c>
      <c r="E974" t="s">
        <v>48</v>
      </c>
      <c r="F974" t="s">
        <v>34</v>
      </c>
      <c r="G974">
        <v>3</v>
      </c>
      <c r="J974" t="s">
        <v>16</v>
      </c>
      <c r="K974" t="s">
        <v>17</v>
      </c>
    </row>
    <row r="975" spans="1:11" x14ac:dyDescent="0.2">
      <c r="A975" t="s">
        <v>86</v>
      </c>
      <c r="B975" s="1">
        <v>45112</v>
      </c>
      <c r="C975" t="s">
        <v>24</v>
      </c>
      <c r="D975" t="s">
        <v>13</v>
      </c>
      <c r="E975" t="s">
        <v>14</v>
      </c>
      <c r="G975">
        <v>1</v>
      </c>
      <c r="J975" t="s">
        <v>40</v>
      </c>
      <c r="K975" t="s">
        <v>22</v>
      </c>
    </row>
    <row r="976" spans="1:11" x14ac:dyDescent="0.2">
      <c r="A976" t="s">
        <v>84</v>
      </c>
      <c r="B976" s="1">
        <v>44935</v>
      </c>
      <c r="C976" t="s">
        <v>63</v>
      </c>
      <c r="D976" t="s">
        <v>19</v>
      </c>
      <c r="E976" t="s">
        <v>38</v>
      </c>
      <c r="F976" t="s">
        <v>26</v>
      </c>
      <c r="I976">
        <v>7.0000000000000007E-2</v>
      </c>
      <c r="J976" t="s">
        <v>21</v>
      </c>
      <c r="K976" t="s">
        <v>27</v>
      </c>
    </row>
    <row r="977" spans="1:11" x14ac:dyDescent="0.2">
      <c r="A977" t="s">
        <v>86</v>
      </c>
      <c r="B977" s="1">
        <v>45239</v>
      </c>
      <c r="C977" t="s">
        <v>29</v>
      </c>
      <c r="D977" t="s">
        <v>19</v>
      </c>
      <c r="E977" t="s">
        <v>38</v>
      </c>
      <c r="F977" t="s">
        <v>15</v>
      </c>
      <c r="J977" t="s">
        <v>40</v>
      </c>
      <c r="K977" t="s">
        <v>35</v>
      </c>
    </row>
    <row r="978" spans="1:11" x14ac:dyDescent="0.2">
      <c r="A978" t="s">
        <v>151</v>
      </c>
      <c r="B978" s="1">
        <v>45262</v>
      </c>
      <c r="C978" t="s">
        <v>12</v>
      </c>
      <c r="D978" t="s">
        <v>33</v>
      </c>
      <c r="E978" t="s">
        <v>46</v>
      </c>
      <c r="F978" t="s">
        <v>26</v>
      </c>
      <c r="I978">
        <v>0.17</v>
      </c>
      <c r="J978" t="s">
        <v>21</v>
      </c>
      <c r="K978" t="s">
        <v>35</v>
      </c>
    </row>
    <row r="979" spans="1:11" x14ac:dyDescent="0.2">
      <c r="A979" t="s">
        <v>62</v>
      </c>
      <c r="B979" s="1">
        <v>45292</v>
      </c>
      <c r="C979" t="s">
        <v>24</v>
      </c>
      <c r="D979" t="s">
        <v>59</v>
      </c>
      <c r="E979" t="s">
        <v>46</v>
      </c>
      <c r="F979" t="s">
        <v>34</v>
      </c>
      <c r="H979">
        <v>99.02</v>
      </c>
      <c r="I979">
        <v>0.1</v>
      </c>
      <c r="J979" t="s">
        <v>21</v>
      </c>
      <c r="K979" t="s">
        <v>22</v>
      </c>
    </row>
    <row r="980" spans="1:11" x14ac:dyDescent="0.2">
      <c r="A980" t="s">
        <v>122</v>
      </c>
      <c r="B980" s="1">
        <v>45188</v>
      </c>
      <c r="C980" t="s">
        <v>54</v>
      </c>
      <c r="D980" t="s">
        <v>33</v>
      </c>
      <c r="E980" t="s">
        <v>20</v>
      </c>
      <c r="F980" t="s">
        <v>34</v>
      </c>
      <c r="J980" t="s">
        <v>42</v>
      </c>
      <c r="K980" t="s">
        <v>55</v>
      </c>
    </row>
    <row r="981" spans="1:11" x14ac:dyDescent="0.2">
      <c r="A981" t="s">
        <v>245</v>
      </c>
      <c r="B981" s="1">
        <v>44939</v>
      </c>
      <c r="C981" t="s">
        <v>29</v>
      </c>
      <c r="D981" t="s">
        <v>31</v>
      </c>
      <c r="E981" t="s">
        <v>25</v>
      </c>
      <c r="F981" t="s">
        <v>34</v>
      </c>
      <c r="J981" t="s">
        <v>21</v>
      </c>
      <c r="K981" t="s">
        <v>27</v>
      </c>
    </row>
    <row r="982" spans="1:11" x14ac:dyDescent="0.2">
      <c r="A982" t="s">
        <v>72</v>
      </c>
      <c r="B982" s="1">
        <v>45115</v>
      </c>
      <c r="C982" t="s">
        <v>12</v>
      </c>
      <c r="D982" t="s">
        <v>59</v>
      </c>
      <c r="E982" t="s">
        <v>20</v>
      </c>
      <c r="G982">
        <v>1</v>
      </c>
      <c r="J982" t="s">
        <v>21</v>
      </c>
      <c r="K982" t="s">
        <v>17</v>
      </c>
    </row>
    <row r="983" spans="1:11" x14ac:dyDescent="0.2">
      <c r="A983" t="s">
        <v>195</v>
      </c>
      <c r="B983" s="1">
        <v>45103</v>
      </c>
      <c r="C983" t="s">
        <v>37</v>
      </c>
      <c r="D983" t="s">
        <v>83</v>
      </c>
      <c r="E983" t="s">
        <v>25</v>
      </c>
      <c r="J983" t="s">
        <v>16</v>
      </c>
      <c r="K983" t="s">
        <v>27</v>
      </c>
    </row>
    <row r="984" spans="1:11" x14ac:dyDescent="0.2">
      <c r="A984" t="s">
        <v>81</v>
      </c>
      <c r="B984" s="1">
        <v>45216</v>
      </c>
      <c r="C984" t="s">
        <v>57</v>
      </c>
      <c r="D984" t="s">
        <v>31</v>
      </c>
      <c r="E984" t="s">
        <v>48</v>
      </c>
      <c r="F984" t="s">
        <v>26</v>
      </c>
      <c r="G984">
        <v>17</v>
      </c>
      <c r="J984" t="s">
        <v>52</v>
      </c>
      <c r="K984" t="s">
        <v>55</v>
      </c>
    </row>
    <row r="985" spans="1:11" x14ac:dyDescent="0.2">
      <c r="A985" t="s">
        <v>231</v>
      </c>
      <c r="B985" s="1">
        <v>45221</v>
      </c>
      <c r="C985" t="s">
        <v>24</v>
      </c>
      <c r="D985" t="s">
        <v>33</v>
      </c>
      <c r="E985" t="s">
        <v>14</v>
      </c>
      <c r="F985" t="s">
        <v>15</v>
      </c>
      <c r="G985">
        <v>12</v>
      </c>
      <c r="J985" t="s">
        <v>40</v>
      </c>
      <c r="K985" t="s">
        <v>22</v>
      </c>
    </row>
    <row r="986" spans="1:11" x14ac:dyDescent="0.2">
      <c r="A986" t="s">
        <v>210</v>
      </c>
      <c r="B986" s="1">
        <v>45136</v>
      </c>
      <c r="C986" t="s">
        <v>29</v>
      </c>
      <c r="D986" t="s">
        <v>19</v>
      </c>
      <c r="E986" t="s">
        <v>14</v>
      </c>
      <c r="G986">
        <v>17</v>
      </c>
      <c r="I986">
        <v>0.15</v>
      </c>
      <c r="J986" t="s">
        <v>42</v>
      </c>
      <c r="K986" t="s">
        <v>22</v>
      </c>
    </row>
    <row r="987" spans="1:11" x14ac:dyDescent="0.2">
      <c r="A987" t="s">
        <v>96</v>
      </c>
      <c r="B987" s="1">
        <v>45218</v>
      </c>
      <c r="C987" t="s">
        <v>51</v>
      </c>
      <c r="D987" t="s">
        <v>31</v>
      </c>
      <c r="E987" t="s">
        <v>20</v>
      </c>
      <c r="F987" t="s">
        <v>39</v>
      </c>
      <c r="J987" t="s">
        <v>52</v>
      </c>
      <c r="K987" t="s">
        <v>27</v>
      </c>
    </row>
    <row r="988" spans="1:11" x14ac:dyDescent="0.2">
      <c r="A988" t="s">
        <v>236</v>
      </c>
      <c r="B988" s="1">
        <v>45136</v>
      </c>
      <c r="C988" t="s">
        <v>57</v>
      </c>
      <c r="D988" t="s">
        <v>31</v>
      </c>
      <c r="E988" t="s">
        <v>20</v>
      </c>
      <c r="H988">
        <v>1764.07</v>
      </c>
      <c r="J988" t="s">
        <v>16</v>
      </c>
      <c r="K988" t="s">
        <v>35</v>
      </c>
    </row>
    <row r="989" spans="1:11" x14ac:dyDescent="0.2">
      <c r="A989" t="s">
        <v>131</v>
      </c>
      <c r="B989" s="1">
        <v>45141</v>
      </c>
      <c r="C989" t="s">
        <v>24</v>
      </c>
      <c r="E989" t="s">
        <v>44</v>
      </c>
      <c r="F989" t="s">
        <v>39</v>
      </c>
      <c r="G989">
        <v>4</v>
      </c>
      <c r="I989">
        <v>0.01</v>
      </c>
      <c r="J989" t="s">
        <v>16</v>
      </c>
      <c r="K989" t="s">
        <v>35</v>
      </c>
    </row>
    <row r="990" spans="1:11" x14ac:dyDescent="0.2">
      <c r="A990" t="s">
        <v>145</v>
      </c>
      <c r="B990" s="1">
        <v>45198</v>
      </c>
      <c r="C990" t="s">
        <v>57</v>
      </c>
      <c r="D990" t="s">
        <v>83</v>
      </c>
      <c r="E990" t="s">
        <v>14</v>
      </c>
      <c r="F990" t="s">
        <v>15</v>
      </c>
      <c r="J990" t="s">
        <v>52</v>
      </c>
      <c r="K990" t="s">
        <v>17</v>
      </c>
    </row>
    <row r="991" spans="1:11" x14ac:dyDescent="0.2">
      <c r="A991" t="s">
        <v>124</v>
      </c>
      <c r="B991" s="1">
        <v>45242</v>
      </c>
      <c r="C991" t="s">
        <v>54</v>
      </c>
      <c r="D991" t="s">
        <v>13</v>
      </c>
      <c r="E991" t="s">
        <v>46</v>
      </c>
      <c r="F991" t="s">
        <v>26</v>
      </c>
      <c r="J991" t="s">
        <v>52</v>
      </c>
      <c r="K991" t="s">
        <v>22</v>
      </c>
    </row>
    <row r="992" spans="1:11" x14ac:dyDescent="0.2">
      <c r="A992" t="s">
        <v>244</v>
      </c>
      <c r="B992" s="1">
        <v>44995</v>
      </c>
      <c r="C992" t="s">
        <v>51</v>
      </c>
      <c r="D992" t="s">
        <v>13</v>
      </c>
      <c r="E992" t="s">
        <v>25</v>
      </c>
      <c r="G992">
        <v>17</v>
      </c>
      <c r="H992">
        <v>312.99</v>
      </c>
      <c r="K992" t="s">
        <v>22</v>
      </c>
    </row>
    <row r="993" spans="1:11" x14ac:dyDescent="0.2">
      <c r="A993" t="s">
        <v>28</v>
      </c>
      <c r="B993" s="1">
        <v>45091</v>
      </c>
      <c r="C993" t="s">
        <v>63</v>
      </c>
      <c r="D993" t="s">
        <v>33</v>
      </c>
      <c r="E993" t="s">
        <v>44</v>
      </c>
      <c r="G993">
        <v>9</v>
      </c>
      <c r="J993" t="s">
        <v>21</v>
      </c>
      <c r="K993" t="s">
        <v>17</v>
      </c>
    </row>
    <row r="994" spans="1:11" x14ac:dyDescent="0.2">
      <c r="A994" t="s">
        <v>220</v>
      </c>
      <c r="B994" s="1">
        <v>45187</v>
      </c>
      <c r="C994" t="s">
        <v>57</v>
      </c>
      <c r="D994" t="s">
        <v>59</v>
      </c>
      <c r="E994" t="s">
        <v>14</v>
      </c>
      <c r="F994" t="s">
        <v>39</v>
      </c>
      <c r="G994">
        <v>11</v>
      </c>
      <c r="H994">
        <v>1907.49</v>
      </c>
      <c r="K994" t="s">
        <v>35</v>
      </c>
    </row>
    <row r="995" spans="1:11" x14ac:dyDescent="0.2">
      <c r="A995" t="s">
        <v>234</v>
      </c>
      <c r="B995" s="1">
        <v>45192</v>
      </c>
      <c r="C995" t="s">
        <v>24</v>
      </c>
      <c r="D995" t="s">
        <v>31</v>
      </c>
      <c r="E995" t="s">
        <v>44</v>
      </c>
      <c r="F995" t="s">
        <v>34</v>
      </c>
      <c r="H995">
        <v>576.73</v>
      </c>
      <c r="J995" t="s">
        <v>42</v>
      </c>
      <c r="K995" t="s">
        <v>35</v>
      </c>
    </row>
    <row r="996" spans="1:11" x14ac:dyDescent="0.2">
      <c r="A996" t="s">
        <v>187</v>
      </c>
      <c r="B996" s="1">
        <v>45074</v>
      </c>
      <c r="C996" t="s">
        <v>24</v>
      </c>
      <c r="D996" t="s">
        <v>31</v>
      </c>
      <c r="E996" t="s">
        <v>25</v>
      </c>
      <c r="F996" t="s">
        <v>26</v>
      </c>
      <c r="H996">
        <v>564.47</v>
      </c>
      <c r="J996" t="s">
        <v>40</v>
      </c>
      <c r="K996" t="s">
        <v>27</v>
      </c>
    </row>
    <row r="997" spans="1:11" x14ac:dyDescent="0.2">
      <c r="A997" t="s">
        <v>109</v>
      </c>
      <c r="B997" s="1">
        <v>44947</v>
      </c>
      <c r="C997" t="s">
        <v>37</v>
      </c>
      <c r="D997" t="s">
        <v>19</v>
      </c>
      <c r="E997" t="s">
        <v>38</v>
      </c>
      <c r="F997" t="s">
        <v>26</v>
      </c>
      <c r="G997">
        <v>12</v>
      </c>
      <c r="J997" t="s">
        <v>21</v>
      </c>
      <c r="K997" t="s">
        <v>35</v>
      </c>
    </row>
    <row r="998" spans="1:11" x14ac:dyDescent="0.2">
      <c r="A998" t="s">
        <v>125</v>
      </c>
      <c r="B998" s="1">
        <v>45078</v>
      </c>
      <c r="C998" t="s">
        <v>54</v>
      </c>
      <c r="D998" t="s">
        <v>13</v>
      </c>
      <c r="E998" t="s">
        <v>48</v>
      </c>
      <c r="F998" t="s">
        <v>26</v>
      </c>
      <c r="H998">
        <v>991.58</v>
      </c>
      <c r="K998" t="s">
        <v>27</v>
      </c>
    </row>
    <row r="999" spans="1:11" x14ac:dyDescent="0.2">
      <c r="A999" t="s">
        <v>127</v>
      </c>
      <c r="B999" s="1">
        <v>44967</v>
      </c>
      <c r="C999" t="s">
        <v>37</v>
      </c>
      <c r="D999" t="s">
        <v>13</v>
      </c>
      <c r="E999" t="s">
        <v>46</v>
      </c>
      <c r="F999" t="s">
        <v>34</v>
      </c>
      <c r="K999" t="s">
        <v>27</v>
      </c>
    </row>
    <row r="1000" spans="1:11" x14ac:dyDescent="0.2">
      <c r="A1000" t="s">
        <v>157</v>
      </c>
      <c r="B1000" s="1">
        <v>45279</v>
      </c>
      <c r="C1000" t="s">
        <v>29</v>
      </c>
      <c r="D1000" t="s">
        <v>19</v>
      </c>
      <c r="E1000" t="s">
        <v>38</v>
      </c>
      <c r="F1000" t="s">
        <v>26</v>
      </c>
      <c r="J1000" t="s">
        <v>16</v>
      </c>
      <c r="K1000" t="s">
        <v>27</v>
      </c>
    </row>
    <row r="1001" spans="1:11" x14ac:dyDescent="0.2">
      <c r="A1001" t="s">
        <v>61</v>
      </c>
      <c r="B1001" s="1">
        <v>44997</v>
      </c>
      <c r="C1001" t="s">
        <v>57</v>
      </c>
      <c r="E1001" t="s">
        <v>20</v>
      </c>
      <c r="F1001" t="s">
        <v>15</v>
      </c>
      <c r="H1001">
        <v>311.35000000000002</v>
      </c>
      <c r="J1001" t="s">
        <v>40</v>
      </c>
      <c r="K1001"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9C110-6F70-F743-91E5-92806BAA9089}">
  <dimension ref="A1:X999"/>
  <sheetViews>
    <sheetView topLeftCell="B1" workbookViewId="0">
      <selection activeCell="S2" sqref="S2"/>
    </sheetView>
  </sheetViews>
  <sheetFormatPr baseColWidth="10" defaultRowHeight="16" x14ac:dyDescent="0.2"/>
  <cols>
    <col min="1" max="1" width="10" customWidth="1"/>
    <col min="2" max="3" width="12.1640625" customWidth="1"/>
    <col min="4" max="4" width="12" customWidth="1"/>
    <col min="5" max="5" width="11.33203125" customWidth="1"/>
    <col min="6" max="6" width="15.1640625" customWidth="1"/>
    <col min="7" max="7" width="11.33203125" customWidth="1"/>
    <col min="8" max="8" width="20.33203125" customWidth="1"/>
    <col min="9" max="9" width="11" customWidth="1"/>
    <col min="10" max="10" width="17" customWidth="1"/>
    <col min="11" max="11" width="17.1640625" customWidth="1"/>
    <col min="12" max="12" width="13.6640625" customWidth="1"/>
    <col min="15" max="15" width="8.33203125" customWidth="1"/>
    <col min="16" max="17" width="14.33203125" customWidth="1"/>
    <col min="25" max="25" width="17" customWidth="1"/>
  </cols>
  <sheetData>
    <row r="1" spans="1:24" x14ac:dyDescent="0.2">
      <c r="A1" s="2" t="s">
        <v>0</v>
      </c>
      <c r="B1" s="2" t="s">
        <v>1</v>
      </c>
      <c r="C1" s="2" t="s">
        <v>2</v>
      </c>
      <c r="D1" s="2" t="s">
        <v>3</v>
      </c>
      <c r="E1" s="2" t="s">
        <v>4</v>
      </c>
      <c r="F1" s="2" t="s">
        <v>5</v>
      </c>
      <c r="G1" s="2" t="s">
        <v>6</v>
      </c>
      <c r="H1" s="2" t="s">
        <v>273</v>
      </c>
      <c r="I1" s="2" t="s">
        <v>7</v>
      </c>
      <c r="J1" s="2" t="s">
        <v>8</v>
      </c>
      <c r="K1" s="2" t="s">
        <v>9</v>
      </c>
      <c r="L1" s="2" t="s">
        <v>10</v>
      </c>
      <c r="M1" s="2" t="s">
        <v>250</v>
      </c>
      <c r="N1" s="2" t="s">
        <v>251</v>
      </c>
      <c r="O1" s="2" t="s">
        <v>252</v>
      </c>
      <c r="P1" s="2" t="s">
        <v>271</v>
      </c>
      <c r="Q1" s="2" t="s">
        <v>272</v>
      </c>
      <c r="W1" t="s">
        <v>4</v>
      </c>
      <c r="X1" t="s">
        <v>269</v>
      </c>
    </row>
    <row r="2" spans="1:24" x14ac:dyDescent="0.2">
      <c r="A2" t="s">
        <v>11</v>
      </c>
      <c r="B2" s="1">
        <v>44984</v>
      </c>
      <c r="C2" t="s">
        <v>12</v>
      </c>
      <c r="D2" t="s">
        <v>13</v>
      </c>
      <c r="E2" t="s">
        <v>14</v>
      </c>
      <c r="F2" t="s">
        <v>26</v>
      </c>
      <c r="G2">
        <v>8</v>
      </c>
      <c r="H2">
        <f>Table1[[#This Row],[UnitPrice]]*0.7*Table1[[#This Row],[UnitsSold]]</f>
        <v>5616.0743829787234</v>
      </c>
      <c r="I2">
        <v>1002.870425531915</v>
      </c>
      <c r="J2">
        <v>0</v>
      </c>
      <c r="K2" t="s">
        <v>16</v>
      </c>
      <c r="L2" t="s">
        <v>17</v>
      </c>
      <c r="M2" s="3">
        <f t="shared" ref="M2:M65" si="0">G2*I2*(1-J2)</f>
        <v>8022.9634042553198</v>
      </c>
      <c r="N2" t="str">
        <f t="shared" ref="N2:N65" si="1">TEXT(B2, "mmmm")</f>
        <v>February</v>
      </c>
      <c r="O2" t="str">
        <f t="shared" ref="O2:O65" si="2">TEXT(B2, "yyyy")</f>
        <v>2023</v>
      </c>
      <c r="P2" s="3">
        <f>Table1[[#This Row],[Revenue]]-Table1[[#This Row],[Cost]]</f>
        <v>2406.8890212765964</v>
      </c>
      <c r="Q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c r="W2" t="s">
        <v>46</v>
      </c>
      <c r="X2" t="s">
        <v>26</v>
      </c>
    </row>
    <row r="3" spans="1:24" x14ac:dyDescent="0.2">
      <c r="A3" t="s">
        <v>18</v>
      </c>
      <c r="B3" s="1">
        <v>44943</v>
      </c>
      <c r="C3" t="s">
        <v>12</v>
      </c>
      <c r="D3" t="s">
        <v>19</v>
      </c>
      <c r="E3" t="s">
        <v>247</v>
      </c>
      <c r="F3" t="s">
        <v>26</v>
      </c>
      <c r="G3">
        <v>0</v>
      </c>
      <c r="H3">
        <f>Table1[[#This Row],[UnitPrice]]*0.7*Table1[[#This Row],[UnitsSold]]</f>
        <v>0</v>
      </c>
      <c r="I3">
        <v>62.81</v>
      </c>
      <c r="J3">
        <v>0</v>
      </c>
      <c r="K3" t="s">
        <v>248</v>
      </c>
      <c r="L3" t="s">
        <v>22</v>
      </c>
      <c r="M3" s="3">
        <f t="shared" si="0"/>
        <v>0</v>
      </c>
      <c r="N3" t="str">
        <f t="shared" si="1"/>
        <v>January</v>
      </c>
      <c r="O3" t="str">
        <f t="shared" si="2"/>
        <v>2023</v>
      </c>
      <c r="P3" s="3">
        <f>Table1[[#This Row],[Revenue]]-Table1[[#This Row],[Cost]]</f>
        <v>0</v>
      </c>
      <c r="Q3" s="6">
        <f>IF(Table1[[#This Row],[UnitsSold]]*Table1[[#This Row],[UnitPrice]]*(1-Table1[[#This Row],[Discount]])=0, 0, ((Table1[[#This Row],[UnitsSold]]*Table1[[#This Row],[UnitPrice]]*(1-Table1[[#This Row],[Discount]])) - (Table1[[#This Row],[UnitsSold]]*Table1[[#This Row],[UnitPrice]]*0.7)) / (Table1[[#This Row],[UnitsSold]]*Table1[[#This Row],[UnitPrice]]*(1-Table1[[#This Row],[Discount]])))</f>
        <v>0</v>
      </c>
      <c r="W3" t="s">
        <v>270</v>
      </c>
      <c r="X3" t="s">
        <v>26</v>
      </c>
    </row>
    <row r="4" spans="1:24" x14ac:dyDescent="0.2">
      <c r="A4" t="s">
        <v>30</v>
      </c>
      <c r="B4" s="1">
        <v>45248</v>
      </c>
      <c r="C4" t="s">
        <v>29</v>
      </c>
      <c r="D4" t="s">
        <v>31</v>
      </c>
      <c r="E4" t="s">
        <v>247</v>
      </c>
      <c r="F4" t="s">
        <v>26</v>
      </c>
      <c r="G4">
        <v>0</v>
      </c>
      <c r="H4">
        <f>Table1[[#This Row],[UnitPrice]]*0.7*Table1[[#This Row],[UnitsSold]]</f>
        <v>0</v>
      </c>
      <c r="I4">
        <v>981.36020408163256</v>
      </c>
      <c r="J4">
        <v>0.3</v>
      </c>
      <c r="K4" t="s">
        <v>16</v>
      </c>
      <c r="L4" t="s">
        <v>22</v>
      </c>
      <c r="M4" s="3">
        <f t="shared" si="0"/>
        <v>0</v>
      </c>
      <c r="N4" t="str">
        <f t="shared" si="1"/>
        <v>November</v>
      </c>
      <c r="O4" t="str">
        <f t="shared" si="2"/>
        <v>2023</v>
      </c>
      <c r="P4" s="3">
        <f>Table1[[#This Row],[Revenue]]-Table1[[#This Row],[Cost]]</f>
        <v>0</v>
      </c>
      <c r="Q4" s="6">
        <f>IF(Table1[[#This Row],[UnitsSold]]*Table1[[#This Row],[UnitPrice]]*(1-Table1[[#This Row],[Discount]])=0, 0, ((Table1[[#This Row],[UnitsSold]]*Table1[[#This Row],[UnitPrice]]*(1-Table1[[#This Row],[Discount]])) - (Table1[[#This Row],[UnitsSold]]*Table1[[#This Row],[UnitPrice]]*0.7)) / (Table1[[#This Row],[UnitsSold]]*Table1[[#This Row],[UnitPrice]]*(1-Table1[[#This Row],[Discount]])))</f>
        <v>0</v>
      </c>
      <c r="W4" t="s">
        <v>25</v>
      </c>
      <c r="X4" t="s">
        <v>26</v>
      </c>
    </row>
    <row r="5" spans="1:24" x14ac:dyDescent="0.2">
      <c r="A5" t="s">
        <v>32</v>
      </c>
      <c r="B5" s="1">
        <v>45159</v>
      </c>
      <c r="C5" t="s">
        <v>29</v>
      </c>
      <c r="D5" t="s">
        <v>19</v>
      </c>
      <c r="E5" t="s">
        <v>14</v>
      </c>
      <c r="F5" t="s">
        <v>26</v>
      </c>
      <c r="G5">
        <v>0</v>
      </c>
      <c r="H5">
        <f>Table1[[#This Row],[UnitPrice]]*0.7*Table1[[#This Row],[UnitsSold]]</f>
        <v>0</v>
      </c>
      <c r="I5">
        <v>1002.870425531915</v>
      </c>
      <c r="J5">
        <v>0</v>
      </c>
      <c r="K5" t="s">
        <v>283</v>
      </c>
      <c r="L5" t="s">
        <v>249</v>
      </c>
      <c r="M5" s="3">
        <f t="shared" si="0"/>
        <v>0</v>
      </c>
      <c r="N5" t="str">
        <f t="shared" si="1"/>
        <v>August</v>
      </c>
      <c r="O5" t="str">
        <f t="shared" si="2"/>
        <v>2023</v>
      </c>
      <c r="P5" s="3">
        <f>Table1[[#This Row],[Revenue]]-Table1[[#This Row],[Cost]]</f>
        <v>0</v>
      </c>
      <c r="Q5" s="6">
        <f>IF(Table1[[#This Row],[UnitsSold]]*Table1[[#This Row],[UnitPrice]]*(1-Table1[[#This Row],[Discount]])=0, 0, ((Table1[[#This Row],[UnitsSold]]*Table1[[#This Row],[UnitPrice]]*(1-Table1[[#This Row],[Discount]])) - (Table1[[#This Row],[UnitsSold]]*Table1[[#This Row],[UnitPrice]]*0.7)) / (Table1[[#This Row],[UnitsSold]]*Table1[[#This Row],[UnitPrice]]*(1-Table1[[#This Row],[Discount]])))</f>
        <v>0</v>
      </c>
      <c r="W5" t="s">
        <v>44</v>
      </c>
      <c r="X5" t="s">
        <v>26</v>
      </c>
    </row>
    <row r="6" spans="1:24" x14ac:dyDescent="0.2">
      <c r="A6" t="s">
        <v>36</v>
      </c>
      <c r="B6" s="1">
        <v>45300</v>
      </c>
      <c r="C6" t="s">
        <v>37</v>
      </c>
      <c r="D6" t="s">
        <v>19</v>
      </c>
      <c r="E6" t="s">
        <v>38</v>
      </c>
      <c r="F6" t="s">
        <v>34</v>
      </c>
      <c r="G6">
        <v>0</v>
      </c>
      <c r="H6">
        <f>Table1[[#This Row],[UnitPrice]]*0.7*Table1[[#This Row],[UnitsSold]]</f>
        <v>0</v>
      </c>
      <c r="I6">
        <v>1379.44</v>
      </c>
      <c r="J6">
        <v>0.21</v>
      </c>
      <c r="K6" t="s">
        <v>16</v>
      </c>
      <c r="L6" t="s">
        <v>27</v>
      </c>
      <c r="M6" s="3">
        <f t="shared" si="0"/>
        <v>0</v>
      </c>
      <c r="N6" t="str">
        <f t="shared" si="1"/>
        <v>January</v>
      </c>
      <c r="O6" t="str">
        <f t="shared" si="2"/>
        <v>2024</v>
      </c>
      <c r="P6" s="3">
        <f>Table1[[#This Row],[Revenue]]-Table1[[#This Row],[Cost]]</f>
        <v>0</v>
      </c>
      <c r="Q6" s="6">
        <f>IF(Table1[[#This Row],[UnitsSold]]*Table1[[#This Row],[UnitPrice]]*(1-Table1[[#This Row],[Discount]])=0, 0, ((Table1[[#This Row],[UnitsSold]]*Table1[[#This Row],[UnitPrice]]*(1-Table1[[#This Row],[Discount]])) - (Table1[[#This Row],[UnitsSold]]*Table1[[#This Row],[UnitPrice]]*0.7)) / (Table1[[#This Row],[UnitsSold]]*Table1[[#This Row],[UnitPrice]]*(1-Table1[[#This Row],[Discount]])))</f>
        <v>0</v>
      </c>
      <c r="W6" t="s">
        <v>48</v>
      </c>
      <c r="X6" t="s">
        <v>39</v>
      </c>
    </row>
    <row r="7" spans="1:24" x14ac:dyDescent="0.2">
      <c r="A7" t="s">
        <v>41</v>
      </c>
      <c r="B7" s="1">
        <v>45132</v>
      </c>
      <c r="C7" t="s">
        <v>24</v>
      </c>
      <c r="D7" t="s">
        <v>19</v>
      </c>
      <c r="E7" t="s">
        <v>247</v>
      </c>
      <c r="F7" t="s">
        <v>26</v>
      </c>
      <c r="G7">
        <v>11</v>
      </c>
      <c r="H7">
        <f>Table1[[#This Row],[UnitPrice]]*0.7*Table1[[#This Row],[UnitsSold]]</f>
        <v>7556.4735714285707</v>
      </c>
      <c r="I7">
        <v>981.36020408163256</v>
      </c>
      <c r="J7">
        <v>0</v>
      </c>
      <c r="K7" t="s">
        <v>42</v>
      </c>
      <c r="L7" t="s">
        <v>249</v>
      </c>
      <c r="M7" s="3">
        <f t="shared" si="0"/>
        <v>10794.962244897959</v>
      </c>
      <c r="N7" t="str">
        <f t="shared" si="1"/>
        <v>July</v>
      </c>
      <c r="O7" t="str">
        <f t="shared" si="2"/>
        <v>2023</v>
      </c>
      <c r="P7" s="3">
        <f>Table1[[#This Row],[Revenue]]-Table1[[#This Row],[Cost]]</f>
        <v>3238.4886734693882</v>
      </c>
      <c r="Q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c r="W7" t="s">
        <v>268</v>
      </c>
      <c r="X7" t="s">
        <v>34</v>
      </c>
    </row>
    <row r="8" spans="1:24" x14ac:dyDescent="0.2">
      <c r="A8" t="s">
        <v>43</v>
      </c>
      <c r="B8" s="1">
        <v>44998</v>
      </c>
      <c r="C8" t="s">
        <v>37</v>
      </c>
      <c r="D8" t="s">
        <v>13</v>
      </c>
      <c r="E8" t="s">
        <v>44</v>
      </c>
      <c r="F8" t="s">
        <v>26</v>
      </c>
      <c r="G8">
        <v>0</v>
      </c>
      <c r="H8">
        <f>Table1[[#This Row],[UnitPrice]]*0.7*Table1[[#This Row],[UnitsSold]]</f>
        <v>0</v>
      </c>
      <c r="I8">
        <v>1079.5765957446808</v>
      </c>
      <c r="J8">
        <v>0.12</v>
      </c>
      <c r="K8" t="s">
        <v>16</v>
      </c>
      <c r="L8" t="s">
        <v>17</v>
      </c>
      <c r="M8" s="3">
        <f t="shared" si="0"/>
        <v>0</v>
      </c>
      <c r="N8" t="str">
        <f t="shared" si="1"/>
        <v>March</v>
      </c>
      <c r="O8" t="str">
        <f t="shared" si="2"/>
        <v>2023</v>
      </c>
      <c r="P8" s="3">
        <f>Table1[[#This Row],[Revenue]]-Table1[[#This Row],[Cost]]</f>
        <v>0</v>
      </c>
      <c r="Q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 spans="1:24" x14ac:dyDescent="0.2">
      <c r="A9" t="s">
        <v>45</v>
      </c>
      <c r="B9" s="1">
        <v>44973</v>
      </c>
      <c r="C9" t="s">
        <v>12</v>
      </c>
      <c r="D9" t="s">
        <v>267</v>
      </c>
      <c r="E9" t="s">
        <v>46</v>
      </c>
      <c r="F9" t="s">
        <v>26</v>
      </c>
      <c r="G9">
        <v>0</v>
      </c>
      <c r="H9">
        <f>Table1[[#This Row],[UnitPrice]]*0.7*Table1[[#This Row],[UnitsSold]]</f>
        <v>0</v>
      </c>
      <c r="I9">
        <v>850.1</v>
      </c>
      <c r="J9">
        <v>0</v>
      </c>
      <c r="K9" t="s">
        <v>42</v>
      </c>
      <c r="L9" t="s">
        <v>17</v>
      </c>
      <c r="M9" s="3">
        <f t="shared" si="0"/>
        <v>0</v>
      </c>
      <c r="N9" t="str">
        <f t="shared" si="1"/>
        <v>February</v>
      </c>
      <c r="O9" t="str">
        <f t="shared" si="2"/>
        <v>2023</v>
      </c>
      <c r="P9" s="3">
        <f>Table1[[#This Row],[Revenue]]-Table1[[#This Row],[Cost]]</f>
        <v>0</v>
      </c>
      <c r="Q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0" spans="1:24" x14ac:dyDescent="0.2">
      <c r="A10" t="s">
        <v>47</v>
      </c>
      <c r="B10" s="1">
        <v>45210</v>
      </c>
      <c r="C10" t="s">
        <v>12</v>
      </c>
      <c r="D10" t="s">
        <v>13</v>
      </c>
      <c r="E10" t="s">
        <v>48</v>
      </c>
      <c r="F10" t="s">
        <v>39</v>
      </c>
      <c r="G10">
        <v>0</v>
      </c>
      <c r="H10">
        <f>Table1[[#This Row],[UnitPrice]]*0.7*Table1[[#This Row],[UnitsSold]]</f>
        <v>0</v>
      </c>
      <c r="I10">
        <v>1017.3087234042553</v>
      </c>
      <c r="J10">
        <v>0</v>
      </c>
      <c r="K10" t="s">
        <v>16</v>
      </c>
      <c r="L10" t="s">
        <v>22</v>
      </c>
      <c r="M10" s="3">
        <f t="shared" si="0"/>
        <v>0</v>
      </c>
      <c r="N10" t="str">
        <f t="shared" si="1"/>
        <v>October</v>
      </c>
      <c r="O10" t="str">
        <f t="shared" si="2"/>
        <v>2023</v>
      </c>
      <c r="P10" s="3">
        <f>Table1[[#This Row],[Revenue]]-Table1[[#This Row],[Cost]]</f>
        <v>0</v>
      </c>
      <c r="Q1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1" spans="1:24" x14ac:dyDescent="0.2">
      <c r="A11" t="s">
        <v>49</v>
      </c>
      <c r="B11" s="1">
        <v>45296</v>
      </c>
      <c r="C11" t="s">
        <v>24</v>
      </c>
      <c r="D11" t="s">
        <v>31</v>
      </c>
      <c r="E11" t="s">
        <v>25</v>
      </c>
      <c r="F11" t="s">
        <v>26</v>
      </c>
      <c r="G11">
        <v>17</v>
      </c>
      <c r="H11">
        <f>Table1[[#This Row],[UnitPrice]]*0.7*Table1[[#This Row],[UnitsSold]]</f>
        <v>11436.573661016948</v>
      </c>
      <c r="I11">
        <v>961.05661016949136</v>
      </c>
      <c r="J11">
        <v>0</v>
      </c>
      <c r="K11" t="s">
        <v>248</v>
      </c>
      <c r="L11" t="s">
        <v>249</v>
      </c>
      <c r="M11" s="3">
        <f t="shared" si="0"/>
        <v>16337.962372881353</v>
      </c>
      <c r="N11" t="str">
        <f t="shared" si="1"/>
        <v>January</v>
      </c>
      <c r="O11" t="str">
        <f t="shared" si="2"/>
        <v>2024</v>
      </c>
      <c r="P11" s="3">
        <f>Table1[[#This Row],[Revenue]]-Table1[[#This Row],[Cost]]</f>
        <v>4901.3887118644052</v>
      </c>
      <c r="Q1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12" spans="1:24" x14ac:dyDescent="0.2">
      <c r="A12" t="s">
        <v>50</v>
      </c>
      <c r="B12" s="1">
        <v>45118</v>
      </c>
      <c r="C12" t="s">
        <v>246</v>
      </c>
      <c r="D12" t="s">
        <v>31</v>
      </c>
      <c r="E12" t="s">
        <v>25</v>
      </c>
      <c r="F12" t="s">
        <v>26</v>
      </c>
      <c r="G12">
        <v>0</v>
      </c>
      <c r="H12">
        <f>Table1[[#This Row],[UnitPrice]]*0.7*Table1[[#This Row],[UnitsSold]]</f>
        <v>0</v>
      </c>
      <c r="I12">
        <v>655.07000000000005</v>
      </c>
      <c r="J12">
        <v>0</v>
      </c>
      <c r="K12" t="s">
        <v>52</v>
      </c>
      <c r="L12" t="s">
        <v>249</v>
      </c>
      <c r="M12" s="3">
        <f t="shared" si="0"/>
        <v>0</v>
      </c>
      <c r="N12" t="str">
        <f t="shared" si="1"/>
        <v>July</v>
      </c>
      <c r="O12" t="str">
        <f t="shared" si="2"/>
        <v>2023</v>
      </c>
      <c r="P12" s="3">
        <f>Table1[[#This Row],[Revenue]]-Table1[[#This Row],[Cost]]</f>
        <v>0</v>
      </c>
      <c r="Q1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3" spans="1:24" x14ac:dyDescent="0.2">
      <c r="A13" t="s">
        <v>53</v>
      </c>
      <c r="B13" s="1">
        <v>45050</v>
      </c>
      <c r="C13" t="s">
        <v>12</v>
      </c>
      <c r="D13" t="s">
        <v>19</v>
      </c>
      <c r="E13" t="s">
        <v>48</v>
      </c>
      <c r="F13" t="s">
        <v>39</v>
      </c>
      <c r="G13">
        <v>0</v>
      </c>
      <c r="H13">
        <f>Table1[[#This Row],[UnitPrice]]*0.7*Table1[[#This Row],[UnitsSold]]</f>
        <v>0</v>
      </c>
      <c r="I13">
        <v>1534.01</v>
      </c>
      <c r="J13">
        <v>0</v>
      </c>
      <c r="K13" t="s">
        <v>16</v>
      </c>
      <c r="L13" t="s">
        <v>55</v>
      </c>
      <c r="M13" s="3">
        <f t="shared" si="0"/>
        <v>0</v>
      </c>
      <c r="N13" t="str">
        <f t="shared" si="1"/>
        <v>May</v>
      </c>
      <c r="O13" t="str">
        <f t="shared" si="2"/>
        <v>2023</v>
      </c>
      <c r="P13" s="3">
        <f>Table1[[#This Row],[Revenue]]-Table1[[#This Row],[Cost]]</f>
        <v>0</v>
      </c>
      <c r="Q1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4" spans="1:24" x14ac:dyDescent="0.2">
      <c r="A14" t="s">
        <v>56</v>
      </c>
      <c r="B14" s="1">
        <v>45237</v>
      </c>
      <c r="C14" t="s">
        <v>57</v>
      </c>
      <c r="D14" t="s">
        <v>19</v>
      </c>
      <c r="E14" t="s">
        <v>44</v>
      </c>
      <c r="F14" t="s">
        <v>26</v>
      </c>
      <c r="G14">
        <v>0</v>
      </c>
      <c r="H14">
        <f>Table1[[#This Row],[UnitPrice]]*0.7*Table1[[#This Row],[UnitsSold]]</f>
        <v>0</v>
      </c>
      <c r="I14">
        <v>1079.5765957446808</v>
      </c>
      <c r="J14">
        <v>0</v>
      </c>
      <c r="K14" t="s">
        <v>42</v>
      </c>
      <c r="L14" t="s">
        <v>27</v>
      </c>
      <c r="M14" s="3">
        <f t="shared" si="0"/>
        <v>0</v>
      </c>
      <c r="N14" t="str">
        <f t="shared" si="1"/>
        <v>November</v>
      </c>
      <c r="O14" t="str">
        <f t="shared" si="2"/>
        <v>2023</v>
      </c>
      <c r="P14" s="3">
        <f>Table1[[#This Row],[Revenue]]-Table1[[#This Row],[Cost]]</f>
        <v>0</v>
      </c>
      <c r="Q1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5" spans="1:24" x14ac:dyDescent="0.2">
      <c r="A15" t="s">
        <v>58</v>
      </c>
      <c r="B15" s="1">
        <v>45042</v>
      </c>
      <c r="C15" t="s">
        <v>12</v>
      </c>
      <c r="D15" t="s">
        <v>59</v>
      </c>
      <c r="E15" t="s">
        <v>46</v>
      </c>
      <c r="F15" t="s">
        <v>26</v>
      </c>
      <c r="G15">
        <v>18</v>
      </c>
      <c r="H15">
        <f>Table1[[#This Row],[UnitPrice]]*0.7*Table1[[#This Row],[UnitsSold]]</f>
        <v>14880.599999999999</v>
      </c>
      <c r="I15">
        <v>1181</v>
      </c>
      <c r="J15">
        <v>0</v>
      </c>
      <c r="K15" t="s">
        <v>16</v>
      </c>
      <c r="L15" t="s">
        <v>249</v>
      </c>
      <c r="M15" s="3">
        <f t="shared" si="0"/>
        <v>21258</v>
      </c>
      <c r="N15" t="str">
        <f t="shared" si="1"/>
        <v>April</v>
      </c>
      <c r="O15" t="str">
        <f t="shared" si="2"/>
        <v>2023</v>
      </c>
      <c r="P15" s="3">
        <f>Table1[[#This Row],[Revenue]]-Table1[[#This Row],[Cost]]</f>
        <v>6377.4000000000015</v>
      </c>
      <c r="Q1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16" spans="1:24" x14ac:dyDescent="0.2">
      <c r="A16" t="s">
        <v>60</v>
      </c>
      <c r="B16" s="1">
        <v>44943</v>
      </c>
      <c r="C16" t="s">
        <v>29</v>
      </c>
      <c r="D16" t="s">
        <v>19</v>
      </c>
      <c r="E16" t="s">
        <v>44</v>
      </c>
      <c r="F16" t="s">
        <v>26</v>
      </c>
      <c r="G16">
        <v>0</v>
      </c>
      <c r="H16">
        <f>Table1[[#This Row],[UnitPrice]]*0.7*Table1[[#This Row],[UnitsSold]]</f>
        <v>0</v>
      </c>
      <c r="I16">
        <v>1079.5765957446808</v>
      </c>
      <c r="J16">
        <v>0</v>
      </c>
      <c r="K16" t="s">
        <v>248</v>
      </c>
      <c r="L16" t="s">
        <v>22</v>
      </c>
      <c r="M16" s="3">
        <f t="shared" si="0"/>
        <v>0</v>
      </c>
      <c r="N16" t="str">
        <f t="shared" si="1"/>
        <v>January</v>
      </c>
      <c r="O16" t="str">
        <f t="shared" si="2"/>
        <v>2023</v>
      </c>
      <c r="P16" s="3">
        <f>Table1[[#This Row],[Revenue]]-Table1[[#This Row],[Cost]]</f>
        <v>0</v>
      </c>
      <c r="Q1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7" spans="1:17" x14ac:dyDescent="0.2">
      <c r="A17" t="s">
        <v>61</v>
      </c>
      <c r="B17" s="1">
        <v>45169</v>
      </c>
      <c r="C17" t="s">
        <v>57</v>
      </c>
      <c r="D17" t="s">
        <v>19</v>
      </c>
      <c r="E17" t="s">
        <v>46</v>
      </c>
      <c r="F17" t="s">
        <v>26</v>
      </c>
      <c r="G17">
        <v>0</v>
      </c>
      <c r="H17">
        <f>Table1[[#This Row],[UnitPrice]]*0.7*Table1[[#This Row],[UnitsSold]]</f>
        <v>0</v>
      </c>
      <c r="I17">
        <v>1106.0261904761899</v>
      </c>
      <c r="J17">
        <v>0.26</v>
      </c>
      <c r="K17" t="s">
        <v>283</v>
      </c>
      <c r="L17" t="s">
        <v>27</v>
      </c>
      <c r="M17" s="3">
        <f t="shared" si="0"/>
        <v>0</v>
      </c>
      <c r="N17" t="str">
        <f t="shared" si="1"/>
        <v>August</v>
      </c>
      <c r="O17" t="str">
        <f t="shared" si="2"/>
        <v>2023</v>
      </c>
      <c r="P17" s="3">
        <f>Table1[[#This Row],[Revenue]]-Table1[[#This Row],[Cost]]</f>
        <v>0</v>
      </c>
      <c r="Q1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8" spans="1:17" x14ac:dyDescent="0.2">
      <c r="A18" t="s">
        <v>62</v>
      </c>
      <c r="B18" s="1">
        <v>45133</v>
      </c>
      <c r="C18" t="s">
        <v>29</v>
      </c>
      <c r="D18" t="s">
        <v>267</v>
      </c>
      <c r="E18" t="s">
        <v>25</v>
      </c>
      <c r="F18" t="s">
        <v>26</v>
      </c>
      <c r="G18">
        <v>8</v>
      </c>
      <c r="H18">
        <f>Table1[[#This Row],[UnitPrice]]*0.7*Table1[[#This Row],[UnitsSold]]</f>
        <v>5381.9170169491517</v>
      </c>
      <c r="I18">
        <v>961.05661016949136</v>
      </c>
      <c r="J18">
        <v>0.04</v>
      </c>
      <c r="K18" t="s">
        <v>52</v>
      </c>
      <c r="L18" t="s">
        <v>22</v>
      </c>
      <c r="M18" s="3">
        <f t="shared" si="0"/>
        <v>7380.9147661016932</v>
      </c>
      <c r="N18" t="str">
        <f t="shared" si="1"/>
        <v>July</v>
      </c>
      <c r="O18" t="str">
        <f t="shared" si="2"/>
        <v>2023</v>
      </c>
      <c r="P18" s="3">
        <f>Table1[[#This Row],[Revenue]]-Table1[[#This Row],[Cost]]</f>
        <v>1998.9977491525415</v>
      </c>
      <c r="Q18" s="6">
        <f>IF(Table1[[#This Row],[UnitsSold]]*Table1[[#This Row],[UnitPrice]]*(1-Table1[[#This Row],[Discount]])=0, 0, ((Table1[[#This Row],[UnitsSold]]*Table1[[#This Row],[UnitPrice]]*(1-Table1[[#This Row],[Discount]])) - (Table1[[#This Row],[UnitsSold]]*Table1[[#This Row],[UnitPrice]]*0.7)) / (Table1[[#This Row],[UnitsSold]]*Table1[[#This Row],[UnitPrice]]*(1-Table1[[#This Row],[Discount]])))</f>
        <v>0.27083333333333326</v>
      </c>
    </row>
    <row r="19" spans="1:17" x14ac:dyDescent="0.2">
      <c r="A19" t="s">
        <v>58</v>
      </c>
      <c r="B19" s="1">
        <v>44965</v>
      </c>
      <c r="C19" t="s">
        <v>57</v>
      </c>
      <c r="D19" t="s">
        <v>267</v>
      </c>
      <c r="E19" t="s">
        <v>25</v>
      </c>
      <c r="F19" t="s">
        <v>26</v>
      </c>
      <c r="G19">
        <v>4</v>
      </c>
      <c r="H19">
        <f>Table1[[#This Row],[UnitPrice]]*0.7*Table1[[#This Row],[UnitsSold]]</f>
        <v>2690.9585084745759</v>
      </c>
      <c r="I19">
        <v>961.05661016949136</v>
      </c>
      <c r="J19">
        <v>0.25</v>
      </c>
      <c r="K19" t="s">
        <v>16</v>
      </c>
      <c r="L19" t="s">
        <v>249</v>
      </c>
      <c r="M19" s="3">
        <f t="shared" si="0"/>
        <v>2883.1698305084742</v>
      </c>
      <c r="N19" t="str">
        <f t="shared" si="1"/>
        <v>February</v>
      </c>
      <c r="O19" t="str">
        <f t="shared" si="2"/>
        <v>2023</v>
      </c>
      <c r="P19" s="3">
        <f>Table1[[#This Row],[Revenue]]-Table1[[#This Row],[Cost]]</f>
        <v>192.21132203389834</v>
      </c>
      <c r="Q19" s="6">
        <f>IF(Table1[[#This Row],[UnitsSold]]*Table1[[#This Row],[UnitPrice]]*(1-Table1[[#This Row],[Discount]])=0, 0, ((Table1[[#This Row],[UnitsSold]]*Table1[[#This Row],[UnitPrice]]*(1-Table1[[#This Row],[Discount]])) - (Table1[[#This Row],[UnitsSold]]*Table1[[#This Row],[UnitPrice]]*0.7)) / (Table1[[#This Row],[UnitsSold]]*Table1[[#This Row],[UnitPrice]]*(1-Table1[[#This Row],[Discount]])))</f>
        <v>6.6666666666666693E-2</v>
      </c>
    </row>
    <row r="20" spans="1:17" x14ac:dyDescent="0.2">
      <c r="A20" t="s">
        <v>64</v>
      </c>
      <c r="B20" s="1">
        <v>45175</v>
      </c>
      <c r="C20" t="s">
        <v>57</v>
      </c>
      <c r="D20" t="s">
        <v>19</v>
      </c>
      <c r="E20" t="s">
        <v>25</v>
      </c>
      <c r="F20" t="s">
        <v>26</v>
      </c>
      <c r="G20">
        <v>2</v>
      </c>
      <c r="H20">
        <f>Table1[[#This Row],[UnitPrice]]*0.7*Table1[[#This Row],[UnitsSold]]</f>
        <v>1345.4792542372879</v>
      </c>
      <c r="I20">
        <v>961.05661016949136</v>
      </c>
      <c r="J20">
        <v>0</v>
      </c>
      <c r="K20" t="s">
        <v>52</v>
      </c>
      <c r="L20" t="s">
        <v>22</v>
      </c>
      <c r="M20" s="3">
        <f t="shared" si="0"/>
        <v>1922.1132203389827</v>
      </c>
      <c r="N20" t="str">
        <f t="shared" si="1"/>
        <v>September</v>
      </c>
      <c r="O20" t="str">
        <f t="shared" si="2"/>
        <v>2023</v>
      </c>
      <c r="P20" s="3">
        <f>Table1[[#This Row],[Revenue]]-Table1[[#This Row],[Cost]]</f>
        <v>576.6339661016948</v>
      </c>
      <c r="Q20"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21" spans="1:17" x14ac:dyDescent="0.2">
      <c r="A21" t="s">
        <v>65</v>
      </c>
      <c r="B21" s="1">
        <v>45301</v>
      </c>
      <c r="C21" t="s">
        <v>57</v>
      </c>
      <c r="D21" t="s">
        <v>19</v>
      </c>
      <c r="E21" t="s">
        <v>247</v>
      </c>
      <c r="F21" t="s">
        <v>26</v>
      </c>
      <c r="G21">
        <v>7</v>
      </c>
      <c r="H21">
        <f>Table1[[#This Row],[UnitPrice]]*0.7*Table1[[#This Row],[UnitsSold]]</f>
        <v>4808.665</v>
      </c>
      <c r="I21">
        <v>981.36020408163256</v>
      </c>
      <c r="J21">
        <v>0</v>
      </c>
      <c r="K21" t="s">
        <v>16</v>
      </c>
      <c r="L21" t="s">
        <v>27</v>
      </c>
      <c r="M21" s="3">
        <f t="shared" si="0"/>
        <v>6869.5214285714283</v>
      </c>
      <c r="N21" t="str">
        <f t="shared" si="1"/>
        <v>January</v>
      </c>
      <c r="O21" t="str">
        <f t="shared" si="2"/>
        <v>2024</v>
      </c>
      <c r="P21" s="3">
        <f>Table1[[#This Row],[Revenue]]-Table1[[#This Row],[Cost]]</f>
        <v>2060.8564285714283</v>
      </c>
      <c r="Q2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22" spans="1:17" x14ac:dyDescent="0.2">
      <c r="A22" t="s">
        <v>66</v>
      </c>
      <c r="B22" s="1">
        <v>45171</v>
      </c>
      <c r="C22" t="s">
        <v>246</v>
      </c>
      <c r="D22" t="s">
        <v>19</v>
      </c>
      <c r="E22" t="s">
        <v>44</v>
      </c>
      <c r="F22" t="s">
        <v>26</v>
      </c>
      <c r="G22">
        <v>6</v>
      </c>
      <c r="H22">
        <f>Table1[[#This Row],[UnitPrice]]*0.7*Table1[[#This Row],[UnitsSold]]</f>
        <v>4534.2217021276592</v>
      </c>
      <c r="I22">
        <v>1079.5765957446808</v>
      </c>
      <c r="J22">
        <v>0</v>
      </c>
      <c r="K22" t="s">
        <v>16</v>
      </c>
      <c r="L22" t="s">
        <v>17</v>
      </c>
      <c r="M22" s="3">
        <f t="shared" si="0"/>
        <v>6477.4595744680846</v>
      </c>
      <c r="N22" t="str">
        <f t="shared" si="1"/>
        <v>September</v>
      </c>
      <c r="O22" t="str">
        <f t="shared" si="2"/>
        <v>2023</v>
      </c>
      <c r="P22" s="3">
        <f>Table1[[#This Row],[Revenue]]-Table1[[#This Row],[Cost]]</f>
        <v>1943.2378723404254</v>
      </c>
      <c r="Q22"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23" spans="1:17" x14ac:dyDescent="0.2">
      <c r="A23" t="s">
        <v>58</v>
      </c>
      <c r="B23" s="1">
        <v>45223</v>
      </c>
      <c r="C23" t="s">
        <v>12</v>
      </c>
      <c r="D23" t="s">
        <v>31</v>
      </c>
      <c r="E23" t="s">
        <v>46</v>
      </c>
      <c r="F23" t="s">
        <v>26</v>
      </c>
      <c r="G23">
        <v>0</v>
      </c>
      <c r="H23">
        <f>Table1[[#This Row],[UnitPrice]]*0.7*Table1[[#This Row],[UnitsSold]]</f>
        <v>0</v>
      </c>
      <c r="I23">
        <v>1106.0261904761899</v>
      </c>
      <c r="J23">
        <v>0</v>
      </c>
      <c r="K23" t="s">
        <v>52</v>
      </c>
      <c r="L23" t="s">
        <v>249</v>
      </c>
      <c r="M23" s="3">
        <f t="shared" si="0"/>
        <v>0</v>
      </c>
      <c r="N23" t="str">
        <f t="shared" si="1"/>
        <v>October</v>
      </c>
      <c r="O23" t="str">
        <f t="shared" si="2"/>
        <v>2023</v>
      </c>
      <c r="P23" s="3">
        <f>Table1[[#This Row],[Revenue]]-Table1[[#This Row],[Cost]]</f>
        <v>0</v>
      </c>
      <c r="Q2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4" spans="1:17" x14ac:dyDescent="0.2">
      <c r="A24" t="s">
        <v>43</v>
      </c>
      <c r="B24" s="1">
        <v>45129</v>
      </c>
      <c r="C24" t="s">
        <v>246</v>
      </c>
      <c r="D24" t="s">
        <v>13</v>
      </c>
      <c r="E24" t="s">
        <v>48</v>
      </c>
      <c r="F24" t="s">
        <v>39</v>
      </c>
      <c r="G24">
        <v>0</v>
      </c>
      <c r="H24">
        <f>Table1[[#This Row],[UnitPrice]]*0.7*Table1[[#This Row],[UnitsSold]]</f>
        <v>0</v>
      </c>
      <c r="I24">
        <v>1858.75</v>
      </c>
      <c r="J24">
        <v>0</v>
      </c>
      <c r="K24" t="s">
        <v>248</v>
      </c>
      <c r="L24" t="s">
        <v>27</v>
      </c>
      <c r="M24" s="3">
        <f t="shared" si="0"/>
        <v>0</v>
      </c>
      <c r="N24" t="str">
        <f t="shared" si="1"/>
        <v>July</v>
      </c>
      <c r="O24" t="str">
        <f t="shared" si="2"/>
        <v>2023</v>
      </c>
      <c r="P24" s="3">
        <f>Table1[[#This Row],[Revenue]]-Table1[[#This Row],[Cost]]</f>
        <v>0</v>
      </c>
      <c r="Q2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5" spans="1:17" x14ac:dyDescent="0.2">
      <c r="A25" t="s">
        <v>67</v>
      </c>
      <c r="B25" s="1">
        <v>45202</v>
      </c>
      <c r="C25" t="s">
        <v>37</v>
      </c>
      <c r="D25" t="s">
        <v>31</v>
      </c>
      <c r="E25" t="s">
        <v>14</v>
      </c>
      <c r="F25" t="s">
        <v>26</v>
      </c>
      <c r="G25">
        <v>12</v>
      </c>
      <c r="H25">
        <f>Table1[[#This Row],[UnitPrice]]*0.7*Table1[[#This Row],[UnitsSold]]</f>
        <v>8424.1115744680847</v>
      </c>
      <c r="I25">
        <v>1002.870425531915</v>
      </c>
      <c r="J25">
        <v>0</v>
      </c>
      <c r="K25" t="s">
        <v>248</v>
      </c>
      <c r="L25" t="s">
        <v>55</v>
      </c>
      <c r="M25" s="3">
        <f t="shared" si="0"/>
        <v>12034.44510638298</v>
      </c>
      <c r="N25" t="str">
        <f t="shared" si="1"/>
        <v>October</v>
      </c>
      <c r="O25" t="str">
        <f t="shared" si="2"/>
        <v>2023</v>
      </c>
      <c r="P25" s="3">
        <f>Table1[[#This Row],[Revenue]]-Table1[[#This Row],[Cost]]</f>
        <v>3610.3335319148955</v>
      </c>
      <c r="Q25"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26" spans="1:17" x14ac:dyDescent="0.2">
      <c r="A26" t="s">
        <v>68</v>
      </c>
      <c r="B26" s="1">
        <v>45261</v>
      </c>
      <c r="C26" t="s">
        <v>12</v>
      </c>
      <c r="D26" t="s">
        <v>13</v>
      </c>
      <c r="E26" t="s">
        <v>25</v>
      </c>
      <c r="F26" t="s">
        <v>26</v>
      </c>
      <c r="G26">
        <v>0</v>
      </c>
      <c r="H26">
        <f>Table1[[#This Row],[UnitPrice]]*0.7*Table1[[#This Row],[UnitsSold]]</f>
        <v>0</v>
      </c>
      <c r="I26">
        <v>216.14</v>
      </c>
      <c r="J26">
        <v>0.08</v>
      </c>
      <c r="K26" t="s">
        <v>283</v>
      </c>
      <c r="L26" t="s">
        <v>17</v>
      </c>
      <c r="M26" s="3">
        <f t="shared" si="0"/>
        <v>0</v>
      </c>
      <c r="N26" t="str">
        <f t="shared" si="1"/>
        <v>December</v>
      </c>
      <c r="O26" t="str">
        <f t="shared" si="2"/>
        <v>2023</v>
      </c>
      <c r="P26" s="3">
        <f>Table1[[#This Row],[Revenue]]-Table1[[#This Row],[Cost]]</f>
        <v>0</v>
      </c>
      <c r="Q2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7" spans="1:17" x14ac:dyDescent="0.2">
      <c r="A27" t="s">
        <v>50</v>
      </c>
      <c r="B27" s="1">
        <v>45066</v>
      </c>
      <c r="C27" t="s">
        <v>24</v>
      </c>
      <c r="D27" t="s">
        <v>31</v>
      </c>
      <c r="E27" t="s">
        <v>247</v>
      </c>
      <c r="F27" t="s">
        <v>26</v>
      </c>
      <c r="G27">
        <v>0</v>
      </c>
      <c r="H27">
        <f>Table1[[#This Row],[UnitPrice]]*0.7*Table1[[#This Row],[UnitsSold]]</f>
        <v>0</v>
      </c>
      <c r="I27">
        <v>981.36020408163256</v>
      </c>
      <c r="J27">
        <v>0</v>
      </c>
      <c r="K27" t="s">
        <v>16</v>
      </c>
      <c r="L27" t="s">
        <v>27</v>
      </c>
      <c r="M27" s="3">
        <f t="shared" si="0"/>
        <v>0</v>
      </c>
      <c r="N27" t="str">
        <f t="shared" si="1"/>
        <v>May</v>
      </c>
      <c r="O27" t="str">
        <f t="shared" si="2"/>
        <v>2023</v>
      </c>
      <c r="P27" s="3">
        <f>Table1[[#This Row],[Revenue]]-Table1[[#This Row],[Cost]]</f>
        <v>0</v>
      </c>
      <c r="Q2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8" spans="1:17" x14ac:dyDescent="0.2">
      <c r="A28" t="s">
        <v>69</v>
      </c>
      <c r="B28" s="1">
        <v>45143</v>
      </c>
      <c r="C28" t="s">
        <v>24</v>
      </c>
      <c r="D28" t="s">
        <v>19</v>
      </c>
      <c r="E28" t="s">
        <v>46</v>
      </c>
      <c r="F28" t="s">
        <v>26</v>
      </c>
      <c r="G28">
        <v>0</v>
      </c>
      <c r="H28">
        <f>Table1[[#This Row],[UnitPrice]]*0.7*Table1[[#This Row],[UnitsSold]]</f>
        <v>0</v>
      </c>
      <c r="I28">
        <v>1959.8</v>
      </c>
      <c r="J28">
        <v>0</v>
      </c>
      <c r="K28" t="s">
        <v>283</v>
      </c>
      <c r="L28" t="s">
        <v>22</v>
      </c>
      <c r="M28" s="3">
        <f t="shared" si="0"/>
        <v>0</v>
      </c>
      <c r="N28" t="str">
        <f t="shared" si="1"/>
        <v>August</v>
      </c>
      <c r="O28" t="str">
        <f t="shared" si="2"/>
        <v>2023</v>
      </c>
      <c r="P28" s="3">
        <f>Table1[[#This Row],[Revenue]]-Table1[[#This Row],[Cost]]</f>
        <v>0</v>
      </c>
      <c r="Q2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9" spans="1:17" x14ac:dyDescent="0.2">
      <c r="A29" t="s">
        <v>70</v>
      </c>
      <c r="B29" s="1">
        <v>44931</v>
      </c>
      <c r="C29" t="s">
        <v>12</v>
      </c>
      <c r="D29" t="s">
        <v>19</v>
      </c>
      <c r="E29" t="s">
        <v>48</v>
      </c>
      <c r="F29" t="s">
        <v>39</v>
      </c>
      <c r="G29">
        <v>18</v>
      </c>
      <c r="H29">
        <f>Table1[[#This Row],[UnitPrice]]*0.7*Table1[[#This Row],[UnitsSold]]</f>
        <v>12818.089914893615</v>
      </c>
      <c r="I29">
        <v>1017.3087234042553</v>
      </c>
      <c r="J29">
        <v>0</v>
      </c>
      <c r="K29" t="s">
        <v>16</v>
      </c>
      <c r="L29" t="s">
        <v>27</v>
      </c>
      <c r="M29" s="3">
        <f t="shared" si="0"/>
        <v>18311.557021276596</v>
      </c>
      <c r="N29" t="str">
        <f t="shared" si="1"/>
        <v>January</v>
      </c>
      <c r="O29" t="str">
        <f t="shared" si="2"/>
        <v>2023</v>
      </c>
      <c r="P29" s="3">
        <f>Table1[[#This Row],[Revenue]]-Table1[[#This Row],[Cost]]</f>
        <v>5493.467106382981</v>
      </c>
      <c r="Q2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0" spans="1:17" x14ac:dyDescent="0.2">
      <c r="A30" t="s">
        <v>71</v>
      </c>
      <c r="B30" s="1">
        <v>45113</v>
      </c>
      <c r="C30" t="s">
        <v>12</v>
      </c>
      <c r="D30" t="s">
        <v>59</v>
      </c>
      <c r="E30" t="s">
        <v>247</v>
      </c>
      <c r="F30" t="s">
        <v>26</v>
      </c>
      <c r="G30">
        <v>0</v>
      </c>
      <c r="H30">
        <f>Table1[[#This Row],[UnitPrice]]*0.7*Table1[[#This Row],[UnitsSold]]</f>
        <v>0</v>
      </c>
      <c r="I30">
        <v>981.36020408163256</v>
      </c>
      <c r="J30">
        <v>0</v>
      </c>
      <c r="K30" t="s">
        <v>16</v>
      </c>
      <c r="L30" t="s">
        <v>249</v>
      </c>
      <c r="M30" s="3">
        <f t="shared" si="0"/>
        <v>0</v>
      </c>
      <c r="N30" t="str">
        <f t="shared" si="1"/>
        <v>July</v>
      </c>
      <c r="O30" t="str">
        <f t="shared" si="2"/>
        <v>2023</v>
      </c>
      <c r="P30" s="3">
        <f>Table1[[#This Row],[Revenue]]-Table1[[#This Row],[Cost]]</f>
        <v>0</v>
      </c>
      <c r="Q3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1" spans="1:17" x14ac:dyDescent="0.2">
      <c r="A31" t="s">
        <v>72</v>
      </c>
      <c r="B31" s="1">
        <v>45017</v>
      </c>
      <c r="C31" t="s">
        <v>57</v>
      </c>
      <c r="D31" t="s">
        <v>19</v>
      </c>
      <c r="E31" t="s">
        <v>247</v>
      </c>
      <c r="F31" t="s">
        <v>26</v>
      </c>
      <c r="G31">
        <v>0</v>
      </c>
      <c r="H31">
        <f>Table1[[#This Row],[UnitPrice]]*0.7*Table1[[#This Row],[UnitsSold]]</f>
        <v>0</v>
      </c>
      <c r="I31">
        <v>1729.49</v>
      </c>
      <c r="J31">
        <v>0</v>
      </c>
      <c r="K31" t="s">
        <v>16</v>
      </c>
      <c r="L31" t="s">
        <v>22</v>
      </c>
      <c r="M31" s="3">
        <f t="shared" si="0"/>
        <v>0</v>
      </c>
      <c r="N31" t="str">
        <f t="shared" si="1"/>
        <v>April</v>
      </c>
      <c r="O31" t="str">
        <f t="shared" si="2"/>
        <v>2023</v>
      </c>
      <c r="P31" s="3">
        <f>Table1[[#This Row],[Revenue]]-Table1[[#This Row],[Cost]]</f>
        <v>0</v>
      </c>
      <c r="Q3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2" spans="1:17" x14ac:dyDescent="0.2">
      <c r="A32" t="s">
        <v>73</v>
      </c>
      <c r="B32" s="1">
        <v>45167</v>
      </c>
      <c r="C32" t="s">
        <v>37</v>
      </c>
      <c r="D32" t="s">
        <v>19</v>
      </c>
      <c r="E32" t="s">
        <v>25</v>
      </c>
      <c r="F32" t="s">
        <v>26</v>
      </c>
      <c r="G32">
        <v>0</v>
      </c>
      <c r="H32">
        <f>Table1[[#This Row],[UnitPrice]]*0.7*Table1[[#This Row],[UnitsSold]]</f>
        <v>0</v>
      </c>
      <c r="I32">
        <v>1642.87</v>
      </c>
      <c r="J32">
        <v>0</v>
      </c>
      <c r="K32" t="s">
        <v>16</v>
      </c>
      <c r="L32" t="s">
        <v>22</v>
      </c>
      <c r="M32" s="3">
        <f t="shared" si="0"/>
        <v>0</v>
      </c>
      <c r="N32" t="str">
        <f t="shared" si="1"/>
        <v>August</v>
      </c>
      <c r="O32" t="str">
        <f t="shared" si="2"/>
        <v>2023</v>
      </c>
      <c r="P32" s="3">
        <f>Table1[[#This Row],[Revenue]]-Table1[[#This Row],[Cost]]</f>
        <v>0</v>
      </c>
      <c r="Q3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3" spans="1:17" x14ac:dyDescent="0.2">
      <c r="A33" t="s">
        <v>74</v>
      </c>
      <c r="B33" s="1">
        <v>45069</v>
      </c>
      <c r="C33" t="s">
        <v>12</v>
      </c>
      <c r="D33" t="s">
        <v>267</v>
      </c>
      <c r="E33" t="s">
        <v>14</v>
      </c>
      <c r="F33" t="s">
        <v>26</v>
      </c>
      <c r="G33">
        <v>0</v>
      </c>
      <c r="H33">
        <f>Table1[[#This Row],[UnitPrice]]*0.7*Table1[[#This Row],[UnitsSold]]</f>
        <v>0</v>
      </c>
      <c r="I33">
        <v>1002.870425531915</v>
      </c>
      <c r="J33">
        <v>0.1</v>
      </c>
      <c r="K33" t="s">
        <v>16</v>
      </c>
      <c r="L33" t="s">
        <v>55</v>
      </c>
      <c r="M33" s="3">
        <f t="shared" si="0"/>
        <v>0</v>
      </c>
      <c r="N33" t="str">
        <f t="shared" si="1"/>
        <v>May</v>
      </c>
      <c r="O33" t="str">
        <f t="shared" si="2"/>
        <v>2023</v>
      </c>
      <c r="P33" s="3">
        <f>Table1[[#This Row],[Revenue]]-Table1[[#This Row],[Cost]]</f>
        <v>0</v>
      </c>
      <c r="Q3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4" spans="1:17" x14ac:dyDescent="0.2">
      <c r="A34" t="s">
        <v>75</v>
      </c>
      <c r="B34" s="1">
        <v>45224</v>
      </c>
      <c r="C34" t="s">
        <v>24</v>
      </c>
      <c r="D34" t="s">
        <v>19</v>
      </c>
      <c r="E34" t="s">
        <v>46</v>
      </c>
      <c r="F34" t="s">
        <v>26</v>
      </c>
      <c r="G34">
        <v>0</v>
      </c>
      <c r="H34">
        <f>Table1[[#This Row],[UnitPrice]]*0.7*Table1[[#This Row],[UnitsSold]]</f>
        <v>0</v>
      </c>
      <c r="I34">
        <v>1106.0261904761899</v>
      </c>
      <c r="J34">
        <v>0</v>
      </c>
      <c r="K34" t="s">
        <v>16</v>
      </c>
      <c r="L34" t="s">
        <v>22</v>
      </c>
      <c r="M34" s="3">
        <f t="shared" si="0"/>
        <v>0</v>
      </c>
      <c r="N34" t="str">
        <f t="shared" si="1"/>
        <v>October</v>
      </c>
      <c r="O34" t="str">
        <f t="shared" si="2"/>
        <v>2023</v>
      </c>
      <c r="P34" s="3">
        <f>Table1[[#This Row],[Revenue]]-Table1[[#This Row],[Cost]]</f>
        <v>0</v>
      </c>
      <c r="Q3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5" spans="1:17" x14ac:dyDescent="0.2">
      <c r="A35" t="s">
        <v>76</v>
      </c>
      <c r="B35" s="1">
        <v>45024</v>
      </c>
      <c r="C35" t="s">
        <v>24</v>
      </c>
      <c r="D35" t="s">
        <v>19</v>
      </c>
      <c r="E35" t="s">
        <v>48</v>
      </c>
      <c r="F35" t="s">
        <v>39</v>
      </c>
      <c r="G35">
        <v>0</v>
      </c>
      <c r="H35">
        <f>Table1[[#This Row],[UnitPrice]]*0.7*Table1[[#This Row],[UnitsSold]]</f>
        <v>0</v>
      </c>
      <c r="I35">
        <v>1017.3087234042553</v>
      </c>
      <c r="J35">
        <v>0</v>
      </c>
      <c r="K35" t="s">
        <v>283</v>
      </c>
      <c r="L35" t="s">
        <v>249</v>
      </c>
      <c r="M35" s="3">
        <f t="shared" si="0"/>
        <v>0</v>
      </c>
      <c r="N35" t="str">
        <f t="shared" si="1"/>
        <v>April</v>
      </c>
      <c r="O35" t="str">
        <f t="shared" si="2"/>
        <v>2023</v>
      </c>
      <c r="P35" s="3">
        <f>Table1[[#This Row],[Revenue]]-Table1[[#This Row],[Cost]]</f>
        <v>0</v>
      </c>
      <c r="Q3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6" spans="1:17" x14ac:dyDescent="0.2">
      <c r="A36" t="s">
        <v>77</v>
      </c>
      <c r="B36" s="1">
        <v>45147</v>
      </c>
      <c r="C36" t="s">
        <v>12</v>
      </c>
      <c r="D36" t="s">
        <v>13</v>
      </c>
      <c r="E36" t="s">
        <v>14</v>
      </c>
      <c r="F36" t="s">
        <v>26</v>
      </c>
      <c r="G36">
        <v>0</v>
      </c>
      <c r="H36">
        <f>Table1[[#This Row],[UnitPrice]]*0.7*Table1[[#This Row],[UnitsSold]]</f>
        <v>0</v>
      </c>
      <c r="I36">
        <v>1002.870425531915</v>
      </c>
      <c r="J36">
        <v>0</v>
      </c>
      <c r="K36" t="s">
        <v>52</v>
      </c>
      <c r="L36" t="s">
        <v>22</v>
      </c>
      <c r="M36" s="3">
        <f t="shared" si="0"/>
        <v>0</v>
      </c>
      <c r="N36" t="str">
        <f t="shared" si="1"/>
        <v>August</v>
      </c>
      <c r="O36" t="str">
        <f t="shared" si="2"/>
        <v>2023</v>
      </c>
      <c r="P36" s="3">
        <f>Table1[[#This Row],[Revenue]]-Table1[[#This Row],[Cost]]</f>
        <v>0</v>
      </c>
      <c r="Q3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7" spans="1:17" x14ac:dyDescent="0.2">
      <c r="A37" t="s">
        <v>78</v>
      </c>
      <c r="B37" s="1">
        <v>45133</v>
      </c>
      <c r="C37" t="s">
        <v>24</v>
      </c>
      <c r="D37" t="s">
        <v>31</v>
      </c>
      <c r="E37" t="s">
        <v>247</v>
      </c>
      <c r="F37" t="s">
        <v>26</v>
      </c>
      <c r="G37">
        <v>0</v>
      </c>
      <c r="H37">
        <f>Table1[[#This Row],[UnitPrice]]*0.7*Table1[[#This Row],[UnitsSold]]</f>
        <v>0</v>
      </c>
      <c r="I37">
        <v>981.36020408163256</v>
      </c>
      <c r="J37">
        <v>0.22</v>
      </c>
      <c r="K37" t="s">
        <v>248</v>
      </c>
      <c r="L37" t="s">
        <v>17</v>
      </c>
      <c r="M37" s="3">
        <f t="shared" si="0"/>
        <v>0</v>
      </c>
      <c r="N37" t="str">
        <f t="shared" si="1"/>
        <v>July</v>
      </c>
      <c r="O37" t="str">
        <f t="shared" si="2"/>
        <v>2023</v>
      </c>
      <c r="P37" s="3">
        <f>Table1[[#This Row],[Revenue]]-Table1[[#This Row],[Cost]]</f>
        <v>0</v>
      </c>
      <c r="Q3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8" spans="1:17" x14ac:dyDescent="0.2">
      <c r="A38" t="s">
        <v>79</v>
      </c>
      <c r="B38" s="1">
        <v>45134</v>
      </c>
      <c r="C38" t="s">
        <v>12</v>
      </c>
      <c r="D38" t="s">
        <v>59</v>
      </c>
      <c r="E38" t="s">
        <v>14</v>
      </c>
      <c r="F38" t="s">
        <v>26</v>
      </c>
      <c r="G38">
        <v>0</v>
      </c>
      <c r="H38">
        <f>Table1[[#This Row],[UnitPrice]]*0.7*Table1[[#This Row],[UnitsSold]]</f>
        <v>0</v>
      </c>
      <c r="I38">
        <v>1002.870425531915</v>
      </c>
      <c r="J38">
        <v>0</v>
      </c>
      <c r="K38" t="s">
        <v>283</v>
      </c>
      <c r="L38" t="s">
        <v>249</v>
      </c>
      <c r="M38" s="3">
        <f t="shared" si="0"/>
        <v>0</v>
      </c>
      <c r="N38" t="str">
        <f t="shared" si="1"/>
        <v>July</v>
      </c>
      <c r="O38" t="str">
        <f t="shared" si="2"/>
        <v>2023</v>
      </c>
      <c r="P38" s="3">
        <f>Table1[[#This Row],[Revenue]]-Table1[[#This Row],[Cost]]</f>
        <v>0</v>
      </c>
      <c r="Q3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9" spans="1:17" x14ac:dyDescent="0.2">
      <c r="A39" t="s">
        <v>80</v>
      </c>
      <c r="B39" s="1">
        <v>45169</v>
      </c>
      <c r="C39" t="s">
        <v>246</v>
      </c>
      <c r="D39" t="s">
        <v>13</v>
      </c>
      <c r="E39" t="s">
        <v>46</v>
      </c>
      <c r="F39" t="s">
        <v>26</v>
      </c>
      <c r="G39">
        <v>0</v>
      </c>
      <c r="H39">
        <f>Table1[[#This Row],[UnitPrice]]*0.7*Table1[[#This Row],[UnitsSold]]</f>
        <v>0</v>
      </c>
      <c r="I39">
        <v>1106.0261904761899</v>
      </c>
      <c r="J39">
        <v>0.03</v>
      </c>
      <c r="K39" t="s">
        <v>283</v>
      </c>
      <c r="L39" t="s">
        <v>55</v>
      </c>
      <c r="M39" s="3">
        <f t="shared" si="0"/>
        <v>0</v>
      </c>
      <c r="N39" t="str">
        <f t="shared" si="1"/>
        <v>August</v>
      </c>
      <c r="O39" t="str">
        <f t="shared" si="2"/>
        <v>2023</v>
      </c>
      <c r="P39" s="3">
        <f>Table1[[#This Row],[Revenue]]-Table1[[#This Row],[Cost]]</f>
        <v>0</v>
      </c>
      <c r="Q3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0" spans="1:17" x14ac:dyDescent="0.2">
      <c r="A40" t="s">
        <v>81</v>
      </c>
      <c r="B40" s="1">
        <v>45028</v>
      </c>
      <c r="C40" t="s">
        <v>246</v>
      </c>
      <c r="D40" t="s">
        <v>19</v>
      </c>
      <c r="E40" t="s">
        <v>46</v>
      </c>
      <c r="F40" t="s">
        <v>26</v>
      </c>
      <c r="G40">
        <v>0</v>
      </c>
      <c r="H40">
        <f>Table1[[#This Row],[UnitPrice]]*0.7*Table1[[#This Row],[UnitsSold]]</f>
        <v>0</v>
      </c>
      <c r="I40">
        <v>1700.98</v>
      </c>
      <c r="J40">
        <v>0</v>
      </c>
      <c r="K40" t="s">
        <v>248</v>
      </c>
      <c r="L40" t="s">
        <v>249</v>
      </c>
      <c r="M40" s="3">
        <f t="shared" si="0"/>
        <v>0</v>
      </c>
      <c r="N40" t="str">
        <f t="shared" si="1"/>
        <v>April</v>
      </c>
      <c r="O40" t="str">
        <f t="shared" si="2"/>
        <v>2023</v>
      </c>
      <c r="P40" s="3">
        <f>Table1[[#This Row],[Revenue]]-Table1[[#This Row],[Cost]]</f>
        <v>0</v>
      </c>
      <c r="Q4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1" spans="1:17" x14ac:dyDescent="0.2">
      <c r="A41" t="s">
        <v>82</v>
      </c>
      <c r="B41" s="1">
        <v>45283</v>
      </c>
      <c r="C41" t="s">
        <v>57</v>
      </c>
      <c r="D41" t="s">
        <v>83</v>
      </c>
      <c r="E41" t="s">
        <v>38</v>
      </c>
      <c r="F41" t="s">
        <v>34</v>
      </c>
      <c r="G41">
        <v>0</v>
      </c>
      <c r="H41">
        <f>Table1[[#This Row],[UnitPrice]]*0.7*Table1[[#This Row],[UnitsSold]]</f>
        <v>0</v>
      </c>
      <c r="I41">
        <v>1378.37</v>
      </c>
      <c r="J41">
        <v>0.23</v>
      </c>
      <c r="K41" t="s">
        <v>16</v>
      </c>
      <c r="L41" t="s">
        <v>17</v>
      </c>
      <c r="M41" s="3">
        <f t="shared" si="0"/>
        <v>0</v>
      </c>
      <c r="N41" t="str">
        <f t="shared" si="1"/>
        <v>December</v>
      </c>
      <c r="O41" t="str">
        <f t="shared" si="2"/>
        <v>2023</v>
      </c>
      <c r="P41" s="3">
        <f>Table1[[#This Row],[Revenue]]-Table1[[#This Row],[Cost]]</f>
        <v>0</v>
      </c>
      <c r="Q4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2" spans="1:17" x14ac:dyDescent="0.2">
      <c r="A42" t="s">
        <v>84</v>
      </c>
      <c r="B42" s="1">
        <v>44952</v>
      </c>
      <c r="C42" t="s">
        <v>37</v>
      </c>
      <c r="D42" t="s">
        <v>267</v>
      </c>
      <c r="E42" t="s">
        <v>46</v>
      </c>
      <c r="F42" t="s">
        <v>26</v>
      </c>
      <c r="G42">
        <v>0</v>
      </c>
      <c r="H42">
        <f>Table1[[#This Row],[UnitPrice]]*0.7*Table1[[#This Row],[UnitsSold]]</f>
        <v>0</v>
      </c>
      <c r="I42">
        <v>1106.0261904761899</v>
      </c>
      <c r="J42">
        <v>0</v>
      </c>
      <c r="K42" t="s">
        <v>248</v>
      </c>
      <c r="L42" t="s">
        <v>17</v>
      </c>
      <c r="M42" s="3">
        <f t="shared" si="0"/>
        <v>0</v>
      </c>
      <c r="N42" t="str">
        <f t="shared" si="1"/>
        <v>January</v>
      </c>
      <c r="O42" t="str">
        <f t="shared" si="2"/>
        <v>2023</v>
      </c>
      <c r="P42" s="3">
        <f>Table1[[#This Row],[Revenue]]-Table1[[#This Row],[Cost]]</f>
        <v>0</v>
      </c>
      <c r="Q4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3" spans="1:17" x14ac:dyDescent="0.2">
      <c r="A43" t="s">
        <v>85</v>
      </c>
      <c r="B43" s="1">
        <v>45207</v>
      </c>
      <c r="C43" t="s">
        <v>57</v>
      </c>
      <c r="D43" t="s">
        <v>19</v>
      </c>
      <c r="E43" t="s">
        <v>48</v>
      </c>
      <c r="F43" t="s">
        <v>39</v>
      </c>
      <c r="G43">
        <v>0</v>
      </c>
      <c r="H43">
        <f>Table1[[#This Row],[UnitPrice]]*0.7*Table1[[#This Row],[UnitsSold]]</f>
        <v>0</v>
      </c>
      <c r="I43">
        <v>1017.3087234042553</v>
      </c>
      <c r="J43">
        <v>0</v>
      </c>
      <c r="K43" t="s">
        <v>42</v>
      </c>
      <c r="L43" t="s">
        <v>249</v>
      </c>
      <c r="M43" s="3">
        <f t="shared" si="0"/>
        <v>0</v>
      </c>
      <c r="N43" t="str">
        <f t="shared" si="1"/>
        <v>October</v>
      </c>
      <c r="O43" t="str">
        <f t="shared" si="2"/>
        <v>2023</v>
      </c>
      <c r="P43" s="3">
        <f>Table1[[#This Row],[Revenue]]-Table1[[#This Row],[Cost]]</f>
        <v>0</v>
      </c>
      <c r="Q4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4" spans="1:17" x14ac:dyDescent="0.2">
      <c r="A44" t="s">
        <v>86</v>
      </c>
      <c r="B44" s="1">
        <v>45152</v>
      </c>
      <c r="C44" t="s">
        <v>12</v>
      </c>
      <c r="D44" t="s">
        <v>13</v>
      </c>
      <c r="E44" t="s">
        <v>14</v>
      </c>
      <c r="F44" t="s">
        <v>26</v>
      </c>
      <c r="G44">
        <v>0</v>
      </c>
      <c r="H44">
        <f>Table1[[#This Row],[UnitPrice]]*0.7*Table1[[#This Row],[UnitsSold]]</f>
        <v>0</v>
      </c>
      <c r="I44">
        <v>1002.870425531915</v>
      </c>
      <c r="J44">
        <v>0.02</v>
      </c>
      <c r="K44" t="s">
        <v>16</v>
      </c>
      <c r="L44" t="s">
        <v>22</v>
      </c>
      <c r="M44" s="3">
        <f t="shared" si="0"/>
        <v>0</v>
      </c>
      <c r="N44" t="str">
        <f t="shared" si="1"/>
        <v>August</v>
      </c>
      <c r="O44" t="str">
        <f t="shared" si="2"/>
        <v>2023</v>
      </c>
      <c r="P44" s="3">
        <f>Table1[[#This Row],[Revenue]]-Table1[[#This Row],[Cost]]</f>
        <v>0</v>
      </c>
      <c r="Q4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5" spans="1:17" x14ac:dyDescent="0.2">
      <c r="A45" t="s">
        <v>87</v>
      </c>
      <c r="B45" s="1">
        <v>45005</v>
      </c>
      <c r="C45" t="s">
        <v>37</v>
      </c>
      <c r="D45" t="s">
        <v>19</v>
      </c>
      <c r="E45" t="s">
        <v>38</v>
      </c>
      <c r="F45" t="s">
        <v>34</v>
      </c>
      <c r="G45">
        <v>0</v>
      </c>
      <c r="H45">
        <f>Table1[[#This Row],[UnitPrice]]*0.7*Table1[[#This Row],[UnitsSold]]</f>
        <v>0</v>
      </c>
      <c r="I45">
        <v>937.19</v>
      </c>
      <c r="J45">
        <v>0</v>
      </c>
      <c r="K45" t="s">
        <v>42</v>
      </c>
      <c r="L45" t="s">
        <v>17</v>
      </c>
      <c r="M45" s="3">
        <f t="shared" si="0"/>
        <v>0</v>
      </c>
      <c r="N45" t="str">
        <f t="shared" si="1"/>
        <v>March</v>
      </c>
      <c r="O45" t="str">
        <f t="shared" si="2"/>
        <v>2023</v>
      </c>
      <c r="P45" s="3">
        <f>Table1[[#This Row],[Revenue]]-Table1[[#This Row],[Cost]]</f>
        <v>0</v>
      </c>
      <c r="Q4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6" spans="1:17" x14ac:dyDescent="0.2">
      <c r="A46" t="s">
        <v>65</v>
      </c>
      <c r="B46" s="1">
        <v>44937</v>
      </c>
      <c r="C46" t="s">
        <v>57</v>
      </c>
      <c r="D46" t="s">
        <v>83</v>
      </c>
      <c r="E46" t="s">
        <v>46</v>
      </c>
      <c r="F46" t="s">
        <v>26</v>
      </c>
      <c r="G46">
        <v>0</v>
      </c>
      <c r="H46">
        <f>Table1[[#This Row],[UnitPrice]]*0.7*Table1[[#This Row],[UnitsSold]]</f>
        <v>0</v>
      </c>
      <c r="I46">
        <v>1106.0261904761899</v>
      </c>
      <c r="J46">
        <v>0</v>
      </c>
      <c r="K46" t="s">
        <v>248</v>
      </c>
      <c r="L46" t="s">
        <v>17</v>
      </c>
      <c r="M46" s="3">
        <f t="shared" si="0"/>
        <v>0</v>
      </c>
      <c r="N46" t="str">
        <f t="shared" si="1"/>
        <v>January</v>
      </c>
      <c r="O46" t="str">
        <f t="shared" si="2"/>
        <v>2023</v>
      </c>
      <c r="P46" s="3">
        <f>Table1[[#This Row],[Revenue]]-Table1[[#This Row],[Cost]]</f>
        <v>0</v>
      </c>
      <c r="Q4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7" spans="1:17" x14ac:dyDescent="0.2">
      <c r="A47" t="s">
        <v>23</v>
      </c>
      <c r="B47" s="1">
        <v>45176</v>
      </c>
      <c r="C47" t="s">
        <v>37</v>
      </c>
      <c r="D47" t="s">
        <v>59</v>
      </c>
      <c r="E47" t="s">
        <v>38</v>
      </c>
      <c r="F47" t="s">
        <v>34</v>
      </c>
      <c r="G47">
        <v>0</v>
      </c>
      <c r="H47">
        <f>Table1[[#This Row],[UnitPrice]]*0.7*Table1[[#This Row],[UnitsSold]]</f>
        <v>0</v>
      </c>
      <c r="I47">
        <v>936.79681818181825</v>
      </c>
      <c r="J47">
        <v>0</v>
      </c>
      <c r="K47" t="s">
        <v>16</v>
      </c>
      <c r="L47" t="s">
        <v>22</v>
      </c>
      <c r="M47" s="3">
        <f t="shared" si="0"/>
        <v>0</v>
      </c>
      <c r="N47" t="str">
        <f t="shared" si="1"/>
        <v>September</v>
      </c>
      <c r="O47" t="str">
        <f t="shared" si="2"/>
        <v>2023</v>
      </c>
      <c r="P47" s="3">
        <f>Table1[[#This Row],[Revenue]]-Table1[[#This Row],[Cost]]</f>
        <v>0</v>
      </c>
      <c r="Q4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8" spans="1:17" x14ac:dyDescent="0.2">
      <c r="A48" t="s">
        <v>88</v>
      </c>
      <c r="B48" s="1">
        <v>45245</v>
      </c>
      <c r="C48" t="s">
        <v>12</v>
      </c>
      <c r="D48" t="s">
        <v>83</v>
      </c>
      <c r="E48" t="s">
        <v>44</v>
      </c>
      <c r="F48" t="s">
        <v>26</v>
      </c>
      <c r="G48">
        <v>1</v>
      </c>
      <c r="H48">
        <f>Table1[[#This Row],[UnitPrice]]*0.7*Table1[[#This Row],[UnitsSold]]</f>
        <v>902.34899999999993</v>
      </c>
      <c r="I48">
        <v>1289.07</v>
      </c>
      <c r="J48">
        <v>0.26</v>
      </c>
      <c r="K48" t="s">
        <v>16</v>
      </c>
      <c r="L48" t="s">
        <v>55</v>
      </c>
      <c r="M48" s="3">
        <f t="shared" si="0"/>
        <v>953.91179999999997</v>
      </c>
      <c r="N48" t="str">
        <f t="shared" si="1"/>
        <v>November</v>
      </c>
      <c r="O48" t="str">
        <f t="shared" si="2"/>
        <v>2023</v>
      </c>
      <c r="P48" s="3">
        <f>Table1[[#This Row],[Revenue]]-Table1[[#This Row],[Cost]]</f>
        <v>51.562800000000038</v>
      </c>
      <c r="Q48" s="6">
        <f>IF(Table1[[#This Row],[UnitsSold]]*Table1[[#This Row],[UnitPrice]]*(1-Table1[[#This Row],[Discount]])=0, 0, ((Table1[[#This Row],[UnitsSold]]*Table1[[#This Row],[UnitPrice]]*(1-Table1[[#This Row],[Discount]])) - (Table1[[#This Row],[UnitsSold]]*Table1[[#This Row],[UnitPrice]]*0.7)) / (Table1[[#This Row],[UnitsSold]]*Table1[[#This Row],[UnitPrice]]*(1-Table1[[#This Row],[Discount]])))</f>
        <v>5.4054054054054099E-2</v>
      </c>
    </row>
    <row r="49" spans="1:17" x14ac:dyDescent="0.2">
      <c r="A49" t="s">
        <v>28</v>
      </c>
      <c r="B49" s="1">
        <v>45094</v>
      </c>
      <c r="C49" t="s">
        <v>37</v>
      </c>
      <c r="D49" t="s">
        <v>83</v>
      </c>
      <c r="E49" t="s">
        <v>14</v>
      </c>
      <c r="F49" t="s">
        <v>26</v>
      </c>
      <c r="G49">
        <v>0</v>
      </c>
      <c r="H49">
        <f>Table1[[#This Row],[UnitPrice]]*0.7*Table1[[#This Row],[UnitsSold]]</f>
        <v>0</v>
      </c>
      <c r="I49">
        <v>1002.870425531915</v>
      </c>
      <c r="J49">
        <v>0.08</v>
      </c>
      <c r="K49" t="s">
        <v>42</v>
      </c>
      <c r="L49" t="s">
        <v>27</v>
      </c>
      <c r="M49" s="3">
        <f t="shared" si="0"/>
        <v>0</v>
      </c>
      <c r="N49" t="str">
        <f t="shared" si="1"/>
        <v>June</v>
      </c>
      <c r="O49" t="str">
        <f t="shared" si="2"/>
        <v>2023</v>
      </c>
      <c r="P49" s="3">
        <f>Table1[[#This Row],[Revenue]]-Table1[[#This Row],[Cost]]</f>
        <v>0</v>
      </c>
      <c r="Q4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0" spans="1:17" x14ac:dyDescent="0.2">
      <c r="A50" t="s">
        <v>89</v>
      </c>
      <c r="B50" s="1">
        <v>45203</v>
      </c>
      <c r="C50" t="s">
        <v>12</v>
      </c>
      <c r="D50" t="s">
        <v>59</v>
      </c>
      <c r="E50" t="s">
        <v>247</v>
      </c>
      <c r="F50" t="s">
        <v>26</v>
      </c>
      <c r="G50">
        <v>2</v>
      </c>
      <c r="H50">
        <f>Table1[[#This Row],[UnitPrice]]*0.7*Table1[[#This Row],[UnitsSold]]</f>
        <v>2659.6219999999998</v>
      </c>
      <c r="I50">
        <v>1899.73</v>
      </c>
      <c r="J50">
        <v>0</v>
      </c>
      <c r="K50" t="s">
        <v>16</v>
      </c>
      <c r="L50" t="s">
        <v>249</v>
      </c>
      <c r="M50" s="3">
        <f t="shared" si="0"/>
        <v>3799.46</v>
      </c>
      <c r="N50" t="str">
        <f t="shared" si="1"/>
        <v>October</v>
      </c>
      <c r="O50" t="str">
        <f t="shared" si="2"/>
        <v>2023</v>
      </c>
      <c r="P50" s="3">
        <f>Table1[[#This Row],[Revenue]]-Table1[[#This Row],[Cost]]</f>
        <v>1139.8380000000002</v>
      </c>
      <c r="Q5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51" spans="1:17" x14ac:dyDescent="0.2">
      <c r="A51" t="s">
        <v>88</v>
      </c>
      <c r="B51" s="1">
        <v>45169</v>
      </c>
      <c r="C51" t="s">
        <v>12</v>
      </c>
      <c r="D51" t="s">
        <v>31</v>
      </c>
      <c r="E51" t="s">
        <v>247</v>
      </c>
      <c r="F51" t="s">
        <v>26</v>
      </c>
      <c r="G51">
        <v>0</v>
      </c>
      <c r="H51">
        <f>Table1[[#This Row],[UnitPrice]]*0.7*Table1[[#This Row],[UnitsSold]]</f>
        <v>0</v>
      </c>
      <c r="I51">
        <v>981.36020408163256</v>
      </c>
      <c r="J51">
        <v>0</v>
      </c>
      <c r="K51" t="s">
        <v>16</v>
      </c>
      <c r="L51" t="s">
        <v>249</v>
      </c>
      <c r="M51" s="3">
        <f t="shared" si="0"/>
        <v>0</v>
      </c>
      <c r="N51" t="str">
        <f t="shared" si="1"/>
        <v>August</v>
      </c>
      <c r="O51" t="str">
        <f t="shared" si="2"/>
        <v>2023</v>
      </c>
      <c r="P51" s="3">
        <f>Table1[[#This Row],[Revenue]]-Table1[[#This Row],[Cost]]</f>
        <v>0</v>
      </c>
      <c r="Q5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2" spans="1:17" x14ac:dyDescent="0.2">
      <c r="A52" t="s">
        <v>90</v>
      </c>
      <c r="B52" s="1">
        <v>44982</v>
      </c>
      <c r="C52" t="s">
        <v>12</v>
      </c>
      <c r="D52" t="s">
        <v>59</v>
      </c>
      <c r="E52" t="s">
        <v>44</v>
      </c>
      <c r="F52" t="s">
        <v>26</v>
      </c>
      <c r="G52">
        <v>0</v>
      </c>
      <c r="H52">
        <f>Table1[[#This Row],[UnitPrice]]*0.7*Table1[[#This Row],[UnitsSold]]</f>
        <v>0</v>
      </c>
      <c r="I52">
        <v>1079.5765957446808</v>
      </c>
      <c r="J52">
        <v>0</v>
      </c>
      <c r="K52" t="s">
        <v>16</v>
      </c>
      <c r="L52" t="s">
        <v>27</v>
      </c>
      <c r="M52" s="3">
        <f t="shared" si="0"/>
        <v>0</v>
      </c>
      <c r="N52" t="str">
        <f t="shared" si="1"/>
        <v>February</v>
      </c>
      <c r="O52" t="str">
        <f t="shared" si="2"/>
        <v>2023</v>
      </c>
      <c r="P52" s="3">
        <f>Table1[[#This Row],[Revenue]]-Table1[[#This Row],[Cost]]</f>
        <v>0</v>
      </c>
      <c r="Q5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3" spans="1:17" x14ac:dyDescent="0.2">
      <c r="A53" t="s">
        <v>65</v>
      </c>
      <c r="B53" s="1">
        <v>45322</v>
      </c>
      <c r="C53" t="s">
        <v>24</v>
      </c>
      <c r="D53" t="s">
        <v>267</v>
      </c>
      <c r="E53" t="s">
        <v>48</v>
      </c>
      <c r="F53" t="s">
        <v>39</v>
      </c>
      <c r="G53">
        <v>0</v>
      </c>
      <c r="H53">
        <f>Table1[[#This Row],[UnitPrice]]*0.7*Table1[[#This Row],[UnitsSold]]</f>
        <v>0</v>
      </c>
      <c r="I53">
        <v>1017.3087234042553</v>
      </c>
      <c r="J53">
        <v>0</v>
      </c>
      <c r="K53" t="s">
        <v>52</v>
      </c>
      <c r="L53" t="s">
        <v>27</v>
      </c>
      <c r="M53" s="3">
        <f t="shared" si="0"/>
        <v>0</v>
      </c>
      <c r="N53" t="str">
        <f t="shared" si="1"/>
        <v>January</v>
      </c>
      <c r="O53" t="str">
        <f t="shared" si="2"/>
        <v>2024</v>
      </c>
      <c r="P53" s="3">
        <f>Table1[[#This Row],[Revenue]]-Table1[[#This Row],[Cost]]</f>
        <v>0</v>
      </c>
      <c r="Q5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4" spans="1:17" x14ac:dyDescent="0.2">
      <c r="A54" t="s">
        <v>91</v>
      </c>
      <c r="B54" s="1">
        <v>45258</v>
      </c>
      <c r="C54" t="s">
        <v>29</v>
      </c>
      <c r="D54" t="s">
        <v>19</v>
      </c>
      <c r="E54" t="s">
        <v>25</v>
      </c>
      <c r="F54" t="s">
        <v>26</v>
      </c>
      <c r="G54">
        <v>16</v>
      </c>
      <c r="H54">
        <f>Table1[[#This Row],[UnitPrice]]*0.7*Table1[[#This Row],[UnitsSold]]</f>
        <v>10763.834033898303</v>
      </c>
      <c r="I54">
        <v>961.05661016949136</v>
      </c>
      <c r="J54">
        <v>0</v>
      </c>
      <c r="K54" t="s">
        <v>283</v>
      </c>
      <c r="L54" t="s">
        <v>249</v>
      </c>
      <c r="M54" s="3">
        <f t="shared" si="0"/>
        <v>15376.905762711862</v>
      </c>
      <c r="N54" t="str">
        <f t="shared" si="1"/>
        <v>November</v>
      </c>
      <c r="O54" t="str">
        <f t="shared" si="2"/>
        <v>2023</v>
      </c>
      <c r="P54" s="3">
        <f>Table1[[#This Row],[Revenue]]-Table1[[#This Row],[Cost]]</f>
        <v>4613.0717288135584</v>
      </c>
      <c r="Q54"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55" spans="1:17" x14ac:dyDescent="0.2">
      <c r="A55" t="s">
        <v>92</v>
      </c>
      <c r="B55" s="1">
        <v>45017</v>
      </c>
      <c r="C55" t="s">
        <v>24</v>
      </c>
      <c r="D55" t="s">
        <v>31</v>
      </c>
      <c r="E55" t="s">
        <v>25</v>
      </c>
      <c r="F55" t="s">
        <v>26</v>
      </c>
      <c r="G55">
        <v>0</v>
      </c>
      <c r="H55">
        <f>Table1[[#This Row],[UnitPrice]]*0.7*Table1[[#This Row],[UnitsSold]]</f>
        <v>0</v>
      </c>
      <c r="I55">
        <v>961.05661016949136</v>
      </c>
      <c r="J55">
        <v>0</v>
      </c>
      <c r="K55" t="s">
        <v>16</v>
      </c>
      <c r="L55" t="s">
        <v>27</v>
      </c>
      <c r="M55" s="3">
        <f t="shared" si="0"/>
        <v>0</v>
      </c>
      <c r="N55" t="str">
        <f t="shared" si="1"/>
        <v>April</v>
      </c>
      <c r="O55" t="str">
        <f t="shared" si="2"/>
        <v>2023</v>
      </c>
      <c r="P55" s="3">
        <f>Table1[[#This Row],[Revenue]]-Table1[[#This Row],[Cost]]</f>
        <v>0</v>
      </c>
      <c r="Q5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6" spans="1:17" x14ac:dyDescent="0.2">
      <c r="A56" t="s">
        <v>32</v>
      </c>
      <c r="B56" s="1">
        <v>45157</v>
      </c>
      <c r="C56" t="s">
        <v>37</v>
      </c>
      <c r="D56" t="s">
        <v>267</v>
      </c>
      <c r="E56" t="s">
        <v>38</v>
      </c>
      <c r="F56" t="s">
        <v>34</v>
      </c>
      <c r="G56">
        <v>0</v>
      </c>
      <c r="H56">
        <f>Table1[[#This Row],[UnitPrice]]*0.7*Table1[[#This Row],[UnitsSold]]</f>
        <v>0</v>
      </c>
      <c r="I56">
        <v>764.19</v>
      </c>
      <c r="J56">
        <v>0</v>
      </c>
      <c r="K56" t="s">
        <v>16</v>
      </c>
      <c r="L56" t="s">
        <v>22</v>
      </c>
      <c r="M56" s="3">
        <f t="shared" si="0"/>
        <v>0</v>
      </c>
      <c r="N56" t="str">
        <f t="shared" si="1"/>
        <v>August</v>
      </c>
      <c r="O56" t="str">
        <f t="shared" si="2"/>
        <v>2023</v>
      </c>
      <c r="P56" s="3">
        <f>Table1[[#This Row],[Revenue]]-Table1[[#This Row],[Cost]]</f>
        <v>0</v>
      </c>
      <c r="Q5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7" spans="1:17" x14ac:dyDescent="0.2">
      <c r="A57" t="s">
        <v>93</v>
      </c>
      <c r="B57" s="1">
        <v>45108</v>
      </c>
      <c r="C57" t="s">
        <v>24</v>
      </c>
      <c r="D57" t="s">
        <v>59</v>
      </c>
      <c r="E57" t="s">
        <v>14</v>
      </c>
      <c r="F57" t="s">
        <v>26</v>
      </c>
      <c r="G57">
        <v>0</v>
      </c>
      <c r="H57">
        <f>Table1[[#This Row],[UnitPrice]]*0.7*Table1[[#This Row],[UnitsSold]]</f>
        <v>0</v>
      </c>
      <c r="I57">
        <v>30.2</v>
      </c>
      <c r="J57">
        <v>0</v>
      </c>
      <c r="K57" t="s">
        <v>42</v>
      </c>
      <c r="L57" t="s">
        <v>22</v>
      </c>
      <c r="M57" s="3">
        <f t="shared" si="0"/>
        <v>0</v>
      </c>
      <c r="N57" t="str">
        <f t="shared" si="1"/>
        <v>July</v>
      </c>
      <c r="O57" t="str">
        <f t="shared" si="2"/>
        <v>2023</v>
      </c>
      <c r="P57" s="3">
        <f>Table1[[#This Row],[Revenue]]-Table1[[#This Row],[Cost]]</f>
        <v>0</v>
      </c>
      <c r="Q5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8" spans="1:17" x14ac:dyDescent="0.2">
      <c r="A58" t="s">
        <v>94</v>
      </c>
      <c r="B58" s="1">
        <v>45315</v>
      </c>
      <c r="C58" t="s">
        <v>37</v>
      </c>
      <c r="D58" t="s">
        <v>13</v>
      </c>
      <c r="E58" t="s">
        <v>38</v>
      </c>
      <c r="F58" t="s">
        <v>34</v>
      </c>
      <c r="G58">
        <v>15</v>
      </c>
      <c r="H58">
        <f>Table1[[#This Row],[UnitPrice]]*0.7*Table1[[#This Row],[UnitsSold]]</f>
        <v>2049.39</v>
      </c>
      <c r="I58">
        <v>195.18</v>
      </c>
      <c r="J58">
        <v>0.12</v>
      </c>
      <c r="K58" t="s">
        <v>52</v>
      </c>
      <c r="L58" t="s">
        <v>17</v>
      </c>
      <c r="M58" s="3">
        <f t="shared" si="0"/>
        <v>2576.3760000000002</v>
      </c>
      <c r="N58" t="str">
        <f t="shared" si="1"/>
        <v>January</v>
      </c>
      <c r="O58" t="str">
        <f t="shared" si="2"/>
        <v>2024</v>
      </c>
      <c r="P58" s="3">
        <f>Table1[[#This Row],[Revenue]]-Table1[[#This Row],[Cost]]</f>
        <v>526.98600000000033</v>
      </c>
      <c r="Q58" s="6">
        <f>IF(Table1[[#This Row],[UnitsSold]]*Table1[[#This Row],[UnitPrice]]*(1-Table1[[#This Row],[Discount]])=0, 0, ((Table1[[#This Row],[UnitsSold]]*Table1[[#This Row],[UnitPrice]]*(1-Table1[[#This Row],[Discount]])) - (Table1[[#This Row],[UnitsSold]]*Table1[[#This Row],[UnitPrice]]*0.7)) / (Table1[[#This Row],[UnitsSold]]*Table1[[#This Row],[UnitPrice]]*(1-Table1[[#This Row],[Discount]])))</f>
        <v>0.20454545454545467</v>
      </c>
    </row>
    <row r="59" spans="1:17" x14ac:dyDescent="0.2">
      <c r="A59" t="s">
        <v>95</v>
      </c>
      <c r="B59" s="1">
        <v>45169</v>
      </c>
      <c r="C59" t="s">
        <v>29</v>
      </c>
      <c r="D59" t="s">
        <v>83</v>
      </c>
      <c r="E59" t="s">
        <v>48</v>
      </c>
      <c r="F59" t="s">
        <v>39</v>
      </c>
      <c r="G59">
        <v>0</v>
      </c>
      <c r="H59">
        <f>Table1[[#This Row],[UnitPrice]]*0.7*Table1[[#This Row],[UnitsSold]]</f>
        <v>0</v>
      </c>
      <c r="I59">
        <v>1017.3087234042553</v>
      </c>
      <c r="J59">
        <v>0.09</v>
      </c>
      <c r="K59" t="s">
        <v>16</v>
      </c>
      <c r="L59" t="s">
        <v>249</v>
      </c>
      <c r="M59" s="3">
        <f t="shared" si="0"/>
        <v>0</v>
      </c>
      <c r="N59" t="str">
        <f t="shared" si="1"/>
        <v>August</v>
      </c>
      <c r="O59" t="str">
        <f t="shared" si="2"/>
        <v>2023</v>
      </c>
      <c r="P59" s="3">
        <f>Table1[[#This Row],[Revenue]]-Table1[[#This Row],[Cost]]</f>
        <v>0</v>
      </c>
      <c r="Q5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0" spans="1:17" x14ac:dyDescent="0.2">
      <c r="A60" t="s">
        <v>41</v>
      </c>
      <c r="B60" s="1">
        <v>44988</v>
      </c>
      <c r="C60" t="s">
        <v>246</v>
      </c>
      <c r="D60" t="s">
        <v>19</v>
      </c>
      <c r="E60" t="s">
        <v>247</v>
      </c>
      <c r="F60" t="s">
        <v>26</v>
      </c>
      <c r="G60">
        <v>0</v>
      </c>
      <c r="H60">
        <f>Table1[[#This Row],[UnitPrice]]*0.7*Table1[[#This Row],[UnitsSold]]</f>
        <v>0</v>
      </c>
      <c r="I60">
        <v>981.36020408163256</v>
      </c>
      <c r="J60">
        <v>0.18</v>
      </c>
      <c r="K60" t="s">
        <v>16</v>
      </c>
      <c r="L60" t="s">
        <v>55</v>
      </c>
      <c r="M60" s="3">
        <f t="shared" si="0"/>
        <v>0</v>
      </c>
      <c r="N60" t="str">
        <f t="shared" si="1"/>
        <v>March</v>
      </c>
      <c r="O60" t="str">
        <f t="shared" si="2"/>
        <v>2023</v>
      </c>
      <c r="P60" s="3">
        <f>Table1[[#This Row],[Revenue]]-Table1[[#This Row],[Cost]]</f>
        <v>0</v>
      </c>
      <c r="Q6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1" spans="1:17" x14ac:dyDescent="0.2">
      <c r="A61" t="s">
        <v>96</v>
      </c>
      <c r="B61" s="1">
        <v>45111</v>
      </c>
      <c r="C61" t="s">
        <v>246</v>
      </c>
      <c r="D61" t="s">
        <v>59</v>
      </c>
      <c r="E61" t="s">
        <v>46</v>
      </c>
      <c r="F61" t="s">
        <v>26</v>
      </c>
      <c r="G61">
        <v>0</v>
      </c>
      <c r="H61">
        <f>Table1[[#This Row],[UnitPrice]]*0.7*Table1[[#This Row],[UnitsSold]]</f>
        <v>0</v>
      </c>
      <c r="I61">
        <v>100.58</v>
      </c>
      <c r="J61">
        <v>0</v>
      </c>
      <c r="K61" t="s">
        <v>16</v>
      </c>
      <c r="L61" t="s">
        <v>22</v>
      </c>
      <c r="M61" s="3">
        <f t="shared" si="0"/>
        <v>0</v>
      </c>
      <c r="N61" t="str">
        <f t="shared" si="1"/>
        <v>July</v>
      </c>
      <c r="O61" t="str">
        <f t="shared" si="2"/>
        <v>2023</v>
      </c>
      <c r="P61" s="3">
        <f>Table1[[#This Row],[Revenue]]-Table1[[#This Row],[Cost]]</f>
        <v>0</v>
      </c>
      <c r="Q6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2" spans="1:17" x14ac:dyDescent="0.2">
      <c r="A62" t="s">
        <v>97</v>
      </c>
      <c r="B62" s="1">
        <v>44933</v>
      </c>
      <c r="C62" t="s">
        <v>24</v>
      </c>
      <c r="D62" t="s">
        <v>83</v>
      </c>
      <c r="E62" t="s">
        <v>38</v>
      </c>
      <c r="F62" t="s">
        <v>34</v>
      </c>
      <c r="G62">
        <v>11</v>
      </c>
      <c r="H62">
        <f>Table1[[#This Row],[UnitPrice]]*0.7*Table1[[#This Row],[UnitsSold]]</f>
        <v>7213.3355000000001</v>
      </c>
      <c r="I62">
        <v>936.79681818181825</v>
      </c>
      <c r="J62">
        <v>0</v>
      </c>
      <c r="K62" t="s">
        <v>16</v>
      </c>
      <c r="L62" t="s">
        <v>27</v>
      </c>
      <c r="M62" s="3">
        <f t="shared" si="0"/>
        <v>10304.765000000001</v>
      </c>
      <c r="N62" t="str">
        <f t="shared" si="1"/>
        <v>January</v>
      </c>
      <c r="O62" t="str">
        <f t="shared" si="2"/>
        <v>2023</v>
      </c>
      <c r="P62" s="3">
        <f>Table1[[#This Row],[Revenue]]-Table1[[#This Row],[Cost]]</f>
        <v>3091.4295000000011</v>
      </c>
      <c r="Q6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63" spans="1:17" x14ac:dyDescent="0.2">
      <c r="A63" t="s">
        <v>98</v>
      </c>
      <c r="B63" s="1">
        <v>45178</v>
      </c>
      <c r="C63" t="s">
        <v>12</v>
      </c>
      <c r="D63" t="s">
        <v>31</v>
      </c>
      <c r="E63" t="s">
        <v>48</v>
      </c>
      <c r="F63" t="s">
        <v>39</v>
      </c>
      <c r="G63">
        <v>5</v>
      </c>
      <c r="H63">
        <f>Table1[[#This Row],[UnitPrice]]*0.7*Table1[[#This Row],[UnitsSold]]</f>
        <v>3560.5805319148931</v>
      </c>
      <c r="I63">
        <v>1017.3087234042553</v>
      </c>
      <c r="J63">
        <v>0.03</v>
      </c>
      <c r="K63" t="s">
        <v>16</v>
      </c>
      <c r="L63" t="s">
        <v>17</v>
      </c>
      <c r="M63" s="3">
        <f t="shared" si="0"/>
        <v>4933.9473085106374</v>
      </c>
      <c r="N63" t="str">
        <f t="shared" si="1"/>
        <v>September</v>
      </c>
      <c r="O63" t="str">
        <f t="shared" si="2"/>
        <v>2023</v>
      </c>
      <c r="P63" s="3">
        <f>Table1[[#This Row],[Revenue]]-Table1[[#This Row],[Cost]]</f>
        <v>1373.3667765957443</v>
      </c>
      <c r="Q63" s="6">
        <f>IF(Table1[[#This Row],[UnitsSold]]*Table1[[#This Row],[UnitPrice]]*(1-Table1[[#This Row],[Discount]])=0, 0, ((Table1[[#This Row],[UnitsSold]]*Table1[[#This Row],[UnitPrice]]*(1-Table1[[#This Row],[Discount]])) - (Table1[[#This Row],[UnitsSold]]*Table1[[#This Row],[UnitPrice]]*0.7)) / (Table1[[#This Row],[UnitsSold]]*Table1[[#This Row],[UnitPrice]]*(1-Table1[[#This Row],[Discount]])))</f>
        <v>0.27835051546391748</v>
      </c>
    </row>
    <row r="64" spans="1:17" x14ac:dyDescent="0.2">
      <c r="A64" t="s">
        <v>99</v>
      </c>
      <c r="B64" s="1">
        <v>45140</v>
      </c>
      <c r="C64" t="s">
        <v>37</v>
      </c>
      <c r="D64" t="s">
        <v>267</v>
      </c>
      <c r="E64" t="s">
        <v>44</v>
      </c>
      <c r="F64" t="s">
        <v>26</v>
      </c>
      <c r="G64">
        <v>0</v>
      </c>
      <c r="H64">
        <f>Table1[[#This Row],[UnitPrice]]*0.7*Table1[[#This Row],[UnitsSold]]</f>
        <v>0</v>
      </c>
      <c r="I64">
        <v>1079.5765957446808</v>
      </c>
      <c r="J64">
        <v>0</v>
      </c>
      <c r="K64" t="s">
        <v>248</v>
      </c>
      <c r="L64" t="s">
        <v>17</v>
      </c>
      <c r="M64" s="3">
        <f t="shared" si="0"/>
        <v>0</v>
      </c>
      <c r="N64" t="str">
        <f t="shared" si="1"/>
        <v>August</v>
      </c>
      <c r="O64" t="str">
        <f t="shared" si="2"/>
        <v>2023</v>
      </c>
      <c r="P64" s="3">
        <f>Table1[[#This Row],[Revenue]]-Table1[[#This Row],[Cost]]</f>
        <v>0</v>
      </c>
      <c r="Q6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5" spans="1:17" x14ac:dyDescent="0.2">
      <c r="A65" t="s">
        <v>62</v>
      </c>
      <c r="B65" s="1">
        <v>45239</v>
      </c>
      <c r="C65" t="s">
        <v>12</v>
      </c>
      <c r="D65" t="s">
        <v>267</v>
      </c>
      <c r="E65" t="s">
        <v>247</v>
      </c>
      <c r="F65" t="s">
        <v>26</v>
      </c>
      <c r="G65">
        <v>0</v>
      </c>
      <c r="H65">
        <f>Table1[[#This Row],[UnitPrice]]*0.7*Table1[[#This Row],[UnitsSold]]</f>
        <v>0</v>
      </c>
      <c r="I65">
        <v>171.56</v>
      </c>
      <c r="J65">
        <v>0.05</v>
      </c>
      <c r="K65" t="s">
        <v>16</v>
      </c>
      <c r="L65" t="s">
        <v>27</v>
      </c>
      <c r="M65" s="3">
        <f t="shared" si="0"/>
        <v>0</v>
      </c>
      <c r="N65" t="str">
        <f t="shared" si="1"/>
        <v>November</v>
      </c>
      <c r="O65" t="str">
        <f t="shared" si="2"/>
        <v>2023</v>
      </c>
      <c r="P65" s="3">
        <f>Table1[[#This Row],[Revenue]]-Table1[[#This Row],[Cost]]</f>
        <v>0</v>
      </c>
      <c r="Q6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6" spans="1:17" x14ac:dyDescent="0.2">
      <c r="A66" t="s">
        <v>64</v>
      </c>
      <c r="B66" s="1">
        <v>45157</v>
      </c>
      <c r="C66" t="s">
        <v>57</v>
      </c>
      <c r="D66" t="s">
        <v>59</v>
      </c>
      <c r="E66" t="s">
        <v>46</v>
      </c>
      <c r="F66" t="s">
        <v>26</v>
      </c>
      <c r="G66">
        <v>0</v>
      </c>
      <c r="H66">
        <f>Table1[[#This Row],[UnitPrice]]*0.7*Table1[[#This Row],[UnitsSold]]</f>
        <v>0</v>
      </c>
      <c r="I66">
        <v>1106.0261904761899</v>
      </c>
      <c r="J66">
        <v>0.02</v>
      </c>
      <c r="K66" t="s">
        <v>52</v>
      </c>
      <c r="L66" t="s">
        <v>17</v>
      </c>
      <c r="M66" s="3">
        <f t="shared" ref="M66:M129" si="3">G66*I66*(1-J66)</f>
        <v>0</v>
      </c>
      <c r="N66" t="str">
        <f t="shared" ref="N66:N129" si="4">TEXT(B66, "mmmm")</f>
        <v>August</v>
      </c>
      <c r="O66" t="str">
        <f t="shared" ref="O66:O129" si="5">TEXT(B66, "yyyy")</f>
        <v>2023</v>
      </c>
      <c r="P66" s="3">
        <f>Table1[[#This Row],[Revenue]]-Table1[[#This Row],[Cost]]</f>
        <v>0</v>
      </c>
      <c r="Q6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7" spans="1:17" x14ac:dyDescent="0.2">
      <c r="A67" t="s">
        <v>100</v>
      </c>
      <c r="B67" s="1">
        <v>45028</v>
      </c>
      <c r="C67" t="s">
        <v>57</v>
      </c>
      <c r="D67" t="s">
        <v>19</v>
      </c>
      <c r="E67" t="s">
        <v>44</v>
      </c>
      <c r="F67" t="s">
        <v>26</v>
      </c>
      <c r="G67">
        <v>0</v>
      </c>
      <c r="H67">
        <f>Table1[[#This Row],[UnitPrice]]*0.7*Table1[[#This Row],[UnitsSold]]</f>
        <v>0</v>
      </c>
      <c r="I67">
        <v>1655</v>
      </c>
      <c r="J67">
        <v>0</v>
      </c>
      <c r="K67" t="s">
        <v>248</v>
      </c>
      <c r="L67" t="s">
        <v>17</v>
      </c>
      <c r="M67" s="3">
        <f t="shared" si="3"/>
        <v>0</v>
      </c>
      <c r="N67" t="str">
        <f t="shared" si="4"/>
        <v>April</v>
      </c>
      <c r="O67" t="str">
        <f t="shared" si="5"/>
        <v>2023</v>
      </c>
      <c r="P67" s="3">
        <f>Table1[[#This Row],[Revenue]]-Table1[[#This Row],[Cost]]</f>
        <v>0</v>
      </c>
      <c r="Q6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8" spans="1:17" x14ac:dyDescent="0.2">
      <c r="A68" t="s">
        <v>101</v>
      </c>
      <c r="B68" s="1">
        <v>45151</v>
      </c>
      <c r="C68" t="s">
        <v>12</v>
      </c>
      <c r="D68" t="s">
        <v>83</v>
      </c>
      <c r="E68" t="s">
        <v>48</v>
      </c>
      <c r="F68" t="s">
        <v>39</v>
      </c>
      <c r="G68">
        <v>0</v>
      </c>
      <c r="H68">
        <f>Table1[[#This Row],[UnitPrice]]*0.7*Table1[[#This Row],[UnitsSold]]</f>
        <v>0</v>
      </c>
      <c r="I68">
        <v>1017.3087234042553</v>
      </c>
      <c r="J68">
        <v>0</v>
      </c>
      <c r="K68" t="s">
        <v>16</v>
      </c>
      <c r="L68" t="s">
        <v>22</v>
      </c>
      <c r="M68" s="3">
        <f t="shared" si="3"/>
        <v>0</v>
      </c>
      <c r="N68" t="str">
        <f t="shared" si="4"/>
        <v>August</v>
      </c>
      <c r="O68" t="str">
        <f t="shared" si="5"/>
        <v>2023</v>
      </c>
      <c r="P68" s="3">
        <f>Table1[[#This Row],[Revenue]]-Table1[[#This Row],[Cost]]</f>
        <v>0</v>
      </c>
      <c r="Q6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9" spans="1:17" x14ac:dyDescent="0.2">
      <c r="A69" t="s">
        <v>102</v>
      </c>
      <c r="B69" s="1">
        <v>45092</v>
      </c>
      <c r="C69" t="s">
        <v>24</v>
      </c>
      <c r="D69" t="s">
        <v>19</v>
      </c>
      <c r="E69" t="s">
        <v>46</v>
      </c>
      <c r="F69" t="s">
        <v>26</v>
      </c>
      <c r="G69">
        <v>0</v>
      </c>
      <c r="H69">
        <f>Table1[[#This Row],[UnitPrice]]*0.7*Table1[[#This Row],[UnitsSold]]</f>
        <v>0</v>
      </c>
      <c r="I69">
        <v>1106.0261904761899</v>
      </c>
      <c r="J69">
        <v>0</v>
      </c>
      <c r="K69" t="s">
        <v>16</v>
      </c>
      <c r="L69" t="s">
        <v>249</v>
      </c>
      <c r="M69" s="3">
        <f t="shared" si="3"/>
        <v>0</v>
      </c>
      <c r="N69" t="str">
        <f t="shared" si="4"/>
        <v>June</v>
      </c>
      <c r="O69" t="str">
        <f t="shared" si="5"/>
        <v>2023</v>
      </c>
      <c r="P69" s="3">
        <f>Table1[[#This Row],[Revenue]]-Table1[[#This Row],[Cost]]</f>
        <v>0</v>
      </c>
      <c r="Q6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0" spans="1:17" x14ac:dyDescent="0.2">
      <c r="A70" t="s">
        <v>103</v>
      </c>
      <c r="B70" s="1">
        <v>45192</v>
      </c>
      <c r="C70" t="s">
        <v>57</v>
      </c>
      <c r="D70" t="s">
        <v>59</v>
      </c>
      <c r="E70" t="s">
        <v>247</v>
      </c>
      <c r="F70" t="s">
        <v>26</v>
      </c>
      <c r="G70">
        <v>0</v>
      </c>
      <c r="H70">
        <f>Table1[[#This Row],[UnitPrice]]*0.7*Table1[[#This Row],[UnitsSold]]</f>
        <v>0</v>
      </c>
      <c r="I70">
        <v>1630.35</v>
      </c>
      <c r="J70">
        <v>0</v>
      </c>
      <c r="K70" t="s">
        <v>52</v>
      </c>
      <c r="L70" t="s">
        <v>55</v>
      </c>
      <c r="M70" s="3">
        <f t="shared" si="3"/>
        <v>0</v>
      </c>
      <c r="N70" t="str">
        <f t="shared" si="4"/>
        <v>September</v>
      </c>
      <c r="O70" t="str">
        <f t="shared" si="5"/>
        <v>2023</v>
      </c>
      <c r="P70" s="3">
        <f>Table1[[#This Row],[Revenue]]-Table1[[#This Row],[Cost]]</f>
        <v>0</v>
      </c>
      <c r="Q7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1" spans="1:17" x14ac:dyDescent="0.2">
      <c r="A71" t="s">
        <v>104</v>
      </c>
      <c r="B71" s="1">
        <v>44980</v>
      </c>
      <c r="C71" t="s">
        <v>246</v>
      </c>
      <c r="D71" t="s">
        <v>59</v>
      </c>
      <c r="E71" t="s">
        <v>38</v>
      </c>
      <c r="F71" t="s">
        <v>34</v>
      </c>
      <c r="G71">
        <v>0</v>
      </c>
      <c r="H71">
        <f>Table1[[#This Row],[UnitPrice]]*0.7*Table1[[#This Row],[UnitsSold]]</f>
        <v>0</v>
      </c>
      <c r="I71">
        <v>936.79681818181825</v>
      </c>
      <c r="J71">
        <v>0.01</v>
      </c>
      <c r="K71" t="s">
        <v>52</v>
      </c>
      <c r="L71" t="s">
        <v>55</v>
      </c>
      <c r="M71" s="3">
        <f t="shared" si="3"/>
        <v>0</v>
      </c>
      <c r="N71" t="str">
        <f t="shared" si="4"/>
        <v>February</v>
      </c>
      <c r="O71" t="str">
        <f t="shared" si="5"/>
        <v>2023</v>
      </c>
      <c r="P71" s="3">
        <f>Table1[[#This Row],[Revenue]]-Table1[[#This Row],[Cost]]</f>
        <v>0</v>
      </c>
      <c r="Q7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2" spans="1:17" x14ac:dyDescent="0.2">
      <c r="A72" t="s">
        <v>105</v>
      </c>
      <c r="B72" s="1">
        <v>44986</v>
      </c>
      <c r="C72" t="s">
        <v>57</v>
      </c>
      <c r="D72" t="s">
        <v>267</v>
      </c>
      <c r="E72" t="s">
        <v>44</v>
      </c>
      <c r="F72" t="s">
        <v>26</v>
      </c>
      <c r="G72">
        <v>0</v>
      </c>
      <c r="H72">
        <f>Table1[[#This Row],[UnitPrice]]*0.7*Table1[[#This Row],[UnitsSold]]</f>
        <v>0</v>
      </c>
      <c r="I72">
        <v>832.36</v>
      </c>
      <c r="J72">
        <v>0</v>
      </c>
      <c r="K72" t="s">
        <v>42</v>
      </c>
      <c r="L72" t="s">
        <v>22</v>
      </c>
      <c r="M72" s="3">
        <f t="shared" si="3"/>
        <v>0</v>
      </c>
      <c r="N72" t="str">
        <f t="shared" si="4"/>
        <v>March</v>
      </c>
      <c r="O72" t="str">
        <f t="shared" si="5"/>
        <v>2023</v>
      </c>
      <c r="P72" s="3">
        <f>Table1[[#This Row],[Revenue]]-Table1[[#This Row],[Cost]]</f>
        <v>0</v>
      </c>
      <c r="Q7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3" spans="1:17" x14ac:dyDescent="0.2">
      <c r="A73" t="s">
        <v>106</v>
      </c>
      <c r="B73" s="1">
        <v>44953</v>
      </c>
      <c r="C73" t="s">
        <v>37</v>
      </c>
      <c r="D73" t="s">
        <v>59</v>
      </c>
      <c r="E73" t="s">
        <v>44</v>
      </c>
      <c r="F73" t="s">
        <v>26</v>
      </c>
      <c r="G73">
        <v>0</v>
      </c>
      <c r="H73">
        <f>Table1[[#This Row],[UnitPrice]]*0.7*Table1[[#This Row],[UnitsSold]]</f>
        <v>0</v>
      </c>
      <c r="I73">
        <v>1079.5765957446808</v>
      </c>
      <c r="J73">
        <v>0</v>
      </c>
      <c r="K73" t="s">
        <v>248</v>
      </c>
      <c r="L73" t="s">
        <v>249</v>
      </c>
      <c r="M73" s="3">
        <f t="shared" si="3"/>
        <v>0</v>
      </c>
      <c r="N73" t="str">
        <f t="shared" si="4"/>
        <v>January</v>
      </c>
      <c r="O73" t="str">
        <f t="shared" si="5"/>
        <v>2023</v>
      </c>
      <c r="P73" s="3">
        <f>Table1[[#This Row],[Revenue]]-Table1[[#This Row],[Cost]]</f>
        <v>0</v>
      </c>
      <c r="Q7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4" spans="1:17" x14ac:dyDescent="0.2">
      <c r="A74" t="s">
        <v>107</v>
      </c>
      <c r="B74" s="1">
        <v>45008</v>
      </c>
      <c r="C74" t="s">
        <v>24</v>
      </c>
      <c r="D74" t="s">
        <v>31</v>
      </c>
      <c r="E74" t="s">
        <v>46</v>
      </c>
      <c r="F74" t="s">
        <v>26</v>
      </c>
      <c r="G74">
        <v>14</v>
      </c>
      <c r="H74">
        <f>Table1[[#This Row],[UnitPrice]]*0.7*Table1[[#This Row],[UnitsSold]]</f>
        <v>4480.0699999999988</v>
      </c>
      <c r="I74">
        <v>457.15</v>
      </c>
      <c r="J74">
        <v>0.14000000000000001</v>
      </c>
      <c r="K74" t="s">
        <v>283</v>
      </c>
      <c r="L74" t="s">
        <v>249</v>
      </c>
      <c r="M74" s="3">
        <f t="shared" si="3"/>
        <v>5504.0859999999993</v>
      </c>
      <c r="N74" t="str">
        <f t="shared" si="4"/>
        <v>March</v>
      </c>
      <c r="O74" t="str">
        <f t="shared" si="5"/>
        <v>2023</v>
      </c>
      <c r="P74" s="3">
        <f>Table1[[#This Row],[Revenue]]-Table1[[#This Row],[Cost]]</f>
        <v>1024.0160000000005</v>
      </c>
      <c r="Q74" s="6">
        <f>IF(Table1[[#This Row],[UnitsSold]]*Table1[[#This Row],[UnitPrice]]*(1-Table1[[#This Row],[Discount]])=0, 0, ((Table1[[#This Row],[UnitsSold]]*Table1[[#This Row],[UnitPrice]]*(1-Table1[[#This Row],[Discount]])) - (Table1[[#This Row],[UnitsSold]]*Table1[[#This Row],[UnitPrice]]*0.7)) / (Table1[[#This Row],[UnitsSold]]*Table1[[#This Row],[UnitPrice]]*(1-Table1[[#This Row],[Discount]])))</f>
        <v>0.18604651162790692</v>
      </c>
    </row>
    <row r="75" spans="1:17" x14ac:dyDescent="0.2">
      <c r="A75" t="s">
        <v>108</v>
      </c>
      <c r="B75" s="1">
        <v>45293</v>
      </c>
      <c r="C75" t="s">
        <v>24</v>
      </c>
      <c r="D75" t="s">
        <v>31</v>
      </c>
      <c r="E75" t="s">
        <v>48</v>
      </c>
      <c r="F75" t="s">
        <v>39</v>
      </c>
      <c r="G75">
        <v>0</v>
      </c>
      <c r="H75">
        <f>Table1[[#This Row],[UnitPrice]]*0.7*Table1[[#This Row],[UnitsSold]]</f>
        <v>0</v>
      </c>
      <c r="I75">
        <v>1960.69</v>
      </c>
      <c r="J75">
        <v>0.14000000000000001</v>
      </c>
      <c r="K75" t="s">
        <v>42</v>
      </c>
      <c r="L75" t="s">
        <v>249</v>
      </c>
      <c r="M75" s="3">
        <f t="shared" si="3"/>
        <v>0</v>
      </c>
      <c r="N75" t="str">
        <f t="shared" si="4"/>
        <v>January</v>
      </c>
      <c r="O75" t="str">
        <f t="shared" si="5"/>
        <v>2024</v>
      </c>
      <c r="P75" s="3">
        <f>Table1[[#This Row],[Revenue]]-Table1[[#This Row],[Cost]]</f>
        <v>0</v>
      </c>
      <c r="Q7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6" spans="1:17" x14ac:dyDescent="0.2">
      <c r="A76" t="s">
        <v>109</v>
      </c>
      <c r="B76" s="1">
        <v>45187</v>
      </c>
      <c r="C76" t="s">
        <v>246</v>
      </c>
      <c r="D76" t="s">
        <v>267</v>
      </c>
      <c r="E76" t="s">
        <v>46</v>
      </c>
      <c r="F76" t="s">
        <v>26</v>
      </c>
      <c r="G76">
        <v>0</v>
      </c>
      <c r="H76">
        <f>Table1[[#This Row],[UnitPrice]]*0.7*Table1[[#This Row],[UnitsSold]]</f>
        <v>0</v>
      </c>
      <c r="I76">
        <v>1106.0261904761899</v>
      </c>
      <c r="J76">
        <v>0.08</v>
      </c>
      <c r="K76" t="s">
        <v>52</v>
      </c>
      <c r="L76" t="s">
        <v>55</v>
      </c>
      <c r="M76" s="3">
        <f t="shared" si="3"/>
        <v>0</v>
      </c>
      <c r="N76" t="str">
        <f t="shared" si="4"/>
        <v>September</v>
      </c>
      <c r="O76" t="str">
        <f t="shared" si="5"/>
        <v>2023</v>
      </c>
      <c r="P76" s="3">
        <f>Table1[[#This Row],[Revenue]]-Table1[[#This Row],[Cost]]</f>
        <v>0</v>
      </c>
      <c r="Q7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7" spans="1:17" x14ac:dyDescent="0.2">
      <c r="A77" t="s">
        <v>110</v>
      </c>
      <c r="B77" s="1">
        <v>45223</v>
      </c>
      <c r="C77" t="s">
        <v>57</v>
      </c>
      <c r="D77" t="s">
        <v>267</v>
      </c>
      <c r="E77" t="s">
        <v>247</v>
      </c>
      <c r="F77" t="s">
        <v>26</v>
      </c>
      <c r="G77">
        <v>0</v>
      </c>
      <c r="H77">
        <f>Table1[[#This Row],[UnitPrice]]*0.7*Table1[[#This Row],[UnitsSold]]</f>
        <v>0</v>
      </c>
      <c r="I77">
        <v>981.36020408163256</v>
      </c>
      <c r="J77">
        <v>0</v>
      </c>
      <c r="K77" t="s">
        <v>42</v>
      </c>
      <c r="L77" t="s">
        <v>55</v>
      </c>
      <c r="M77" s="3">
        <f t="shared" si="3"/>
        <v>0</v>
      </c>
      <c r="N77" t="str">
        <f t="shared" si="4"/>
        <v>October</v>
      </c>
      <c r="O77" t="str">
        <f t="shared" si="5"/>
        <v>2023</v>
      </c>
      <c r="P77" s="3">
        <f>Table1[[#This Row],[Revenue]]-Table1[[#This Row],[Cost]]</f>
        <v>0</v>
      </c>
      <c r="Q7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8" spans="1:17" x14ac:dyDescent="0.2">
      <c r="A78" t="s">
        <v>111</v>
      </c>
      <c r="B78" s="1">
        <v>45284</v>
      </c>
      <c r="C78" t="s">
        <v>37</v>
      </c>
      <c r="D78" t="s">
        <v>31</v>
      </c>
      <c r="E78" t="s">
        <v>38</v>
      </c>
      <c r="F78" t="s">
        <v>34</v>
      </c>
      <c r="G78">
        <v>14</v>
      </c>
      <c r="H78">
        <f>Table1[[#This Row],[UnitPrice]]*0.7*Table1[[#This Row],[UnitsSold]]</f>
        <v>9180.6088181818177</v>
      </c>
      <c r="I78">
        <v>936.79681818181825</v>
      </c>
      <c r="J78">
        <v>0</v>
      </c>
      <c r="K78" t="s">
        <v>42</v>
      </c>
      <c r="L78" t="s">
        <v>249</v>
      </c>
      <c r="M78" s="3">
        <f t="shared" si="3"/>
        <v>13115.155454545456</v>
      </c>
      <c r="N78" t="str">
        <f t="shared" si="4"/>
        <v>December</v>
      </c>
      <c r="O78" t="str">
        <f t="shared" si="5"/>
        <v>2023</v>
      </c>
      <c r="P78" s="3">
        <f>Table1[[#This Row],[Revenue]]-Table1[[#This Row],[Cost]]</f>
        <v>3934.5466363636388</v>
      </c>
      <c r="Q78"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79" spans="1:17" x14ac:dyDescent="0.2">
      <c r="A79" t="s">
        <v>45</v>
      </c>
      <c r="B79" s="1">
        <v>44945</v>
      </c>
      <c r="C79" t="s">
        <v>246</v>
      </c>
      <c r="D79" t="s">
        <v>31</v>
      </c>
      <c r="E79" t="s">
        <v>44</v>
      </c>
      <c r="F79" t="s">
        <v>26</v>
      </c>
      <c r="G79">
        <v>0</v>
      </c>
      <c r="H79">
        <f>Table1[[#This Row],[UnitPrice]]*0.7*Table1[[#This Row],[UnitsSold]]</f>
        <v>0</v>
      </c>
      <c r="I79">
        <v>1079.5765957446808</v>
      </c>
      <c r="J79">
        <v>0</v>
      </c>
      <c r="K79" t="s">
        <v>42</v>
      </c>
      <c r="L79" t="s">
        <v>249</v>
      </c>
      <c r="M79" s="3">
        <f t="shared" si="3"/>
        <v>0</v>
      </c>
      <c r="N79" t="str">
        <f t="shared" si="4"/>
        <v>January</v>
      </c>
      <c r="O79" t="str">
        <f t="shared" si="5"/>
        <v>2023</v>
      </c>
      <c r="P79" s="3">
        <f>Table1[[#This Row],[Revenue]]-Table1[[#This Row],[Cost]]</f>
        <v>0</v>
      </c>
      <c r="Q7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0" spans="1:17" x14ac:dyDescent="0.2">
      <c r="A80" t="s">
        <v>112</v>
      </c>
      <c r="B80" s="1">
        <v>45167</v>
      </c>
      <c r="C80" t="s">
        <v>24</v>
      </c>
      <c r="D80" t="s">
        <v>59</v>
      </c>
      <c r="E80" t="s">
        <v>44</v>
      </c>
      <c r="F80" t="s">
        <v>26</v>
      </c>
      <c r="G80">
        <v>0</v>
      </c>
      <c r="H80">
        <f>Table1[[#This Row],[UnitPrice]]*0.7*Table1[[#This Row],[UnitsSold]]</f>
        <v>0</v>
      </c>
      <c r="I80">
        <v>1079.5765957446808</v>
      </c>
      <c r="J80">
        <v>0</v>
      </c>
      <c r="K80" t="s">
        <v>283</v>
      </c>
      <c r="L80" t="s">
        <v>22</v>
      </c>
      <c r="M80" s="3">
        <f t="shared" si="3"/>
        <v>0</v>
      </c>
      <c r="N80" t="str">
        <f t="shared" si="4"/>
        <v>August</v>
      </c>
      <c r="O80" t="str">
        <f t="shared" si="5"/>
        <v>2023</v>
      </c>
      <c r="P80" s="3">
        <f>Table1[[#This Row],[Revenue]]-Table1[[#This Row],[Cost]]</f>
        <v>0</v>
      </c>
      <c r="Q8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1" spans="1:17" x14ac:dyDescent="0.2">
      <c r="A81" t="s">
        <v>113</v>
      </c>
      <c r="B81" s="1">
        <v>44945</v>
      </c>
      <c r="C81" t="s">
        <v>12</v>
      </c>
      <c r="D81" t="s">
        <v>19</v>
      </c>
      <c r="E81" t="s">
        <v>48</v>
      </c>
      <c r="F81" t="s">
        <v>39</v>
      </c>
      <c r="G81">
        <v>0</v>
      </c>
      <c r="H81">
        <f>Table1[[#This Row],[UnitPrice]]*0.7*Table1[[#This Row],[UnitsSold]]</f>
        <v>0</v>
      </c>
      <c r="I81">
        <v>189.85</v>
      </c>
      <c r="J81">
        <v>0</v>
      </c>
      <c r="K81" t="s">
        <v>16</v>
      </c>
      <c r="L81" t="s">
        <v>22</v>
      </c>
      <c r="M81" s="3">
        <f t="shared" si="3"/>
        <v>0</v>
      </c>
      <c r="N81" t="str">
        <f t="shared" si="4"/>
        <v>January</v>
      </c>
      <c r="O81" t="str">
        <f t="shared" si="5"/>
        <v>2023</v>
      </c>
      <c r="P81" s="3">
        <f>Table1[[#This Row],[Revenue]]-Table1[[#This Row],[Cost]]</f>
        <v>0</v>
      </c>
      <c r="Q8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2" spans="1:17" x14ac:dyDescent="0.2">
      <c r="A82" t="s">
        <v>114</v>
      </c>
      <c r="B82" s="1">
        <v>45282</v>
      </c>
      <c r="C82" t="s">
        <v>24</v>
      </c>
      <c r="D82" t="s">
        <v>19</v>
      </c>
      <c r="E82" t="s">
        <v>46</v>
      </c>
      <c r="F82" t="s">
        <v>26</v>
      </c>
      <c r="G82">
        <v>0</v>
      </c>
      <c r="H82">
        <f>Table1[[#This Row],[UnitPrice]]*0.7*Table1[[#This Row],[UnitsSold]]</f>
        <v>0</v>
      </c>
      <c r="I82">
        <v>1106.0261904761899</v>
      </c>
      <c r="J82">
        <v>0</v>
      </c>
      <c r="K82" t="s">
        <v>42</v>
      </c>
      <c r="L82" t="s">
        <v>17</v>
      </c>
      <c r="M82" s="3">
        <f t="shared" si="3"/>
        <v>0</v>
      </c>
      <c r="N82" t="str">
        <f t="shared" si="4"/>
        <v>December</v>
      </c>
      <c r="O82" t="str">
        <f t="shared" si="5"/>
        <v>2023</v>
      </c>
      <c r="P82" s="3">
        <f>Table1[[#This Row],[Revenue]]-Table1[[#This Row],[Cost]]</f>
        <v>0</v>
      </c>
      <c r="Q8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3" spans="1:17" x14ac:dyDescent="0.2">
      <c r="A83" t="s">
        <v>115</v>
      </c>
      <c r="B83" s="1">
        <v>45019</v>
      </c>
      <c r="C83" t="s">
        <v>246</v>
      </c>
      <c r="D83" t="s">
        <v>19</v>
      </c>
      <c r="E83" t="s">
        <v>46</v>
      </c>
      <c r="F83" t="s">
        <v>26</v>
      </c>
      <c r="G83">
        <v>0</v>
      </c>
      <c r="H83">
        <f>Table1[[#This Row],[UnitPrice]]*0.7*Table1[[#This Row],[UnitsSold]]</f>
        <v>0</v>
      </c>
      <c r="I83">
        <v>1106.0261904761899</v>
      </c>
      <c r="J83">
        <v>0.27</v>
      </c>
      <c r="K83" t="s">
        <v>16</v>
      </c>
      <c r="L83" t="s">
        <v>22</v>
      </c>
      <c r="M83" s="3">
        <f t="shared" si="3"/>
        <v>0</v>
      </c>
      <c r="N83" t="str">
        <f t="shared" si="4"/>
        <v>April</v>
      </c>
      <c r="O83" t="str">
        <f t="shared" si="5"/>
        <v>2023</v>
      </c>
      <c r="P83" s="3">
        <f>Table1[[#This Row],[Revenue]]-Table1[[#This Row],[Cost]]</f>
        <v>0</v>
      </c>
      <c r="Q8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4" spans="1:17" x14ac:dyDescent="0.2">
      <c r="A84" t="s">
        <v>11</v>
      </c>
      <c r="B84" s="1">
        <v>45057</v>
      </c>
      <c r="C84" t="s">
        <v>57</v>
      </c>
      <c r="D84" t="s">
        <v>59</v>
      </c>
      <c r="E84" t="s">
        <v>48</v>
      </c>
      <c r="F84" t="s">
        <v>39</v>
      </c>
      <c r="G84">
        <v>0</v>
      </c>
      <c r="H84">
        <f>Table1[[#This Row],[UnitPrice]]*0.7*Table1[[#This Row],[UnitsSold]]</f>
        <v>0</v>
      </c>
      <c r="I84">
        <v>1358.45</v>
      </c>
      <c r="J84">
        <v>0</v>
      </c>
      <c r="K84" t="s">
        <v>248</v>
      </c>
      <c r="L84" t="s">
        <v>55</v>
      </c>
      <c r="M84" s="3">
        <f t="shared" si="3"/>
        <v>0</v>
      </c>
      <c r="N84" t="str">
        <f t="shared" si="4"/>
        <v>May</v>
      </c>
      <c r="O84" t="str">
        <f t="shared" si="5"/>
        <v>2023</v>
      </c>
      <c r="P84" s="3">
        <f>Table1[[#This Row],[Revenue]]-Table1[[#This Row],[Cost]]</f>
        <v>0</v>
      </c>
      <c r="Q8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5" spans="1:17" x14ac:dyDescent="0.2">
      <c r="A85" t="s">
        <v>11</v>
      </c>
      <c r="B85" s="1">
        <v>45144</v>
      </c>
      <c r="C85" t="s">
        <v>24</v>
      </c>
      <c r="D85" t="s">
        <v>83</v>
      </c>
      <c r="E85" t="s">
        <v>25</v>
      </c>
      <c r="F85" t="s">
        <v>26</v>
      </c>
      <c r="G85">
        <v>0</v>
      </c>
      <c r="H85">
        <f>Table1[[#This Row],[UnitPrice]]*0.7*Table1[[#This Row],[UnitsSold]]</f>
        <v>0</v>
      </c>
      <c r="I85">
        <v>1708.14</v>
      </c>
      <c r="J85">
        <v>0</v>
      </c>
      <c r="K85" t="s">
        <v>52</v>
      </c>
      <c r="L85" t="s">
        <v>17</v>
      </c>
      <c r="M85" s="3">
        <f t="shared" si="3"/>
        <v>0</v>
      </c>
      <c r="N85" t="str">
        <f t="shared" si="4"/>
        <v>August</v>
      </c>
      <c r="O85" t="str">
        <f t="shared" si="5"/>
        <v>2023</v>
      </c>
      <c r="P85" s="3">
        <f>Table1[[#This Row],[Revenue]]-Table1[[#This Row],[Cost]]</f>
        <v>0</v>
      </c>
      <c r="Q8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6" spans="1:17" x14ac:dyDescent="0.2">
      <c r="A86" t="s">
        <v>30</v>
      </c>
      <c r="B86" s="1">
        <v>45285</v>
      </c>
      <c r="C86" t="s">
        <v>24</v>
      </c>
      <c r="D86" t="s">
        <v>19</v>
      </c>
      <c r="E86" t="s">
        <v>25</v>
      </c>
      <c r="F86" t="s">
        <v>26</v>
      </c>
      <c r="G86">
        <v>9</v>
      </c>
      <c r="H86">
        <f>Table1[[#This Row],[UnitPrice]]*0.7*Table1[[#This Row],[UnitsSold]]</f>
        <v>6054.6566440677962</v>
      </c>
      <c r="I86">
        <v>961.05661016949136</v>
      </c>
      <c r="J86">
        <v>0.23</v>
      </c>
      <c r="K86" t="s">
        <v>248</v>
      </c>
      <c r="L86" t="s">
        <v>22</v>
      </c>
      <c r="M86" s="3">
        <f t="shared" si="3"/>
        <v>6660.1223084745761</v>
      </c>
      <c r="N86" t="str">
        <f t="shared" si="4"/>
        <v>December</v>
      </c>
      <c r="O86" t="str">
        <f t="shared" si="5"/>
        <v>2023</v>
      </c>
      <c r="P86" s="3">
        <f>Table1[[#This Row],[Revenue]]-Table1[[#This Row],[Cost]]</f>
        <v>605.46566440677998</v>
      </c>
      <c r="Q86" s="6">
        <f>IF(Table1[[#This Row],[UnitsSold]]*Table1[[#This Row],[UnitPrice]]*(1-Table1[[#This Row],[Discount]])=0, 0, ((Table1[[#This Row],[UnitsSold]]*Table1[[#This Row],[UnitPrice]]*(1-Table1[[#This Row],[Discount]])) - (Table1[[#This Row],[UnitsSold]]*Table1[[#This Row],[UnitPrice]]*0.7)) / (Table1[[#This Row],[UnitsSold]]*Table1[[#This Row],[UnitPrice]]*(1-Table1[[#This Row],[Discount]])))</f>
        <v>9.0909090909090953E-2</v>
      </c>
    </row>
    <row r="87" spans="1:17" x14ac:dyDescent="0.2">
      <c r="A87" t="s">
        <v>101</v>
      </c>
      <c r="B87" s="1">
        <v>45324</v>
      </c>
      <c r="C87" t="s">
        <v>37</v>
      </c>
      <c r="D87" t="s">
        <v>31</v>
      </c>
      <c r="E87" t="s">
        <v>25</v>
      </c>
      <c r="F87" t="s">
        <v>26</v>
      </c>
      <c r="G87">
        <v>0</v>
      </c>
      <c r="H87">
        <f>Table1[[#This Row],[UnitPrice]]*0.7*Table1[[#This Row],[UnitsSold]]</f>
        <v>0</v>
      </c>
      <c r="I87">
        <v>961.05661016949136</v>
      </c>
      <c r="J87">
        <v>0</v>
      </c>
      <c r="K87" t="s">
        <v>283</v>
      </c>
      <c r="L87" t="s">
        <v>249</v>
      </c>
      <c r="M87" s="3">
        <f t="shared" si="3"/>
        <v>0</v>
      </c>
      <c r="N87" t="str">
        <f t="shared" si="4"/>
        <v>February</v>
      </c>
      <c r="O87" t="str">
        <f t="shared" si="5"/>
        <v>2024</v>
      </c>
      <c r="P87" s="3">
        <f>Table1[[#This Row],[Revenue]]-Table1[[#This Row],[Cost]]</f>
        <v>0</v>
      </c>
      <c r="Q8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8" spans="1:17" x14ac:dyDescent="0.2">
      <c r="A88" t="s">
        <v>116</v>
      </c>
      <c r="B88" s="1">
        <v>44976</v>
      </c>
      <c r="C88" t="s">
        <v>12</v>
      </c>
      <c r="D88" t="s">
        <v>59</v>
      </c>
      <c r="E88" t="s">
        <v>25</v>
      </c>
      <c r="F88" t="s">
        <v>26</v>
      </c>
      <c r="G88">
        <v>0</v>
      </c>
      <c r="H88">
        <f>Table1[[#This Row],[UnitPrice]]*0.7*Table1[[#This Row],[UnitsSold]]</f>
        <v>0</v>
      </c>
      <c r="I88">
        <v>736.07</v>
      </c>
      <c r="J88">
        <v>0</v>
      </c>
      <c r="K88" t="s">
        <v>52</v>
      </c>
      <c r="L88" t="s">
        <v>22</v>
      </c>
      <c r="M88" s="3">
        <f t="shared" si="3"/>
        <v>0</v>
      </c>
      <c r="N88" t="str">
        <f t="shared" si="4"/>
        <v>February</v>
      </c>
      <c r="O88" t="str">
        <f t="shared" si="5"/>
        <v>2023</v>
      </c>
      <c r="P88" s="3">
        <f>Table1[[#This Row],[Revenue]]-Table1[[#This Row],[Cost]]</f>
        <v>0</v>
      </c>
      <c r="Q8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9" spans="1:17" x14ac:dyDescent="0.2">
      <c r="A89" t="s">
        <v>117</v>
      </c>
      <c r="B89" s="1">
        <v>45029</v>
      </c>
      <c r="C89" t="s">
        <v>246</v>
      </c>
      <c r="D89" t="s">
        <v>267</v>
      </c>
      <c r="E89" t="s">
        <v>44</v>
      </c>
      <c r="F89" t="s">
        <v>26</v>
      </c>
      <c r="G89">
        <v>0</v>
      </c>
      <c r="H89">
        <f>Table1[[#This Row],[UnitPrice]]*0.7*Table1[[#This Row],[UnitsSold]]</f>
        <v>0</v>
      </c>
      <c r="I89">
        <v>1827.84</v>
      </c>
      <c r="J89">
        <v>0</v>
      </c>
      <c r="K89" t="s">
        <v>52</v>
      </c>
      <c r="L89" t="s">
        <v>55</v>
      </c>
      <c r="M89" s="3">
        <f t="shared" si="3"/>
        <v>0</v>
      </c>
      <c r="N89" t="str">
        <f t="shared" si="4"/>
        <v>April</v>
      </c>
      <c r="O89" t="str">
        <f t="shared" si="5"/>
        <v>2023</v>
      </c>
      <c r="P89" s="3">
        <f>Table1[[#This Row],[Revenue]]-Table1[[#This Row],[Cost]]</f>
        <v>0</v>
      </c>
      <c r="Q8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0" spans="1:17" x14ac:dyDescent="0.2">
      <c r="A90" t="s">
        <v>118</v>
      </c>
      <c r="B90" s="1">
        <v>45166</v>
      </c>
      <c r="C90" t="s">
        <v>12</v>
      </c>
      <c r="D90" t="s">
        <v>19</v>
      </c>
      <c r="E90" t="s">
        <v>25</v>
      </c>
      <c r="F90" t="s">
        <v>26</v>
      </c>
      <c r="G90">
        <v>0</v>
      </c>
      <c r="H90">
        <f>Table1[[#This Row],[UnitPrice]]*0.7*Table1[[#This Row],[UnitsSold]]</f>
        <v>0</v>
      </c>
      <c r="I90">
        <v>961.05661016949136</v>
      </c>
      <c r="J90">
        <v>0</v>
      </c>
      <c r="K90" t="s">
        <v>16</v>
      </c>
      <c r="L90" t="s">
        <v>22</v>
      </c>
      <c r="M90" s="3">
        <f t="shared" si="3"/>
        <v>0</v>
      </c>
      <c r="N90" t="str">
        <f t="shared" si="4"/>
        <v>August</v>
      </c>
      <c r="O90" t="str">
        <f t="shared" si="5"/>
        <v>2023</v>
      </c>
      <c r="P90" s="3">
        <f>Table1[[#This Row],[Revenue]]-Table1[[#This Row],[Cost]]</f>
        <v>0</v>
      </c>
      <c r="Q9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1" spans="1:17" x14ac:dyDescent="0.2">
      <c r="A91" t="s">
        <v>95</v>
      </c>
      <c r="B91" s="1">
        <v>45271</v>
      </c>
      <c r="C91" t="s">
        <v>24</v>
      </c>
      <c r="D91" t="s">
        <v>31</v>
      </c>
      <c r="E91" t="s">
        <v>38</v>
      </c>
      <c r="F91" t="s">
        <v>34</v>
      </c>
      <c r="G91">
        <v>0</v>
      </c>
      <c r="H91">
        <f>Table1[[#This Row],[UnitPrice]]*0.7*Table1[[#This Row],[UnitsSold]]</f>
        <v>0</v>
      </c>
      <c r="I91">
        <v>475.31</v>
      </c>
      <c r="J91">
        <v>0</v>
      </c>
      <c r="K91" t="s">
        <v>52</v>
      </c>
      <c r="L91" t="s">
        <v>17</v>
      </c>
      <c r="M91" s="3">
        <f t="shared" si="3"/>
        <v>0</v>
      </c>
      <c r="N91" t="str">
        <f t="shared" si="4"/>
        <v>December</v>
      </c>
      <c r="O91" t="str">
        <f t="shared" si="5"/>
        <v>2023</v>
      </c>
      <c r="P91" s="3">
        <f>Table1[[#This Row],[Revenue]]-Table1[[#This Row],[Cost]]</f>
        <v>0</v>
      </c>
      <c r="Q9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2" spans="1:17" x14ac:dyDescent="0.2">
      <c r="A92" t="s">
        <v>23</v>
      </c>
      <c r="B92" s="1">
        <v>45258</v>
      </c>
      <c r="C92" t="s">
        <v>12</v>
      </c>
      <c r="D92" t="s">
        <v>13</v>
      </c>
      <c r="E92" t="s">
        <v>25</v>
      </c>
      <c r="F92" t="s">
        <v>26</v>
      </c>
      <c r="G92">
        <v>0</v>
      </c>
      <c r="H92">
        <f>Table1[[#This Row],[UnitPrice]]*0.7*Table1[[#This Row],[UnitsSold]]</f>
        <v>0</v>
      </c>
      <c r="I92">
        <v>822.51</v>
      </c>
      <c r="J92">
        <v>0.01</v>
      </c>
      <c r="K92" t="s">
        <v>52</v>
      </c>
      <c r="L92" t="s">
        <v>22</v>
      </c>
      <c r="M92" s="3">
        <f t="shared" si="3"/>
        <v>0</v>
      </c>
      <c r="N92" t="str">
        <f t="shared" si="4"/>
        <v>November</v>
      </c>
      <c r="O92" t="str">
        <f t="shared" si="5"/>
        <v>2023</v>
      </c>
      <c r="P92" s="3">
        <f>Table1[[#This Row],[Revenue]]-Table1[[#This Row],[Cost]]</f>
        <v>0</v>
      </c>
      <c r="Q9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3" spans="1:17" x14ac:dyDescent="0.2">
      <c r="A93" t="s">
        <v>118</v>
      </c>
      <c r="B93" s="1">
        <v>44976</v>
      </c>
      <c r="C93" t="s">
        <v>37</v>
      </c>
      <c r="D93" t="s">
        <v>31</v>
      </c>
      <c r="E93" t="s">
        <v>247</v>
      </c>
      <c r="F93" t="s">
        <v>26</v>
      </c>
      <c r="G93">
        <v>0</v>
      </c>
      <c r="H93">
        <f>Table1[[#This Row],[UnitPrice]]*0.7*Table1[[#This Row],[UnitsSold]]</f>
        <v>0</v>
      </c>
      <c r="I93">
        <v>981.36020408163256</v>
      </c>
      <c r="J93">
        <v>0</v>
      </c>
      <c r="K93" t="s">
        <v>42</v>
      </c>
      <c r="L93" t="s">
        <v>17</v>
      </c>
      <c r="M93" s="3">
        <f t="shared" si="3"/>
        <v>0</v>
      </c>
      <c r="N93" t="str">
        <f t="shared" si="4"/>
        <v>February</v>
      </c>
      <c r="O93" t="str">
        <f t="shared" si="5"/>
        <v>2023</v>
      </c>
      <c r="P93" s="3">
        <f>Table1[[#This Row],[Revenue]]-Table1[[#This Row],[Cost]]</f>
        <v>0</v>
      </c>
      <c r="Q9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4" spans="1:17" x14ac:dyDescent="0.2">
      <c r="A94" t="s">
        <v>119</v>
      </c>
      <c r="B94" s="1">
        <v>45299</v>
      </c>
      <c r="C94" t="s">
        <v>246</v>
      </c>
      <c r="D94" t="s">
        <v>83</v>
      </c>
      <c r="E94" t="s">
        <v>48</v>
      </c>
      <c r="F94" t="s">
        <v>39</v>
      </c>
      <c r="G94">
        <v>0</v>
      </c>
      <c r="H94">
        <f>Table1[[#This Row],[UnitPrice]]*0.7*Table1[[#This Row],[UnitsSold]]</f>
        <v>0</v>
      </c>
      <c r="I94">
        <v>1017.3087234042553</v>
      </c>
      <c r="J94">
        <v>0</v>
      </c>
      <c r="K94" t="s">
        <v>16</v>
      </c>
      <c r="L94" t="s">
        <v>22</v>
      </c>
      <c r="M94" s="3">
        <f t="shared" si="3"/>
        <v>0</v>
      </c>
      <c r="N94" t="str">
        <f t="shared" si="4"/>
        <v>January</v>
      </c>
      <c r="O94" t="str">
        <f t="shared" si="5"/>
        <v>2024</v>
      </c>
      <c r="P94" s="3">
        <f>Table1[[#This Row],[Revenue]]-Table1[[#This Row],[Cost]]</f>
        <v>0</v>
      </c>
      <c r="Q9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5" spans="1:17" x14ac:dyDescent="0.2">
      <c r="A95" t="s">
        <v>120</v>
      </c>
      <c r="B95" s="1">
        <v>45047</v>
      </c>
      <c r="C95" t="s">
        <v>29</v>
      </c>
      <c r="D95" t="s">
        <v>19</v>
      </c>
      <c r="E95" t="s">
        <v>48</v>
      </c>
      <c r="F95" t="s">
        <v>39</v>
      </c>
      <c r="G95">
        <v>0</v>
      </c>
      <c r="H95">
        <f>Table1[[#This Row],[UnitPrice]]*0.7*Table1[[#This Row],[UnitsSold]]</f>
        <v>0</v>
      </c>
      <c r="I95">
        <v>1017.3087234042553</v>
      </c>
      <c r="J95">
        <v>0.08</v>
      </c>
      <c r="K95" t="s">
        <v>42</v>
      </c>
      <c r="L95" t="s">
        <v>27</v>
      </c>
      <c r="M95" s="3">
        <f t="shared" si="3"/>
        <v>0</v>
      </c>
      <c r="N95" t="str">
        <f t="shared" si="4"/>
        <v>May</v>
      </c>
      <c r="O95" t="str">
        <f t="shared" si="5"/>
        <v>2023</v>
      </c>
      <c r="P95" s="3">
        <f>Table1[[#This Row],[Revenue]]-Table1[[#This Row],[Cost]]</f>
        <v>0</v>
      </c>
      <c r="Q9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6" spans="1:17" x14ac:dyDescent="0.2">
      <c r="A96" t="s">
        <v>100</v>
      </c>
      <c r="B96" s="1">
        <v>45035</v>
      </c>
      <c r="C96" t="s">
        <v>12</v>
      </c>
      <c r="D96" t="s">
        <v>19</v>
      </c>
      <c r="E96" t="s">
        <v>25</v>
      </c>
      <c r="F96" t="s">
        <v>26</v>
      </c>
      <c r="G96">
        <v>8</v>
      </c>
      <c r="H96">
        <f>Table1[[#This Row],[UnitPrice]]*0.7*Table1[[#This Row],[UnitsSold]]</f>
        <v>8826.1039999999994</v>
      </c>
      <c r="I96">
        <v>1576.09</v>
      </c>
      <c r="J96">
        <v>0</v>
      </c>
      <c r="K96" t="s">
        <v>16</v>
      </c>
      <c r="L96" t="s">
        <v>17</v>
      </c>
      <c r="M96" s="3">
        <f t="shared" si="3"/>
        <v>12608.72</v>
      </c>
      <c r="N96" t="str">
        <f t="shared" si="4"/>
        <v>April</v>
      </c>
      <c r="O96" t="str">
        <f t="shared" si="5"/>
        <v>2023</v>
      </c>
      <c r="P96" s="3">
        <f>Table1[[#This Row],[Revenue]]-Table1[[#This Row],[Cost]]</f>
        <v>3782.616</v>
      </c>
      <c r="Q96"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97" spans="1:17" x14ac:dyDescent="0.2">
      <c r="A97" t="s">
        <v>121</v>
      </c>
      <c r="B97" s="1">
        <v>45046</v>
      </c>
      <c r="C97" t="s">
        <v>29</v>
      </c>
      <c r="D97" t="s">
        <v>267</v>
      </c>
      <c r="E97" t="s">
        <v>247</v>
      </c>
      <c r="F97" t="s">
        <v>26</v>
      </c>
      <c r="G97">
        <v>0</v>
      </c>
      <c r="H97">
        <f>Table1[[#This Row],[UnitPrice]]*0.7*Table1[[#This Row],[UnitsSold]]</f>
        <v>0</v>
      </c>
      <c r="I97">
        <v>1718.23</v>
      </c>
      <c r="J97">
        <v>0</v>
      </c>
      <c r="K97" t="s">
        <v>52</v>
      </c>
      <c r="L97" t="s">
        <v>249</v>
      </c>
      <c r="M97" s="3">
        <f t="shared" si="3"/>
        <v>0</v>
      </c>
      <c r="N97" t="str">
        <f t="shared" si="4"/>
        <v>April</v>
      </c>
      <c r="O97" t="str">
        <f t="shared" si="5"/>
        <v>2023</v>
      </c>
      <c r="P97" s="3">
        <f>Table1[[#This Row],[Revenue]]-Table1[[#This Row],[Cost]]</f>
        <v>0</v>
      </c>
      <c r="Q9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8" spans="1:17" x14ac:dyDescent="0.2">
      <c r="A98" t="s">
        <v>122</v>
      </c>
      <c r="B98" s="1">
        <v>45265</v>
      </c>
      <c r="C98" t="s">
        <v>12</v>
      </c>
      <c r="D98" t="s">
        <v>19</v>
      </c>
      <c r="E98" t="s">
        <v>46</v>
      </c>
      <c r="F98" t="s">
        <v>26</v>
      </c>
      <c r="G98">
        <v>0</v>
      </c>
      <c r="H98">
        <f>Table1[[#This Row],[UnitPrice]]*0.7*Table1[[#This Row],[UnitsSold]]</f>
        <v>0</v>
      </c>
      <c r="I98">
        <v>654.30999999999995</v>
      </c>
      <c r="J98">
        <v>0.08</v>
      </c>
      <c r="K98" t="s">
        <v>283</v>
      </c>
      <c r="L98" t="s">
        <v>22</v>
      </c>
      <c r="M98" s="3">
        <f t="shared" si="3"/>
        <v>0</v>
      </c>
      <c r="N98" t="str">
        <f t="shared" si="4"/>
        <v>December</v>
      </c>
      <c r="O98" t="str">
        <f t="shared" si="5"/>
        <v>2023</v>
      </c>
      <c r="P98" s="3">
        <f>Table1[[#This Row],[Revenue]]-Table1[[#This Row],[Cost]]</f>
        <v>0</v>
      </c>
      <c r="Q9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9" spans="1:17" x14ac:dyDescent="0.2">
      <c r="A99" t="s">
        <v>123</v>
      </c>
      <c r="B99" s="1">
        <v>44985</v>
      </c>
      <c r="C99" t="s">
        <v>12</v>
      </c>
      <c r="D99" t="s">
        <v>83</v>
      </c>
      <c r="E99" t="s">
        <v>38</v>
      </c>
      <c r="F99" t="s">
        <v>34</v>
      </c>
      <c r="G99">
        <v>0</v>
      </c>
      <c r="H99">
        <f>Table1[[#This Row],[UnitPrice]]*0.7*Table1[[#This Row],[UnitsSold]]</f>
        <v>0</v>
      </c>
      <c r="I99">
        <v>936.79681818181825</v>
      </c>
      <c r="J99">
        <v>0</v>
      </c>
      <c r="K99" t="s">
        <v>16</v>
      </c>
      <c r="L99" t="s">
        <v>17</v>
      </c>
      <c r="M99" s="3">
        <f t="shared" si="3"/>
        <v>0</v>
      </c>
      <c r="N99" t="str">
        <f t="shared" si="4"/>
        <v>February</v>
      </c>
      <c r="O99" t="str">
        <f t="shared" si="5"/>
        <v>2023</v>
      </c>
      <c r="P99" s="3">
        <f>Table1[[#This Row],[Revenue]]-Table1[[#This Row],[Cost]]</f>
        <v>0</v>
      </c>
      <c r="Q9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00" spans="1:17" x14ac:dyDescent="0.2">
      <c r="A100" t="s">
        <v>79</v>
      </c>
      <c r="B100" s="1">
        <v>45161</v>
      </c>
      <c r="C100" t="s">
        <v>12</v>
      </c>
      <c r="D100" t="s">
        <v>19</v>
      </c>
      <c r="E100" t="s">
        <v>38</v>
      </c>
      <c r="F100" t="s">
        <v>34</v>
      </c>
      <c r="G100">
        <v>0</v>
      </c>
      <c r="H100">
        <f>Table1[[#This Row],[UnitPrice]]*0.7*Table1[[#This Row],[UnitsSold]]</f>
        <v>0</v>
      </c>
      <c r="I100">
        <v>936.79681818181825</v>
      </c>
      <c r="J100">
        <v>0.27</v>
      </c>
      <c r="K100" t="s">
        <v>16</v>
      </c>
      <c r="L100" t="s">
        <v>55</v>
      </c>
      <c r="M100" s="3">
        <f t="shared" si="3"/>
        <v>0</v>
      </c>
      <c r="N100" t="str">
        <f t="shared" si="4"/>
        <v>August</v>
      </c>
      <c r="O100" t="str">
        <f t="shared" si="5"/>
        <v>2023</v>
      </c>
      <c r="P100" s="3">
        <f>Table1[[#This Row],[Revenue]]-Table1[[#This Row],[Cost]]</f>
        <v>0</v>
      </c>
      <c r="Q10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01" spans="1:17" x14ac:dyDescent="0.2">
      <c r="A101" t="s">
        <v>124</v>
      </c>
      <c r="B101" s="1">
        <v>45002</v>
      </c>
      <c r="C101" t="s">
        <v>12</v>
      </c>
      <c r="D101" t="s">
        <v>19</v>
      </c>
      <c r="E101" t="s">
        <v>14</v>
      </c>
      <c r="F101" t="s">
        <v>26</v>
      </c>
      <c r="G101">
        <v>0</v>
      </c>
      <c r="H101">
        <f>Table1[[#This Row],[UnitPrice]]*0.7*Table1[[#This Row],[UnitsSold]]</f>
        <v>0</v>
      </c>
      <c r="I101">
        <v>1002.870425531915</v>
      </c>
      <c r="J101">
        <v>0</v>
      </c>
      <c r="K101" t="s">
        <v>52</v>
      </c>
      <c r="L101" t="s">
        <v>22</v>
      </c>
      <c r="M101" s="3">
        <f t="shared" si="3"/>
        <v>0</v>
      </c>
      <c r="N101" t="str">
        <f t="shared" si="4"/>
        <v>March</v>
      </c>
      <c r="O101" t="str">
        <f t="shared" si="5"/>
        <v>2023</v>
      </c>
      <c r="P101" s="3">
        <f>Table1[[#This Row],[Revenue]]-Table1[[#This Row],[Cost]]</f>
        <v>0</v>
      </c>
      <c r="Q10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02" spans="1:17" x14ac:dyDescent="0.2">
      <c r="A102" t="s">
        <v>91</v>
      </c>
      <c r="B102" s="1">
        <v>45236</v>
      </c>
      <c r="C102" t="s">
        <v>57</v>
      </c>
      <c r="D102" t="s">
        <v>19</v>
      </c>
      <c r="E102" t="s">
        <v>25</v>
      </c>
      <c r="F102" t="s">
        <v>26</v>
      </c>
      <c r="G102">
        <v>0</v>
      </c>
      <c r="H102">
        <f>Table1[[#This Row],[UnitPrice]]*0.7*Table1[[#This Row],[UnitsSold]]</f>
        <v>0</v>
      </c>
      <c r="I102">
        <v>961.05661016949136</v>
      </c>
      <c r="J102">
        <v>0.14000000000000001</v>
      </c>
      <c r="K102" t="s">
        <v>42</v>
      </c>
      <c r="L102" t="s">
        <v>55</v>
      </c>
      <c r="M102" s="3">
        <f t="shared" si="3"/>
        <v>0</v>
      </c>
      <c r="N102" t="str">
        <f t="shared" si="4"/>
        <v>November</v>
      </c>
      <c r="O102" t="str">
        <f t="shared" si="5"/>
        <v>2023</v>
      </c>
      <c r="P102" s="3">
        <f>Table1[[#This Row],[Revenue]]-Table1[[#This Row],[Cost]]</f>
        <v>0</v>
      </c>
      <c r="Q10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03" spans="1:17" x14ac:dyDescent="0.2">
      <c r="A103" t="s">
        <v>125</v>
      </c>
      <c r="B103" s="1">
        <v>45131</v>
      </c>
      <c r="C103" t="s">
        <v>57</v>
      </c>
      <c r="D103" t="s">
        <v>13</v>
      </c>
      <c r="E103" t="s">
        <v>46</v>
      </c>
      <c r="F103" t="s">
        <v>26</v>
      </c>
      <c r="G103">
        <v>0</v>
      </c>
      <c r="H103">
        <f>Table1[[#This Row],[UnitPrice]]*0.7*Table1[[#This Row],[UnitsSold]]</f>
        <v>0</v>
      </c>
      <c r="I103">
        <v>1106.0261904761899</v>
      </c>
      <c r="J103">
        <v>0</v>
      </c>
      <c r="K103" t="s">
        <v>42</v>
      </c>
      <c r="L103" t="s">
        <v>27</v>
      </c>
      <c r="M103" s="3">
        <f t="shared" si="3"/>
        <v>0</v>
      </c>
      <c r="N103" t="str">
        <f t="shared" si="4"/>
        <v>July</v>
      </c>
      <c r="O103" t="str">
        <f t="shared" si="5"/>
        <v>2023</v>
      </c>
      <c r="P103" s="3">
        <f>Table1[[#This Row],[Revenue]]-Table1[[#This Row],[Cost]]</f>
        <v>0</v>
      </c>
      <c r="Q10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04" spans="1:17" x14ac:dyDescent="0.2">
      <c r="A104" t="s">
        <v>126</v>
      </c>
      <c r="B104" s="1">
        <v>44970</v>
      </c>
      <c r="C104" t="s">
        <v>12</v>
      </c>
      <c r="D104" t="s">
        <v>83</v>
      </c>
      <c r="E104" t="s">
        <v>46</v>
      </c>
      <c r="F104" t="s">
        <v>26</v>
      </c>
      <c r="G104">
        <v>0</v>
      </c>
      <c r="H104">
        <f>Table1[[#This Row],[UnitPrice]]*0.7*Table1[[#This Row],[UnitsSold]]</f>
        <v>0</v>
      </c>
      <c r="I104">
        <v>1106.0261904761899</v>
      </c>
      <c r="J104">
        <v>0</v>
      </c>
      <c r="K104" t="s">
        <v>16</v>
      </c>
      <c r="L104" t="s">
        <v>22</v>
      </c>
      <c r="M104" s="3">
        <f t="shared" si="3"/>
        <v>0</v>
      </c>
      <c r="N104" t="str">
        <f t="shared" si="4"/>
        <v>February</v>
      </c>
      <c r="O104" t="str">
        <f t="shared" si="5"/>
        <v>2023</v>
      </c>
      <c r="P104" s="3">
        <f>Table1[[#This Row],[Revenue]]-Table1[[#This Row],[Cost]]</f>
        <v>0</v>
      </c>
      <c r="Q10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05" spans="1:17" x14ac:dyDescent="0.2">
      <c r="A105" t="s">
        <v>127</v>
      </c>
      <c r="B105" s="1">
        <v>45267</v>
      </c>
      <c r="C105" t="s">
        <v>57</v>
      </c>
      <c r="D105" t="s">
        <v>267</v>
      </c>
      <c r="E105" t="s">
        <v>48</v>
      </c>
      <c r="F105" t="s">
        <v>39</v>
      </c>
      <c r="G105">
        <v>0</v>
      </c>
      <c r="H105">
        <f>Table1[[#This Row],[UnitPrice]]*0.7*Table1[[#This Row],[UnitsSold]]</f>
        <v>0</v>
      </c>
      <c r="I105">
        <v>631.77</v>
      </c>
      <c r="J105">
        <v>0.17</v>
      </c>
      <c r="K105" t="s">
        <v>16</v>
      </c>
      <c r="L105" t="s">
        <v>22</v>
      </c>
      <c r="M105" s="3">
        <f t="shared" si="3"/>
        <v>0</v>
      </c>
      <c r="N105" t="str">
        <f t="shared" si="4"/>
        <v>December</v>
      </c>
      <c r="O105" t="str">
        <f t="shared" si="5"/>
        <v>2023</v>
      </c>
      <c r="P105" s="3">
        <f>Table1[[#This Row],[Revenue]]-Table1[[#This Row],[Cost]]</f>
        <v>0</v>
      </c>
      <c r="Q10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06" spans="1:17" x14ac:dyDescent="0.2">
      <c r="A106" t="s">
        <v>81</v>
      </c>
      <c r="B106" s="1">
        <v>44982</v>
      </c>
      <c r="C106" t="s">
        <v>29</v>
      </c>
      <c r="D106" t="s">
        <v>267</v>
      </c>
      <c r="E106" t="s">
        <v>44</v>
      </c>
      <c r="F106" t="s">
        <v>26</v>
      </c>
      <c r="G106">
        <v>0</v>
      </c>
      <c r="H106">
        <f>Table1[[#This Row],[UnitPrice]]*0.7*Table1[[#This Row],[UnitsSold]]</f>
        <v>0</v>
      </c>
      <c r="I106">
        <v>1079.5765957446808</v>
      </c>
      <c r="J106">
        <v>0</v>
      </c>
      <c r="K106" t="s">
        <v>248</v>
      </c>
      <c r="L106" t="s">
        <v>17</v>
      </c>
      <c r="M106" s="3">
        <f t="shared" si="3"/>
        <v>0</v>
      </c>
      <c r="N106" t="str">
        <f t="shared" si="4"/>
        <v>February</v>
      </c>
      <c r="O106" t="str">
        <f t="shared" si="5"/>
        <v>2023</v>
      </c>
      <c r="P106" s="3">
        <f>Table1[[#This Row],[Revenue]]-Table1[[#This Row],[Cost]]</f>
        <v>0</v>
      </c>
      <c r="Q10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07" spans="1:17" x14ac:dyDescent="0.2">
      <c r="A107" t="s">
        <v>128</v>
      </c>
      <c r="B107" s="1">
        <v>45238</v>
      </c>
      <c r="C107" t="s">
        <v>24</v>
      </c>
      <c r="D107" t="s">
        <v>19</v>
      </c>
      <c r="E107" t="s">
        <v>247</v>
      </c>
      <c r="F107" t="s">
        <v>26</v>
      </c>
      <c r="G107">
        <v>0</v>
      </c>
      <c r="H107">
        <f>Table1[[#This Row],[UnitPrice]]*0.7*Table1[[#This Row],[UnitsSold]]</f>
        <v>0</v>
      </c>
      <c r="I107">
        <v>708.54</v>
      </c>
      <c r="J107">
        <v>0</v>
      </c>
      <c r="K107" t="s">
        <v>283</v>
      </c>
      <c r="L107" t="s">
        <v>22</v>
      </c>
      <c r="M107" s="3">
        <f t="shared" si="3"/>
        <v>0</v>
      </c>
      <c r="N107" t="str">
        <f t="shared" si="4"/>
        <v>November</v>
      </c>
      <c r="O107" t="str">
        <f t="shared" si="5"/>
        <v>2023</v>
      </c>
      <c r="P107" s="3">
        <f>Table1[[#This Row],[Revenue]]-Table1[[#This Row],[Cost]]</f>
        <v>0</v>
      </c>
      <c r="Q10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08" spans="1:17" x14ac:dyDescent="0.2">
      <c r="A108" t="s">
        <v>60</v>
      </c>
      <c r="B108" s="1">
        <v>44999</v>
      </c>
      <c r="C108" t="s">
        <v>12</v>
      </c>
      <c r="D108" t="s">
        <v>19</v>
      </c>
      <c r="E108" t="s">
        <v>48</v>
      </c>
      <c r="F108" t="s">
        <v>39</v>
      </c>
      <c r="G108">
        <v>0</v>
      </c>
      <c r="H108">
        <f>Table1[[#This Row],[UnitPrice]]*0.7*Table1[[#This Row],[UnitsSold]]</f>
        <v>0</v>
      </c>
      <c r="I108">
        <v>1017.3087234042553</v>
      </c>
      <c r="J108">
        <v>0</v>
      </c>
      <c r="K108" t="s">
        <v>283</v>
      </c>
      <c r="L108" t="s">
        <v>55</v>
      </c>
      <c r="M108" s="3">
        <f t="shared" si="3"/>
        <v>0</v>
      </c>
      <c r="N108" t="str">
        <f t="shared" si="4"/>
        <v>March</v>
      </c>
      <c r="O108" t="str">
        <f t="shared" si="5"/>
        <v>2023</v>
      </c>
      <c r="P108" s="3">
        <f>Table1[[#This Row],[Revenue]]-Table1[[#This Row],[Cost]]</f>
        <v>0</v>
      </c>
      <c r="Q10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09" spans="1:17" x14ac:dyDescent="0.2">
      <c r="A109" t="s">
        <v>129</v>
      </c>
      <c r="B109" s="1">
        <v>45217</v>
      </c>
      <c r="C109" t="s">
        <v>12</v>
      </c>
      <c r="D109" t="s">
        <v>19</v>
      </c>
      <c r="E109" t="s">
        <v>247</v>
      </c>
      <c r="F109" t="s">
        <v>26</v>
      </c>
      <c r="G109">
        <v>20</v>
      </c>
      <c r="H109">
        <f>Table1[[#This Row],[UnitPrice]]*0.7*Table1[[#This Row],[UnitsSold]]</f>
        <v>13739.042857142857</v>
      </c>
      <c r="I109">
        <v>981.36020408163256</v>
      </c>
      <c r="J109">
        <v>0</v>
      </c>
      <c r="K109" t="s">
        <v>42</v>
      </c>
      <c r="L109" t="s">
        <v>17</v>
      </c>
      <c r="M109" s="3">
        <f t="shared" si="3"/>
        <v>19627.204081632652</v>
      </c>
      <c r="N109" t="str">
        <f t="shared" si="4"/>
        <v>October</v>
      </c>
      <c r="O109" t="str">
        <f t="shared" si="5"/>
        <v>2023</v>
      </c>
      <c r="P109" s="3">
        <f>Table1[[#This Row],[Revenue]]-Table1[[#This Row],[Cost]]</f>
        <v>5888.1612244897951</v>
      </c>
      <c r="Q10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110" spans="1:17" x14ac:dyDescent="0.2">
      <c r="A110" t="s">
        <v>120</v>
      </c>
      <c r="B110" s="1">
        <v>45139</v>
      </c>
      <c r="C110" t="s">
        <v>24</v>
      </c>
      <c r="D110" t="s">
        <v>19</v>
      </c>
      <c r="E110" t="s">
        <v>25</v>
      </c>
      <c r="F110" t="s">
        <v>26</v>
      </c>
      <c r="G110">
        <v>0</v>
      </c>
      <c r="H110">
        <f>Table1[[#This Row],[UnitPrice]]*0.7*Table1[[#This Row],[UnitsSold]]</f>
        <v>0</v>
      </c>
      <c r="I110">
        <v>961.05661016949136</v>
      </c>
      <c r="J110">
        <v>0</v>
      </c>
      <c r="K110" t="s">
        <v>42</v>
      </c>
      <c r="L110" t="s">
        <v>17</v>
      </c>
      <c r="M110" s="3">
        <f t="shared" si="3"/>
        <v>0</v>
      </c>
      <c r="N110" t="str">
        <f t="shared" si="4"/>
        <v>August</v>
      </c>
      <c r="O110" t="str">
        <f t="shared" si="5"/>
        <v>2023</v>
      </c>
      <c r="P110" s="3">
        <f>Table1[[#This Row],[Revenue]]-Table1[[#This Row],[Cost]]</f>
        <v>0</v>
      </c>
      <c r="Q11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11" spans="1:17" x14ac:dyDescent="0.2">
      <c r="A111" t="s">
        <v>130</v>
      </c>
      <c r="B111" s="1">
        <v>45084</v>
      </c>
      <c r="C111" t="s">
        <v>12</v>
      </c>
      <c r="D111" t="s">
        <v>19</v>
      </c>
      <c r="E111" t="s">
        <v>38</v>
      </c>
      <c r="F111" t="s">
        <v>34</v>
      </c>
      <c r="G111">
        <v>2</v>
      </c>
      <c r="H111">
        <f>Table1[[#This Row],[UnitPrice]]*0.7*Table1[[#This Row],[UnitsSold]]</f>
        <v>583.52</v>
      </c>
      <c r="I111">
        <v>416.8</v>
      </c>
      <c r="J111">
        <v>0</v>
      </c>
      <c r="K111" t="s">
        <v>52</v>
      </c>
      <c r="L111" t="s">
        <v>55</v>
      </c>
      <c r="M111" s="3">
        <f t="shared" si="3"/>
        <v>833.6</v>
      </c>
      <c r="N111" t="str">
        <f t="shared" si="4"/>
        <v>June</v>
      </c>
      <c r="O111" t="str">
        <f t="shared" si="5"/>
        <v>2023</v>
      </c>
      <c r="P111" s="3">
        <f>Table1[[#This Row],[Revenue]]-Table1[[#This Row],[Cost]]</f>
        <v>250.08000000000004</v>
      </c>
      <c r="Q11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112" spans="1:17" x14ac:dyDescent="0.2">
      <c r="A112" t="s">
        <v>131</v>
      </c>
      <c r="B112" s="1">
        <v>44930</v>
      </c>
      <c r="C112" t="s">
        <v>57</v>
      </c>
      <c r="D112" t="s">
        <v>13</v>
      </c>
      <c r="E112" t="s">
        <v>38</v>
      </c>
      <c r="F112" t="s">
        <v>34</v>
      </c>
      <c r="G112">
        <v>0</v>
      </c>
      <c r="H112">
        <f>Table1[[#This Row],[UnitPrice]]*0.7*Table1[[#This Row],[UnitsSold]]</f>
        <v>0</v>
      </c>
      <c r="I112">
        <v>1069.8399999999999</v>
      </c>
      <c r="J112">
        <v>0</v>
      </c>
      <c r="K112" t="s">
        <v>52</v>
      </c>
      <c r="L112" t="s">
        <v>27</v>
      </c>
      <c r="M112" s="3">
        <f t="shared" si="3"/>
        <v>0</v>
      </c>
      <c r="N112" t="str">
        <f t="shared" si="4"/>
        <v>January</v>
      </c>
      <c r="O112" t="str">
        <f t="shared" si="5"/>
        <v>2023</v>
      </c>
      <c r="P112" s="3">
        <f>Table1[[#This Row],[Revenue]]-Table1[[#This Row],[Cost]]</f>
        <v>0</v>
      </c>
      <c r="Q11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13" spans="1:17" x14ac:dyDescent="0.2">
      <c r="A113" t="s">
        <v>132</v>
      </c>
      <c r="B113" s="1">
        <v>45306</v>
      </c>
      <c r="C113" t="s">
        <v>12</v>
      </c>
      <c r="D113" t="s">
        <v>83</v>
      </c>
      <c r="E113" t="s">
        <v>46</v>
      </c>
      <c r="F113" t="s">
        <v>26</v>
      </c>
      <c r="G113">
        <v>0</v>
      </c>
      <c r="H113">
        <f>Table1[[#This Row],[UnitPrice]]*0.7*Table1[[#This Row],[UnitsSold]]</f>
        <v>0</v>
      </c>
      <c r="I113">
        <v>1106.0261904761899</v>
      </c>
      <c r="J113">
        <v>0</v>
      </c>
      <c r="K113" t="s">
        <v>42</v>
      </c>
      <c r="L113" t="s">
        <v>55</v>
      </c>
      <c r="M113" s="3">
        <f t="shared" si="3"/>
        <v>0</v>
      </c>
      <c r="N113" t="str">
        <f t="shared" si="4"/>
        <v>January</v>
      </c>
      <c r="O113" t="str">
        <f t="shared" si="5"/>
        <v>2024</v>
      </c>
      <c r="P113" s="3">
        <f>Table1[[#This Row],[Revenue]]-Table1[[#This Row],[Cost]]</f>
        <v>0</v>
      </c>
      <c r="Q11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14" spans="1:17" x14ac:dyDescent="0.2">
      <c r="A114" t="s">
        <v>118</v>
      </c>
      <c r="B114" s="1">
        <v>45134</v>
      </c>
      <c r="C114" t="s">
        <v>12</v>
      </c>
      <c r="D114" t="s">
        <v>59</v>
      </c>
      <c r="E114" t="s">
        <v>247</v>
      </c>
      <c r="F114" t="s">
        <v>26</v>
      </c>
      <c r="G114">
        <v>0</v>
      </c>
      <c r="H114">
        <f>Table1[[#This Row],[UnitPrice]]*0.7*Table1[[#This Row],[UnitsSold]]</f>
        <v>0</v>
      </c>
      <c r="I114">
        <v>1840.34</v>
      </c>
      <c r="J114">
        <v>0.13</v>
      </c>
      <c r="K114" t="s">
        <v>16</v>
      </c>
      <c r="L114" t="s">
        <v>22</v>
      </c>
      <c r="M114" s="3">
        <f t="shared" si="3"/>
        <v>0</v>
      </c>
      <c r="N114" t="str">
        <f t="shared" si="4"/>
        <v>July</v>
      </c>
      <c r="O114" t="str">
        <f t="shared" si="5"/>
        <v>2023</v>
      </c>
      <c r="P114" s="3">
        <f>Table1[[#This Row],[Revenue]]-Table1[[#This Row],[Cost]]</f>
        <v>0</v>
      </c>
      <c r="Q11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15" spans="1:17" x14ac:dyDescent="0.2">
      <c r="A115" t="s">
        <v>110</v>
      </c>
      <c r="B115" s="1">
        <v>45132</v>
      </c>
      <c r="C115" t="s">
        <v>12</v>
      </c>
      <c r="D115" t="s">
        <v>83</v>
      </c>
      <c r="E115" t="s">
        <v>25</v>
      </c>
      <c r="F115" t="s">
        <v>26</v>
      </c>
      <c r="G115">
        <v>11</v>
      </c>
      <c r="H115">
        <f>Table1[[#This Row],[UnitPrice]]*0.7*Table1[[#This Row],[UnitsSold]]</f>
        <v>5180.6369999999988</v>
      </c>
      <c r="I115">
        <v>672.81</v>
      </c>
      <c r="J115">
        <v>0</v>
      </c>
      <c r="K115" t="s">
        <v>16</v>
      </c>
      <c r="L115" t="s">
        <v>17</v>
      </c>
      <c r="M115" s="3">
        <f t="shared" si="3"/>
        <v>7400.91</v>
      </c>
      <c r="N115" t="str">
        <f t="shared" si="4"/>
        <v>July</v>
      </c>
      <c r="O115" t="str">
        <f t="shared" si="5"/>
        <v>2023</v>
      </c>
      <c r="P115" s="3">
        <f>Table1[[#This Row],[Revenue]]-Table1[[#This Row],[Cost]]</f>
        <v>2220.273000000001</v>
      </c>
      <c r="Q11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116" spans="1:17" x14ac:dyDescent="0.2">
      <c r="A116" t="s">
        <v>80</v>
      </c>
      <c r="B116" s="1">
        <v>45026</v>
      </c>
      <c r="C116" t="s">
        <v>29</v>
      </c>
      <c r="D116" t="s">
        <v>59</v>
      </c>
      <c r="E116" t="s">
        <v>48</v>
      </c>
      <c r="F116" t="s">
        <v>39</v>
      </c>
      <c r="G116">
        <v>8</v>
      </c>
      <c r="H116">
        <f>Table1[[#This Row],[UnitPrice]]*0.7*Table1[[#This Row],[UnitsSold]]</f>
        <v>1687.952</v>
      </c>
      <c r="I116">
        <v>301.42</v>
      </c>
      <c r="J116">
        <v>0.05</v>
      </c>
      <c r="K116" t="s">
        <v>283</v>
      </c>
      <c r="L116" t="s">
        <v>27</v>
      </c>
      <c r="M116" s="3">
        <f t="shared" si="3"/>
        <v>2290.7919999999999</v>
      </c>
      <c r="N116" t="str">
        <f t="shared" si="4"/>
        <v>April</v>
      </c>
      <c r="O116" t="str">
        <f t="shared" si="5"/>
        <v>2023</v>
      </c>
      <c r="P116" s="3">
        <f>Table1[[#This Row],[Revenue]]-Table1[[#This Row],[Cost]]</f>
        <v>602.83999999999992</v>
      </c>
      <c r="Q116" s="6">
        <f>IF(Table1[[#This Row],[UnitsSold]]*Table1[[#This Row],[UnitPrice]]*(1-Table1[[#This Row],[Discount]])=0, 0, ((Table1[[#This Row],[UnitsSold]]*Table1[[#This Row],[UnitPrice]]*(1-Table1[[#This Row],[Discount]])) - (Table1[[#This Row],[UnitsSold]]*Table1[[#This Row],[UnitPrice]]*0.7)) / (Table1[[#This Row],[UnitsSold]]*Table1[[#This Row],[UnitPrice]]*(1-Table1[[#This Row],[Discount]])))</f>
        <v>0.26315789473684209</v>
      </c>
    </row>
    <row r="117" spans="1:17" x14ac:dyDescent="0.2">
      <c r="A117" t="s">
        <v>75</v>
      </c>
      <c r="B117" s="1">
        <v>45322</v>
      </c>
      <c r="C117" t="s">
        <v>57</v>
      </c>
      <c r="D117" t="s">
        <v>83</v>
      </c>
      <c r="E117" t="s">
        <v>25</v>
      </c>
      <c r="F117" t="s">
        <v>26</v>
      </c>
      <c r="G117">
        <v>0</v>
      </c>
      <c r="H117">
        <f>Table1[[#This Row],[UnitPrice]]*0.7*Table1[[#This Row],[UnitsSold]]</f>
        <v>0</v>
      </c>
      <c r="I117">
        <v>961.05661016949136</v>
      </c>
      <c r="J117">
        <v>0</v>
      </c>
      <c r="K117" t="s">
        <v>52</v>
      </c>
      <c r="L117" t="s">
        <v>55</v>
      </c>
      <c r="M117" s="3">
        <f t="shared" si="3"/>
        <v>0</v>
      </c>
      <c r="N117" t="str">
        <f t="shared" si="4"/>
        <v>January</v>
      </c>
      <c r="O117" t="str">
        <f t="shared" si="5"/>
        <v>2024</v>
      </c>
      <c r="P117" s="3">
        <f>Table1[[#This Row],[Revenue]]-Table1[[#This Row],[Cost]]</f>
        <v>0</v>
      </c>
      <c r="Q11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18" spans="1:17" x14ac:dyDescent="0.2">
      <c r="A118" t="s">
        <v>133</v>
      </c>
      <c r="B118" s="1">
        <v>45152</v>
      </c>
      <c r="C118" t="s">
        <v>12</v>
      </c>
      <c r="D118" t="s">
        <v>83</v>
      </c>
      <c r="E118" t="s">
        <v>38</v>
      </c>
      <c r="F118" t="s">
        <v>34</v>
      </c>
      <c r="G118">
        <v>0</v>
      </c>
      <c r="H118">
        <f>Table1[[#This Row],[UnitPrice]]*0.7*Table1[[#This Row],[UnitsSold]]</f>
        <v>0</v>
      </c>
      <c r="I118">
        <v>936.79681818181825</v>
      </c>
      <c r="J118">
        <v>0</v>
      </c>
      <c r="K118" t="s">
        <v>42</v>
      </c>
      <c r="L118" t="s">
        <v>27</v>
      </c>
      <c r="M118" s="3">
        <f t="shared" si="3"/>
        <v>0</v>
      </c>
      <c r="N118" t="str">
        <f t="shared" si="4"/>
        <v>August</v>
      </c>
      <c r="O118" t="str">
        <f t="shared" si="5"/>
        <v>2023</v>
      </c>
      <c r="P118" s="3">
        <f>Table1[[#This Row],[Revenue]]-Table1[[#This Row],[Cost]]</f>
        <v>0</v>
      </c>
      <c r="Q11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19" spans="1:17" x14ac:dyDescent="0.2">
      <c r="A119" t="s">
        <v>53</v>
      </c>
      <c r="B119" s="1">
        <v>45115</v>
      </c>
      <c r="C119" t="s">
        <v>24</v>
      </c>
      <c r="D119" t="s">
        <v>19</v>
      </c>
      <c r="E119" t="s">
        <v>48</v>
      </c>
      <c r="F119" t="s">
        <v>39</v>
      </c>
      <c r="G119">
        <v>0</v>
      </c>
      <c r="H119">
        <f>Table1[[#This Row],[UnitPrice]]*0.7*Table1[[#This Row],[UnitsSold]]</f>
        <v>0</v>
      </c>
      <c r="I119">
        <v>1017.3087234042553</v>
      </c>
      <c r="J119">
        <v>0</v>
      </c>
      <c r="K119" t="s">
        <v>16</v>
      </c>
      <c r="L119" t="s">
        <v>22</v>
      </c>
      <c r="M119" s="3">
        <f t="shared" si="3"/>
        <v>0</v>
      </c>
      <c r="N119" t="str">
        <f t="shared" si="4"/>
        <v>July</v>
      </c>
      <c r="O119" t="str">
        <f t="shared" si="5"/>
        <v>2023</v>
      </c>
      <c r="P119" s="3">
        <f>Table1[[#This Row],[Revenue]]-Table1[[#This Row],[Cost]]</f>
        <v>0</v>
      </c>
      <c r="Q11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20" spans="1:17" x14ac:dyDescent="0.2">
      <c r="A120" t="s">
        <v>134</v>
      </c>
      <c r="B120" s="1">
        <v>45260</v>
      </c>
      <c r="C120" t="s">
        <v>37</v>
      </c>
      <c r="D120" t="s">
        <v>59</v>
      </c>
      <c r="E120" t="s">
        <v>44</v>
      </c>
      <c r="F120" t="s">
        <v>26</v>
      </c>
      <c r="G120">
        <v>17</v>
      </c>
      <c r="H120">
        <f>Table1[[#This Row],[UnitPrice]]*0.7*Table1[[#This Row],[UnitsSold]]</f>
        <v>12846.9614893617</v>
      </c>
      <c r="I120">
        <v>1079.5765957446808</v>
      </c>
      <c r="J120">
        <v>0</v>
      </c>
      <c r="K120" t="s">
        <v>283</v>
      </c>
      <c r="L120" t="s">
        <v>27</v>
      </c>
      <c r="M120" s="3">
        <f t="shared" si="3"/>
        <v>18352.802127659575</v>
      </c>
      <c r="N120" t="str">
        <f t="shared" si="4"/>
        <v>November</v>
      </c>
      <c r="O120" t="str">
        <f t="shared" si="5"/>
        <v>2023</v>
      </c>
      <c r="P120" s="3">
        <f>Table1[[#This Row],[Revenue]]-Table1[[#This Row],[Cost]]</f>
        <v>5505.8406382978756</v>
      </c>
      <c r="Q12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121" spans="1:17" x14ac:dyDescent="0.2">
      <c r="A121" t="s">
        <v>91</v>
      </c>
      <c r="B121" s="1">
        <v>45257</v>
      </c>
      <c r="C121" t="s">
        <v>246</v>
      </c>
      <c r="D121" t="s">
        <v>19</v>
      </c>
      <c r="E121" t="s">
        <v>247</v>
      </c>
      <c r="F121" t="s">
        <v>26</v>
      </c>
      <c r="G121">
        <v>0</v>
      </c>
      <c r="H121">
        <f>Table1[[#This Row],[UnitPrice]]*0.7*Table1[[#This Row],[UnitsSold]]</f>
        <v>0</v>
      </c>
      <c r="I121">
        <v>1050.27</v>
      </c>
      <c r="J121">
        <v>0</v>
      </c>
      <c r="K121" t="s">
        <v>42</v>
      </c>
      <c r="L121" t="s">
        <v>22</v>
      </c>
      <c r="M121" s="3">
        <f t="shared" si="3"/>
        <v>0</v>
      </c>
      <c r="N121" t="str">
        <f t="shared" si="4"/>
        <v>November</v>
      </c>
      <c r="O121" t="str">
        <f t="shared" si="5"/>
        <v>2023</v>
      </c>
      <c r="P121" s="3">
        <f>Table1[[#This Row],[Revenue]]-Table1[[#This Row],[Cost]]</f>
        <v>0</v>
      </c>
      <c r="Q12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22" spans="1:17" x14ac:dyDescent="0.2">
      <c r="A122" t="s">
        <v>129</v>
      </c>
      <c r="B122" s="1">
        <v>45100</v>
      </c>
      <c r="C122" t="s">
        <v>12</v>
      </c>
      <c r="D122" t="s">
        <v>267</v>
      </c>
      <c r="E122" t="s">
        <v>48</v>
      </c>
      <c r="F122" t="s">
        <v>39</v>
      </c>
      <c r="G122">
        <v>0</v>
      </c>
      <c r="H122">
        <f>Table1[[#This Row],[UnitPrice]]*0.7*Table1[[#This Row],[UnitsSold]]</f>
        <v>0</v>
      </c>
      <c r="I122">
        <v>1017.3087234042553</v>
      </c>
      <c r="J122">
        <v>0</v>
      </c>
      <c r="K122" t="s">
        <v>283</v>
      </c>
      <c r="L122" t="s">
        <v>17</v>
      </c>
      <c r="M122" s="3">
        <f t="shared" si="3"/>
        <v>0</v>
      </c>
      <c r="N122" t="str">
        <f t="shared" si="4"/>
        <v>June</v>
      </c>
      <c r="O122" t="str">
        <f t="shared" si="5"/>
        <v>2023</v>
      </c>
      <c r="P122" s="3">
        <f>Table1[[#This Row],[Revenue]]-Table1[[#This Row],[Cost]]</f>
        <v>0</v>
      </c>
      <c r="Q12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23" spans="1:17" x14ac:dyDescent="0.2">
      <c r="A123" t="s">
        <v>133</v>
      </c>
      <c r="B123" s="1">
        <v>45097</v>
      </c>
      <c r="C123" t="s">
        <v>12</v>
      </c>
      <c r="D123" t="s">
        <v>31</v>
      </c>
      <c r="E123" t="s">
        <v>48</v>
      </c>
      <c r="F123" t="s">
        <v>39</v>
      </c>
      <c r="G123">
        <v>0</v>
      </c>
      <c r="H123">
        <f>Table1[[#This Row],[UnitPrice]]*0.7*Table1[[#This Row],[UnitsSold]]</f>
        <v>0</v>
      </c>
      <c r="I123">
        <v>1017.3087234042553</v>
      </c>
      <c r="J123">
        <v>0.2</v>
      </c>
      <c r="K123" t="s">
        <v>248</v>
      </c>
      <c r="L123" t="s">
        <v>27</v>
      </c>
      <c r="M123" s="3">
        <f t="shared" si="3"/>
        <v>0</v>
      </c>
      <c r="N123" t="str">
        <f t="shared" si="4"/>
        <v>June</v>
      </c>
      <c r="O123" t="str">
        <f t="shared" si="5"/>
        <v>2023</v>
      </c>
      <c r="P123" s="3">
        <f>Table1[[#This Row],[Revenue]]-Table1[[#This Row],[Cost]]</f>
        <v>0</v>
      </c>
      <c r="Q12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24" spans="1:17" x14ac:dyDescent="0.2">
      <c r="A124" t="s">
        <v>90</v>
      </c>
      <c r="B124" s="1">
        <v>45213</v>
      </c>
      <c r="C124" t="s">
        <v>57</v>
      </c>
      <c r="D124" t="s">
        <v>13</v>
      </c>
      <c r="E124" t="s">
        <v>25</v>
      </c>
      <c r="F124" t="s">
        <v>26</v>
      </c>
      <c r="G124">
        <v>0</v>
      </c>
      <c r="H124">
        <f>Table1[[#This Row],[UnitPrice]]*0.7*Table1[[#This Row],[UnitsSold]]</f>
        <v>0</v>
      </c>
      <c r="I124">
        <v>961.05661016949136</v>
      </c>
      <c r="J124">
        <v>0</v>
      </c>
      <c r="K124" t="s">
        <v>16</v>
      </c>
      <c r="L124" t="s">
        <v>22</v>
      </c>
      <c r="M124" s="3">
        <f t="shared" si="3"/>
        <v>0</v>
      </c>
      <c r="N124" t="str">
        <f t="shared" si="4"/>
        <v>October</v>
      </c>
      <c r="O124" t="str">
        <f t="shared" si="5"/>
        <v>2023</v>
      </c>
      <c r="P124" s="3">
        <f>Table1[[#This Row],[Revenue]]-Table1[[#This Row],[Cost]]</f>
        <v>0</v>
      </c>
      <c r="Q12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25" spans="1:17" x14ac:dyDescent="0.2">
      <c r="A125" t="s">
        <v>80</v>
      </c>
      <c r="B125" s="1">
        <v>45112</v>
      </c>
      <c r="C125" t="s">
        <v>12</v>
      </c>
      <c r="D125" t="s">
        <v>59</v>
      </c>
      <c r="E125" t="s">
        <v>14</v>
      </c>
      <c r="F125" t="s">
        <v>26</v>
      </c>
      <c r="G125">
        <v>0</v>
      </c>
      <c r="H125">
        <f>Table1[[#This Row],[UnitPrice]]*0.7*Table1[[#This Row],[UnitsSold]]</f>
        <v>0</v>
      </c>
      <c r="I125">
        <v>1002.870425531915</v>
      </c>
      <c r="J125">
        <v>0.06</v>
      </c>
      <c r="K125" t="s">
        <v>16</v>
      </c>
      <c r="L125" t="s">
        <v>27</v>
      </c>
      <c r="M125" s="3">
        <f t="shared" si="3"/>
        <v>0</v>
      </c>
      <c r="N125" t="str">
        <f t="shared" si="4"/>
        <v>July</v>
      </c>
      <c r="O125" t="str">
        <f t="shared" si="5"/>
        <v>2023</v>
      </c>
      <c r="P125" s="3">
        <f>Table1[[#This Row],[Revenue]]-Table1[[#This Row],[Cost]]</f>
        <v>0</v>
      </c>
      <c r="Q12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26" spans="1:17" x14ac:dyDescent="0.2">
      <c r="A126" t="s">
        <v>30</v>
      </c>
      <c r="B126" s="1">
        <v>44978</v>
      </c>
      <c r="C126" t="s">
        <v>12</v>
      </c>
      <c r="D126" t="s">
        <v>13</v>
      </c>
      <c r="E126" t="s">
        <v>14</v>
      </c>
      <c r="F126" t="s">
        <v>26</v>
      </c>
      <c r="G126">
        <v>0</v>
      </c>
      <c r="H126">
        <f>Table1[[#This Row],[UnitPrice]]*0.7*Table1[[#This Row],[UnitsSold]]</f>
        <v>0</v>
      </c>
      <c r="I126">
        <v>759.67</v>
      </c>
      <c r="J126">
        <v>0</v>
      </c>
      <c r="K126" t="s">
        <v>248</v>
      </c>
      <c r="L126" t="s">
        <v>249</v>
      </c>
      <c r="M126" s="3">
        <f t="shared" si="3"/>
        <v>0</v>
      </c>
      <c r="N126" t="str">
        <f t="shared" si="4"/>
        <v>February</v>
      </c>
      <c r="O126" t="str">
        <f t="shared" si="5"/>
        <v>2023</v>
      </c>
      <c r="P126" s="3">
        <f>Table1[[#This Row],[Revenue]]-Table1[[#This Row],[Cost]]</f>
        <v>0</v>
      </c>
      <c r="Q12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27" spans="1:17" x14ac:dyDescent="0.2">
      <c r="A127" t="s">
        <v>135</v>
      </c>
      <c r="B127" s="1">
        <v>45151</v>
      </c>
      <c r="C127" t="s">
        <v>12</v>
      </c>
      <c r="D127" t="s">
        <v>83</v>
      </c>
      <c r="E127" t="s">
        <v>14</v>
      </c>
      <c r="F127" t="s">
        <v>26</v>
      </c>
      <c r="G127">
        <v>0</v>
      </c>
      <c r="H127">
        <f>Table1[[#This Row],[UnitPrice]]*0.7*Table1[[#This Row],[UnitsSold]]</f>
        <v>0</v>
      </c>
      <c r="I127">
        <v>1002.870425531915</v>
      </c>
      <c r="J127">
        <v>0.24</v>
      </c>
      <c r="K127" t="s">
        <v>248</v>
      </c>
      <c r="L127" t="s">
        <v>249</v>
      </c>
      <c r="M127" s="3">
        <f t="shared" si="3"/>
        <v>0</v>
      </c>
      <c r="N127" t="str">
        <f t="shared" si="4"/>
        <v>August</v>
      </c>
      <c r="O127" t="str">
        <f t="shared" si="5"/>
        <v>2023</v>
      </c>
      <c r="P127" s="3">
        <f>Table1[[#This Row],[Revenue]]-Table1[[#This Row],[Cost]]</f>
        <v>0</v>
      </c>
      <c r="Q12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28" spans="1:17" x14ac:dyDescent="0.2">
      <c r="A128" t="s">
        <v>90</v>
      </c>
      <c r="B128" s="1">
        <v>45167</v>
      </c>
      <c r="C128" t="s">
        <v>37</v>
      </c>
      <c r="D128" t="s">
        <v>59</v>
      </c>
      <c r="E128" t="s">
        <v>48</v>
      </c>
      <c r="F128" t="s">
        <v>39</v>
      </c>
      <c r="G128">
        <v>0</v>
      </c>
      <c r="H128">
        <f>Table1[[#This Row],[UnitPrice]]*0.7*Table1[[#This Row],[UnitsSold]]</f>
        <v>0</v>
      </c>
      <c r="I128">
        <v>1017.3087234042553</v>
      </c>
      <c r="J128">
        <v>0</v>
      </c>
      <c r="K128" t="s">
        <v>16</v>
      </c>
      <c r="L128" t="s">
        <v>249</v>
      </c>
      <c r="M128" s="3">
        <f t="shared" si="3"/>
        <v>0</v>
      </c>
      <c r="N128" t="str">
        <f t="shared" si="4"/>
        <v>August</v>
      </c>
      <c r="O128" t="str">
        <f t="shared" si="5"/>
        <v>2023</v>
      </c>
      <c r="P128" s="3">
        <f>Table1[[#This Row],[Revenue]]-Table1[[#This Row],[Cost]]</f>
        <v>0</v>
      </c>
      <c r="Q12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29" spans="1:17" x14ac:dyDescent="0.2">
      <c r="A129" t="s">
        <v>136</v>
      </c>
      <c r="B129" s="1">
        <v>44997</v>
      </c>
      <c r="C129" t="s">
        <v>24</v>
      </c>
      <c r="D129" t="s">
        <v>19</v>
      </c>
      <c r="E129" t="s">
        <v>48</v>
      </c>
      <c r="F129" t="s">
        <v>39</v>
      </c>
      <c r="G129">
        <v>0</v>
      </c>
      <c r="H129">
        <f>Table1[[#This Row],[UnitPrice]]*0.7*Table1[[#This Row],[UnitsSold]]</f>
        <v>0</v>
      </c>
      <c r="I129">
        <v>1017.3087234042553</v>
      </c>
      <c r="J129">
        <v>0.25</v>
      </c>
      <c r="K129" t="s">
        <v>52</v>
      </c>
      <c r="L129" t="s">
        <v>27</v>
      </c>
      <c r="M129" s="3">
        <f t="shared" si="3"/>
        <v>0</v>
      </c>
      <c r="N129" t="str">
        <f t="shared" si="4"/>
        <v>March</v>
      </c>
      <c r="O129" t="str">
        <f t="shared" si="5"/>
        <v>2023</v>
      </c>
      <c r="P129" s="3">
        <f>Table1[[#This Row],[Revenue]]-Table1[[#This Row],[Cost]]</f>
        <v>0</v>
      </c>
      <c r="Q12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30" spans="1:17" x14ac:dyDescent="0.2">
      <c r="A130" t="s">
        <v>99</v>
      </c>
      <c r="B130" s="1">
        <v>45009</v>
      </c>
      <c r="C130" t="s">
        <v>24</v>
      </c>
      <c r="D130" t="s">
        <v>83</v>
      </c>
      <c r="E130" t="s">
        <v>44</v>
      </c>
      <c r="F130" t="s">
        <v>26</v>
      </c>
      <c r="G130">
        <v>14</v>
      </c>
      <c r="H130">
        <f>Table1[[#This Row],[UnitPrice]]*0.7*Table1[[#This Row],[UnitsSold]]</f>
        <v>18554.928</v>
      </c>
      <c r="I130">
        <v>1893.36</v>
      </c>
      <c r="J130">
        <v>0</v>
      </c>
      <c r="K130" t="s">
        <v>16</v>
      </c>
      <c r="L130" t="s">
        <v>22</v>
      </c>
      <c r="M130" s="3">
        <f t="shared" ref="M130:M193" si="6">G130*I130*(1-J130)</f>
        <v>26507.039999999997</v>
      </c>
      <c r="N130" t="str">
        <f t="shared" ref="N130:N193" si="7">TEXT(B130, "mmmm")</f>
        <v>March</v>
      </c>
      <c r="O130" t="str">
        <f t="shared" ref="O130:O193" si="8">TEXT(B130, "yyyy")</f>
        <v>2023</v>
      </c>
      <c r="P130" s="3">
        <f>Table1[[#This Row],[Revenue]]-Table1[[#This Row],[Cost]]</f>
        <v>7952.1119999999974</v>
      </c>
      <c r="Q13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131" spans="1:17" x14ac:dyDescent="0.2">
      <c r="A131" t="s">
        <v>137</v>
      </c>
      <c r="B131" s="1">
        <v>45129</v>
      </c>
      <c r="C131" t="s">
        <v>29</v>
      </c>
      <c r="D131" t="s">
        <v>19</v>
      </c>
      <c r="E131" t="s">
        <v>38</v>
      </c>
      <c r="F131" t="s">
        <v>34</v>
      </c>
      <c r="G131">
        <v>12</v>
      </c>
      <c r="H131">
        <f>Table1[[#This Row],[UnitPrice]]*0.7*Table1[[#This Row],[UnitsSold]]</f>
        <v>555.15599999999995</v>
      </c>
      <c r="I131">
        <v>66.09</v>
      </c>
      <c r="J131">
        <v>0</v>
      </c>
      <c r="K131" t="s">
        <v>52</v>
      </c>
      <c r="L131" t="s">
        <v>249</v>
      </c>
      <c r="M131" s="3">
        <f t="shared" si="6"/>
        <v>793.08</v>
      </c>
      <c r="N131" t="str">
        <f t="shared" si="7"/>
        <v>July</v>
      </c>
      <c r="O131" t="str">
        <f t="shared" si="8"/>
        <v>2023</v>
      </c>
      <c r="P131" s="3">
        <f>Table1[[#This Row],[Revenue]]-Table1[[#This Row],[Cost]]</f>
        <v>237.92400000000009</v>
      </c>
      <c r="Q13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132" spans="1:17" x14ac:dyDescent="0.2">
      <c r="A132" t="s">
        <v>138</v>
      </c>
      <c r="B132" s="1">
        <v>44946</v>
      </c>
      <c r="C132" t="s">
        <v>24</v>
      </c>
      <c r="D132" t="s">
        <v>267</v>
      </c>
      <c r="E132" t="s">
        <v>38</v>
      </c>
      <c r="F132" t="s">
        <v>34</v>
      </c>
      <c r="G132">
        <v>0</v>
      </c>
      <c r="H132">
        <f>Table1[[#This Row],[UnitPrice]]*0.7*Table1[[#This Row],[UnitsSold]]</f>
        <v>0</v>
      </c>
      <c r="I132">
        <v>1234.54</v>
      </c>
      <c r="J132">
        <v>0.01</v>
      </c>
      <c r="K132" t="s">
        <v>16</v>
      </c>
      <c r="L132" t="s">
        <v>17</v>
      </c>
      <c r="M132" s="3">
        <f t="shared" si="6"/>
        <v>0</v>
      </c>
      <c r="N132" t="str">
        <f t="shared" si="7"/>
        <v>January</v>
      </c>
      <c r="O132" t="str">
        <f t="shared" si="8"/>
        <v>2023</v>
      </c>
      <c r="P132" s="3">
        <f>Table1[[#This Row],[Revenue]]-Table1[[#This Row],[Cost]]</f>
        <v>0</v>
      </c>
      <c r="Q13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33" spans="1:17" x14ac:dyDescent="0.2">
      <c r="A133" t="s">
        <v>139</v>
      </c>
      <c r="B133" s="1">
        <v>45238</v>
      </c>
      <c r="C133" t="s">
        <v>57</v>
      </c>
      <c r="D133" t="s">
        <v>19</v>
      </c>
      <c r="E133" t="s">
        <v>25</v>
      </c>
      <c r="F133" t="s">
        <v>26</v>
      </c>
      <c r="G133">
        <v>0</v>
      </c>
      <c r="H133">
        <f>Table1[[#This Row],[UnitPrice]]*0.7*Table1[[#This Row],[UnitsSold]]</f>
        <v>0</v>
      </c>
      <c r="I133">
        <v>252.48</v>
      </c>
      <c r="J133">
        <v>0</v>
      </c>
      <c r="K133" t="s">
        <v>42</v>
      </c>
      <c r="L133" t="s">
        <v>27</v>
      </c>
      <c r="M133" s="3">
        <f t="shared" si="6"/>
        <v>0</v>
      </c>
      <c r="N133" t="str">
        <f t="shared" si="7"/>
        <v>November</v>
      </c>
      <c r="O133" t="str">
        <f t="shared" si="8"/>
        <v>2023</v>
      </c>
      <c r="P133" s="3">
        <f>Table1[[#This Row],[Revenue]]-Table1[[#This Row],[Cost]]</f>
        <v>0</v>
      </c>
      <c r="Q13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34" spans="1:17" x14ac:dyDescent="0.2">
      <c r="A134" t="s">
        <v>122</v>
      </c>
      <c r="B134" s="1">
        <v>45182</v>
      </c>
      <c r="C134" t="s">
        <v>12</v>
      </c>
      <c r="D134" t="s">
        <v>13</v>
      </c>
      <c r="E134" t="s">
        <v>44</v>
      </c>
      <c r="F134" t="s">
        <v>26</v>
      </c>
      <c r="G134">
        <v>0</v>
      </c>
      <c r="H134">
        <f>Table1[[#This Row],[UnitPrice]]*0.7*Table1[[#This Row],[UnitsSold]]</f>
        <v>0</v>
      </c>
      <c r="I134">
        <v>1079.5765957446808</v>
      </c>
      <c r="J134">
        <v>0</v>
      </c>
      <c r="K134" t="s">
        <v>16</v>
      </c>
      <c r="L134" t="s">
        <v>17</v>
      </c>
      <c r="M134" s="3">
        <f t="shared" si="6"/>
        <v>0</v>
      </c>
      <c r="N134" t="str">
        <f t="shared" si="7"/>
        <v>September</v>
      </c>
      <c r="O134" t="str">
        <f t="shared" si="8"/>
        <v>2023</v>
      </c>
      <c r="P134" s="3">
        <f>Table1[[#This Row],[Revenue]]-Table1[[#This Row],[Cost]]</f>
        <v>0</v>
      </c>
      <c r="Q13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35" spans="1:17" x14ac:dyDescent="0.2">
      <c r="A135" t="s">
        <v>140</v>
      </c>
      <c r="B135" s="1">
        <v>45022</v>
      </c>
      <c r="C135" t="s">
        <v>12</v>
      </c>
      <c r="D135" t="s">
        <v>31</v>
      </c>
      <c r="E135" t="s">
        <v>14</v>
      </c>
      <c r="F135" t="s">
        <v>26</v>
      </c>
      <c r="G135">
        <v>0</v>
      </c>
      <c r="H135">
        <f>Table1[[#This Row],[UnitPrice]]*0.7*Table1[[#This Row],[UnitsSold]]</f>
        <v>0</v>
      </c>
      <c r="I135">
        <v>1002.870425531915</v>
      </c>
      <c r="J135">
        <v>0</v>
      </c>
      <c r="K135" t="s">
        <v>42</v>
      </c>
      <c r="L135" t="s">
        <v>27</v>
      </c>
      <c r="M135" s="3">
        <f t="shared" si="6"/>
        <v>0</v>
      </c>
      <c r="N135" t="str">
        <f t="shared" si="7"/>
        <v>April</v>
      </c>
      <c r="O135" t="str">
        <f t="shared" si="8"/>
        <v>2023</v>
      </c>
      <c r="P135" s="3">
        <f>Table1[[#This Row],[Revenue]]-Table1[[#This Row],[Cost]]</f>
        <v>0</v>
      </c>
      <c r="Q13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36" spans="1:17" x14ac:dyDescent="0.2">
      <c r="A136" t="s">
        <v>69</v>
      </c>
      <c r="B136" s="1">
        <v>45125</v>
      </c>
      <c r="C136" t="s">
        <v>29</v>
      </c>
      <c r="D136" t="s">
        <v>59</v>
      </c>
      <c r="E136" t="s">
        <v>48</v>
      </c>
      <c r="F136" t="s">
        <v>39</v>
      </c>
      <c r="G136">
        <v>12</v>
      </c>
      <c r="H136">
        <f>Table1[[#This Row],[UnitPrice]]*0.7*Table1[[#This Row],[UnitsSold]]</f>
        <v>8545.3932765957434</v>
      </c>
      <c r="I136">
        <v>1017.3087234042553</v>
      </c>
      <c r="J136">
        <v>0.2</v>
      </c>
      <c r="K136" t="s">
        <v>248</v>
      </c>
      <c r="L136" t="s">
        <v>55</v>
      </c>
      <c r="M136" s="3">
        <f t="shared" si="6"/>
        <v>9766.1637446808509</v>
      </c>
      <c r="N136" t="str">
        <f t="shared" si="7"/>
        <v>July</v>
      </c>
      <c r="O136" t="str">
        <f t="shared" si="8"/>
        <v>2023</v>
      </c>
      <c r="P136" s="3">
        <f>Table1[[#This Row],[Revenue]]-Table1[[#This Row],[Cost]]</f>
        <v>1220.7704680851075</v>
      </c>
      <c r="Q136" s="6">
        <f>IF(Table1[[#This Row],[UnitsSold]]*Table1[[#This Row],[UnitPrice]]*(1-Table1[[#This Row],[Discount]])=0, 0, ((Table1[[#This Row],[UnitsSold]]*Table1[[#This Row],[UnitPrice]]*(1-Table1[[#This Row],[Discount]])) - (Table1[[#This Row],[UnitsSold]]*Table1[[#This Row],[UnitPrice]]*0.7)) / (Table1[[#This Row],[UnitsSold]]*Table1[[#This Row],[UnitPrice]]*(1-Table1[[#This Row],[Discount]])))</f>
        <v>0.12499999999999993</v>
      </c>
    </row>
    <row r="137" spans="1:17" x14ac:dyDescent="0.2">
      <c r="A137" t="s">
        <v>141</v>
      </c>
      <c r="B137" s="1">
        <v>44949</v>
      </c>
      <c r="C137" t="s">
        <v>29</v>
      </c>
      <c r="D137" t="s">
        <v>31</v>
      </c>
      <c r="E137" t="s">
        <v>14</v>
      </c>
      <c r="F137" t="s">
        <v>26</v>
      </c>
      <c r="G137">
        <v>0</v>
      </c>
      <c r="H137">
        <f>Table1[[#This Row],[UnitPrice]]*0.7*Table1[[#This Row],[UnitsSold]]</f>
        <v>0</v>
      </c>
      <c r="I137">
        <v>962.28</v>
      </c>
      <c r="J137">
        <v>0.24</v>
      </c>
      <c r="K137" t="s">
        <v>283</v>
      </c>
      <c r="L137" t="s">
        <v>22</v>
      </c>
      <c r="M137" s="3">
        <f t="shared" si="6"/>
        <v>0</v>
      </c>
      <c r="N137" t="str">
        <f t="shared" si="7"/>
        <v>January</v>
      </c>
      <c r="O137" t="str">
        <f t="shared" si="8"/>
        <v>2023</v>
      </c>
      <c r="P137" s="3">
        <f>Table1[[#This Row],[Revenue]]-Table1[[#This Row],[Cost]]</f>
        <v>0</v>
      </c>
      <c r="Q13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38" spans="1:17" x14ac:dyDescent="0.2">
      <c r="A138" t="s">
        <v>73</v>
      </c>
      <c r="B138" s="1">
        <v>45077</v>
      </c>
      <c r="C138" t="s">
        <v>37</v>
      </c>
      <c r="D138" t="s">
        <v>19</v>
      </c>
      <c r="E138" t="s">
        <v>25</v>
      </c>
      <c r="F138" t="s">
        <v>26</v>
      </c>
      <c r="G138">
        <v>0</v>
      </c>
      <c r="H138">
        <f>Table1[[#This Row],[UnitPrice]]*0.7*Table1[[#This Row],[UnitsSold]]</f>
        <v>0</v>
      </c>
      <c r="I138">
        <v>961.05661016949136</v>
      </c>
      <c r="J138">
        <v>0</v>
      </c>
      <c r="K138" t="s">
        <v>42</v>
      </c>
      <c r="L138" t="s">
        <v>55</v>
      </c>
      <c r="M138" s="3">
        <f t="shared" si="6"/>
        <v>0</v>
      </c>
      <c r="N138" t="str">
        <f t="shared" si="7"/>
        <v>May</v>
      </c>
      <c r="O138" t="str">
        <f t="shared" si="8"/>
        <v>2023</v>
      </c>
      <c r="P138" s="3">
        <f>Table1[[#This Row],[Revenue]]-Table1[[#This Row],[Cost]]</f>
        <v>0</v>
      </c>
      <c r="Q13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39" spans="1:17" x14ac:dyDescent="0.2">
      <c r="A139" t="s">
        <v>73</v>
      </c>
      <c r="B139" s="1">
        <v>45312</v>
      </c>
      <c r="C139" t="s">
        <v>37</v>
      </c>
      <c r="D139" t="s">
        <v>59</v>
      </c>
      <c r="E139" t="s">
        <v>14</v>
      </c>
      <c r="F139" t="s">
        <v>26</v>
      </c>
      <c r="G139">
        <v>0</v>
      </c>
      <c r="H139">
        <f>Table1[[#This Row],[UnitPrice]]*0.7*Table1[[#This Row],[UnitsSold]]</f>
        <v>0</v>
      </c>
      <c r="I139">
        <v>1002.870425531915</v>
      </c>
      <c r="J139">
        <v>0</v>
      </c>
      <c r="K139" t="s">
        <v>283</v>
      </c>
      <c r="L139" t="s">
        <v>22</v>
      </c>
      <c r="M139" s="3">
        <f t="shared" si="6"/>
        <v>0</v>
      </c>
      <c r="N139" t="str">
        <f t="shared" si="7"/>
        <v>January</v>
      </c>
      <c r="O139" t="str">
        <f t="shared" si="8"/>
        <v>2024</v>
      </c>
      <c r="P139" s="3">
        <f>Table1[[#This Row],[Revenue]]-Table1[[#This Row],[Cost]]</f>
        <v>0</v>
      </c>
      <c r="Q13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40" spans="1:17" x14ac:dyDescent="0.2">
      <c r="A140" t="s">
        <v>142</v>
      </c>
      <c r="B140" s="1">
        <v>45100</v>
      </c>
      <c r="C140" t="s">
        <v>246</v>
      </c>
      <c r="D140" t="s">
        <v>83</v>
      </c>
      <c r="E140" t="s">
        <v>48</v>
      </c>
      <c r="F140" t="s">
        <v>39</v>
      </c>
      <c r="G140">
        <v>0</v>
      </c>
      <c r="H140">
        <f>Table1[[#This Row],[UnitPrice]]*0.7*Table1[[#This Row],[UnitsSold]]</f>
        <v>0</v>
      </c>
      <c r="I140">
        <v>540.77</v>
      </c>
      <c r="J140">
        <v>0.22</v>
      </c>
      <c r="K140" t="s">
        <v>42</v>
      </c>
      <c r="L140" t="s">
        <v>17</v>
      </c>
      <c r="M140" s="3">
        <f t="shared" si="6"/>
        <v>0</v>
      </c>
      <c r="N140" t="str">
        <f t="shared" si="7"/>
        <v>June</v>
      </c>
      <c r="O140" t="str">
        <f t="shared" si="8"/>
        <v>2023</v>
      </c>
      <c r="P140" s="3">
        <f>Table1[[#This Row],[Revenue]]-Table1[[#This Row],[Cost]]</f>
        <v>0</v>
      </c>
      <c r="Q14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41" spans="1:17" x14ac:dyDescent="0.2">
      <c r="A141" t="s">
        <v>143</v>
      </c>
      <c r="B141" s="1">
        <v>45206</v>
      </c>
      <c r="C141" t="s">
        <v>24</v>
      </c>
      <c r="D141" t="s">
        <v>59</v>
      </c>
      <c r="E141" t="s">
        <v>46</v>
      </c>
      <c r="F141" t="s">
        <v>26</v>
      </c>
      <c r="G141">
        <v>0</v>
      </c>
      <c r="H141">
        <f>Table1[[#This Row],[UnitPrice]]*0.7*Table1[[#This Row],[UnitsSold]]</f>
        <v>0</v>
      </c>
      <c r="I141">
        <v>1106.0261904761899</v>
      </c>
      <c r="J141">
        <v>0</v>
      </c>
      <c r="K141" t="s">
        <v>16</v>
      </c>
      <c r="L141" t="s">
        <v>22</v>
      </c>
      <c r="M141" s="3">
        <f t="shared" si="6"/>
        <v>0</v>
      </c>
      <c r="N141" t="str">
        <f t="shared" si="7"/>
        <v>October</v>
      </c>
      <c r="O141" t="str">
        <f t="shared" si="8"/>
        <v>2023</v>
      </c>
      <c r="P141" s="3">
        <f>Table1[[#This Row],[Revenue]]-Table1[[#This Row],[Cost]]</f>
        <v>0</v>
      </c>
      <c r="Q14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42" spans="1:17" x14ac:dyDescent="0.2">
      <c r="A142" t="s">
        <v>144</v>
      </c>
      <c r="B142" s="1">
        <v>45155</v>
      </c>
      <c r="C142" t="s">
        <v>12</v>
      </c>
      <c r="D142" t="s">
        <v>13</v>
      </c>
      <c r="E142" t="s">
        <v>25</v>
      </c>
      <c r="F142" t="s">
        <v>26</v>
      </c>
      <c r="G142">
        <v>0</v>
      </c>
      <c r="H142">
        <f>Table1[[#This Row],[UnitPrice]]*0.7*Table1[[#This Row],[UnitsSold]]</f>
        <v>0</v>
      </c>
      <c r="I142">
        <v>556.37</v>
      </c>
      <c r="J142">
        <v>0</v>
      </c>
      <c r="K142" t="s">
        <v>42</v>
      </c>
      <c r="L142" t="s">
        <v>55</v>
      </c>
      <c r="M142" s="3">
        <f t="shared" si="6"/>
        <v>0</v>
      </c>
      <c r="N142" t="str">
        <f t="shared" si="7"/>
        <v>August</v>
      </c>
      <c r="O142" t="str">
        <f t="shared" si="8"/>
        <v>2023</v>
      </c>
      <c r="P142" s="3">
        <f>Table1[[#This Row],[Revenue]]-Table1[[#This Row],[Cost]]</f>
        <v>0</v>
      </c>
      <c r="Q14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43" spans="1:17" x14ac:dyDescent="0.2">
      <c r="A143" t="s">
        <v>145</v>
      </c>
      <c r="B143" s="1">
        <v>45310</v>
      </c>
      <c r="C143" t="s">
        <v>246</v>
      </c>
      <c r="D143" t="s">
        <v>19</v>
      </c>
      <c r="E143" t="s">
        <v>247</v>
      </c>
      <c r="F143" t="s">
        <v>26</v>
      </c>
      <c r="G143">
        <v>15</v>
      </c>
      <c r="H143">
        <f>Table1[[#This Row],[UnitPrice]]*0.7*Table1[[#This Row],[UnitsSold]]</f>
        <v>2742.5999999999995</v>
      </c>
      <c r="I143">
        <v>261.2</v>
      </c>
      <c r="J143">
        <v>0</v>
      </c>
      <c r="K143" t="s">
        <v>52</v>
      </c>
      <c r="L143" t="s">
        <v>22</v>
      </c>
      <c r="M143" s="3">
        <f t="shared" si="6"/>
        <v>3918</v>
      </c>
      <c r="N143" t="str">
        <f t="shared" si="7"/>
        <v>January</v>
      </c>
      <c r="O143" t="str">
        <f t="shared" si="8"/>
        <v>2024</v>
      </c>
      <c r="P143" s="3">
        <f>Table1[[#This Row],[Revenue]]-Table1[[#This Row],[Cost]]</f>
        <v>1175.4000000000005</v>
      </c>
      <c r="Q143"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144" spans="1:17" x14ac:dyDescent="0.2">
      <c r="A144" t="s">
        <v>146</v>
      </c>
      <c r="B144" s="1">
        <v>44943</v>
      </c>
      <c r="C144" t="s">
        <v>246</v>
      </c>
      <c r="D144" t="s">
        <v>13</v>
      </c>
      <c r="E144" t="s">
        <v>38</v>
      </c>
      <c r="F144" t="s">
        <v>34</v>
      </c>
      <c r="G144">
        <v>0</v>
      </c>
      <c r="H144">
        <f>Table1[[#This Row],[UnitPrice]]*0.7*Table1[[#This Row],[UnitsSold]]</f>
        <v>0</v>
      </c>
      <c r="I144">
        <v>936.79681818181825</v>
      </c>
      <c r="J144">
        <v>0</v>
      </c>
      <c r="K144" t="s">
        <v>42</v>
      </c>
      <c r="L144" t="s">
        <v>55</v>
      </c>
      <c r="M144" s="3">
        <f t="shared" si="6"/>
        <v>0</v>
      </c>
      <c r="N144" t="str">
        <f t="shared" si="7"/>
        <v>January</v>
      </c>
      <c r="O144" t="str">
        <f t="shared" si="8"/>
        <v>2023</v>
      </c>
      <c r="P144" s="3">
        <f>Table1[[#This Row],[Revenue]]-Table1[[#This Row],[Cost]]</f>
        <v>0</v>
      </c>
      <c r="Q14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45" spans="1:17" x14ac:dyDescent="0.2">
      <c r="A145" t="s">
        <v>147</v>
      </c>
      <c r="B145" s="1">
        <v>45069</v>
      </c>
      <c r="C145" t="s">
        <v>37</v>
      </c>
      <c r="D145" t="s">
        <v>19</v>
      </c>
      <c r="E145" t="s">
        <v>46</v>
      </c>
      <c r="F145" t="s">
        <v>26</v>
      </c>
      <c r="G145">
        <v>0</v>
      </c>
      <c r="H145">
        <f>Table1[[#This Row],[UnitPrice]]*0.7*Table1[[#This Row],[UnitsSold]]</f>
        <v>0</v>
      </c>
      <c r="I145">
        <v>1106.0261904761899</v>
      </c>
      <c r="J145">
        <v>0</v>
      </c>
      <c r="K145" t="s">
        <v>283</v>
      </c>
      <c r="L145" t="s">
        <v>22</v>
      </c>
      <c r="M145" s="3">
        <f t="shared" si="6"/>
        <v>0</v>
      </c>
      <c r="N145" t="str">
        <f t="shared" si="7"/>
        <v>May</v>
      </c>
      <c r="O145" t="str">
        <f t="shared" si="8"/>
        <v>2023</v>
      </c>
      <c r="P145" s="3">
        <f>Table1[[#This Row],[Revenue]]-Table1[[#This Row],[Cost]]</f>
        <v>0</v>
      </c>
      <c r="Q14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46" spans="1:17" x14ac:dyDescent="0.2">
      <c r="A146" t="s">
        <v>93</v>
      </c>
      <c r="B146" s="1">
        <v>45240</v>
      </c>
      <c r="C146" t="s">
        <v>24</v>
      </c>
      <c r="D146" t="s">
        <v>13</v>
      </c>
      <c r="E146" t="s">
        <v>38</v>
      </c>
      <c r="F146" t="s">
        <v>34</v>
      </c>
      <c r="G146">
        <v>4</v>
      </c>
      <c r="H146">
        <f>Table1[[#This Row],[UnitPrice]]*0.7*Table1[[#This Row],[UnitsSold]]</f>
        <v>2623.0310909090908</v>
      </c>
      <c r="I146">
        <v>936.79681818181825</v>
      </c>
      <c r="J146">
        <v>0</v>
      </c>
      <c r="K146" t="s">
        <v>42</v>
      </c>
      <c r="L146" t="s">
        <v>27</v>
      </c>
      <c r="M146" s="3">
        <f t="shared" si="6"/>
        <v>3747.187272727273</v>
      </c>
      <c r="N146" t="str">
        <f t="shared" si="7"/>
        <v>November</v>
      </c>
      <c r="O146" t="str">
        <f t="shared" si="8"/>
        <v>2023</v>
      </c>
      <c r="P146" s="3">
        <f>Table1[[#This Row],[Revenue]]-Table1[[#This Row],[Cost]]</f>
        <v>1124.1561818181822</v>
      </c>
      <c r="Q146"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147" spans="1:17" x14ac:dyDescent="0.2">
      <c r="A147" t="s">
        <v>115</v>
      </c>
      <c r="B147" s="1">
        <v>45090</v>
      </c>
      <c r="C147" t="s">
        <v>29</v>
      </c>
      <c r="D147" t="s">
        <v>13</v>
      </c>
      <c r="E147" t="s">
        <v>46</v>
      </c>
      <c r="F147" t="s">
        <v>26</v>
      </c>
      <c r="G147">
        <v>0</v>
      </c>
      <c r="H147">
        <f>Table1[[#This Row],[UnitPrice]]*0.7*Table1[[#This Row],[UnitsSold]]</f>
        <v>0</v>
      </c>
      <c r="I147">
        <v>1783.75</v>
      </c>
      <c r="J147">
        <v>0</v>
      </c>
      <c r="K147" t="s">
        <v>283</v>
      </c>
      <c r="L147" t="s">
        <v>249</v>
      </c>
      <c r="M147" s="3">
        <f t="shared" si="6"/>
        <v>0</v>
      </c>
      <c r="N147" t="str">
        <f t="shared" si="7"/>
        <v>June</v>
      </c>
      <c r="O147" t="str">
        <f t="shared" si="8"/>
        <v>2023</v>
      </c>
      <c r="P147" s="3">
        <f>Table1[[#This Row],[Revenue]]-Table1[[#This Row],[Cost]]</f>
        <v>0</v>
      </c>
      <c r="Q14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48" spans="1:17" x14ac:dyDescent="0.2">
      <c r="A148" t="s">
        <v>148</v>
      </c>
      <c r="B148" s="1">
        <v>45187</v>
      </c>
      <c r="C148" t="s">
        <v>37</v>
      </c>
      <c r="D148" t="s">
        <v>19</v>
      </c>
      <c r="E148" t="s">
        <v>247</v>
      </c>
      <c r="F148" t="s">
        <v>26</v>
      </c>
      <c r="G148">
        <v>0</v>
      </c>
      <c r="H148">
        <f>Table1[[#This Row],[UnitPrice]]*0.7*Table1[[#This Row],[UnitsSold]]</f>
        <v>0</v>
      </c>
      <c r="I148">
        <v>981.36020408163256</v>
      </c>
      <c r="J148">
        <v>0</v>
      </c>
      <c r="K148" t="s">
        <v>248</v>
      </c>
      <c r="L148" t="s">
        <v>249</v>
      </c>
      <c r="M148" s="3">
        <f t="shared" si="6"/>
        <v>0</v>
      </c>
      <c r="N148" t="str">
        <f t="shared" si="7"/>
        <v>September</v>
      </c>
      <c r="O148" t="str">
        <f t="shared" si="8"/>
        <v>2023</v>
      </c>
      <c r="P148" s="3">
        <f>Table1[[#This Row],[Revenue]]-Table1[[#This Row],[Cost]]</f>
        <v>0</v>
      </c>
      <c r="Q14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49" spans="1:17" x14ac:dyDescent="0.2">
      <c r="A149" t="s">
        <v>68</v>
      </c>
      <c r="B149" s="1">
        <v>44971</v>
      </c>
      <c r="C149" t="s">
        <v>12</v>
      </c>
      <c r="D149" t="s">
        <v>59</v>
      </c>
      <c r="E149" t="s">
        <v>38</v>
      </c>
      <c r="F149" t="s">
        <v>34</v>
      </c>
      <c r="G149">
        <v>0</v>
      </c>
      <c r="H149">
        <f>Table1[[#This Row],[UnitPrice]]*0.7*Table1[[#This Row],[UnitsSold]]</f>
        <v>0</v>
      </c>
      <c r="I149">
        <v>936.79681818181825</v>
      </c>
      <c r="J149">
        <v>0</v>
      </c>
      <c r="K149" t="s">
        <v>283</v>
      </c>
      <c r="L149" t="s">
        <v>27</v>
      </c>
      <c r="M149" s="3">
        <f t="shared" si="6"/>
        <v>0</v>
      </c>
      <c r="N149" t="str">
        <f t="shared" si="7"/>
        <v>February</v>
      </c>
      <c r="O149" t="str">
        <f t="shared" si="8"/>
        <v>2023</v>
      </c>
      <c r="P149" s="3">
        <f>Table1[[#This Row],[Revenue]]-Table1[[#This Row],[Cost]]</f>
        <v>0</v>
      </c>
      <c r="Q14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50" spans="1:17" x14ac:dyDescent="0.2">
      <c r="A150" t="s">
        <v>149</v>
      </c>
      <c r="B150" s="1">
        <v>45165</v>
      </c>
      <c r="C150" t="s">
        <v>29</v>
      </c>
      <c r="D150" t="s">
        <v>19</v>
      </c>
      <c r="E150" t="s">
        <v>25</v>
      </c>
      <c r="F150" t="s">
        <v>26</v>
      </c>
      <c r="G150">
        <v>19</v>
      </c>
      <c r="H150">
        <f>Table1[[#This Row],[UnitPrice]]*0.7*Table1[[#This Row],[UnitsSold]]</f>
        <v>20453.936999999998</v>
      </c>
      <c r="I150">
        <v>1537.89</v>
      </c>
      <c r="J150">
        <v>0.13</v>
      </c>
      <c r="K150" t="s">
        <v>16</v>
      </c>
      <c r="L150" t="s">
        <v>17</v>
      </c>
      <c r="M150" s="3">
        <f t="shared" si="6"/>
        <v>25421.321700000004</v>
      </c>
      <c r="N150" t="str">
        <f t="shared" si="7"/>
        <v>August</v>
      </c>
      <c r="O150" t="str">
        <f t="shared" si="8"/>
        <v>2023</v>
      </c>
      <c r="P150" s="3">
        <f>Table1[[#This Row],[Revenue]]-Table1[[#This Row],[Cost]]</f>
        <v>4967.384700000006</v>
      </c>
      <c r="Q150" s="6">
        <f>IF(Table1[[#This Row],[UnitsSold]]*Table1[[#This Row],[UnitPrice]]*(1-Table1[[#This Row],[Discount]])=0, 0, ((Table1[[#This Row],[UnitsSold]]*Table1[[#This Row],[UnitPrice]]*(1-Table1[[#This Row],[Discount]])) - (Table1[[#This Row],[UnitsSold]]*Table1[[#This Row],[UnitPrice]]*0.7)) / (Table1[[#This Row],[UnitsSold]]*Table1[[#This Row],[UnitPrice]]*(1-Table1[[#This Row],[Discount]])))</f>
        <v>0.19540229885057478</v>
      </c>
    </row>
    <row r="151" spans="1:17" x14ac:dyDescent="0.2">
      <c r="A151" t="s">
        <v>50</v>
      </c>
      <c r="B151" s="1">
        <v>45082</v>
      </c>
      <c r="C151" t="s">
        <v>246</v>
      </c>
      <c r="D151" t="s">
        <v>19</v>
      </c>
      <c r="E151" t="s">
        <v>14</v>
      </c>
      <c r="F151" t="s">
        <v>26</v>
      </c>
      <c r="G151">
        <v>0</v>
      </c>
      <c r="H151">
        <f>Table1[[#This Row],[UnitPrice]]*0.7*Table1[[#This Row],[UnitsSold]]</f>
        <v>0</v>
      </c>
      <c r="I151">
        <v>1790.9</v>
      </c>
      <c r="J151">
        <v>0</v>
      </c>
      <c r="K151" t="s">
        <v>248</v>
      </c>
      <c r="L151" t="s">
        <v>55</v>
      </c>
      <c r="M151" s="3">
        <f t="shared" si="6"/>
        <v>0</v>
      </c>
      <c r="N151" t="str">
        <f t="shared" si="7"/>
        <v>June</v>
      </c>
      <c r="O151" t="str">
        <f t="shared" si="8"/>
        <v>2023</v>
      </c>
      <c r="P151" s="3">
        <f>Table1[[#This Row],[Revenue]]-Table1[[#This Row],[Cost]]</f>
        <v>0</v>
      </c>
      <c r="Q15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52" spans="1:17" x14ac:dyDescent="0.2">
      <c r="A152" t="s">
        <v>88</v>
      </c>
      <c r="B152" s="1">
        <v>45247</v>
      </c>
      <c r="C152" t="s">
        <v>24</v>
      </c>
      <c r="D152" t="s">
        <v>31</v>
      </c>
      <c r="E152" t="s">
        <v>44</v>
      </c>
      <c r="F152" t="s">
        <v>26</v>
      </c>
      <c r="G152">
        <v>0</v>
      </c>
      <c r="H152">
        <f>Table1[[#This Row],[UnitPrice]]*0.7*Table1[[#This Row],[UnitsSold]]</f>
        <v>0</v>
      </c>
      <c r="I152">
        <v>1079.5765957446808</v>
      </c>
      <c r="J152">
        <v>0</v>
      </c>
      <c r="K152" t="s">
        <v>248</v>
      </c>
      <c r="L152" t="s">
        <v>17</v>
      </c>
      <c r="M152" s="3">
        <f t="shared" si="6"/>
        <v>0</v>
      </c>
      <c r="N152" t="str">
        <f t="shared" si="7"/>
        <v>November</v>
      </c>
      <c r="O152" t="str">
        <f t="shared" si="8"/>
        <v>2023</v>
      </c>
      <c r="P152" s="3">
        <f>Table1[[#This Row],[Revenue]]-Table1[[#This Row],[Cost]]</f>
        <v>0</v>
      </c>
      <c r="Q15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53" spans="1:17" x14ac:dyDescent="0.2">
      <c r="A153" t="s">
        <v>150</v>
      </c>
      <c r="B153" s="1">
        <v>45215</v>
      </c>
      <c r="C153" t="s">
        <v>12</v>
      </c>
      <c r="D153" t="s">
        <v>267</v>
      </c>
      <c r="E153" t="s">
        <v>25</v>
      </c>
      <c r="F153" t="s">
        <v>26</v>
      </c>
      <c r="G153">
        <v>3</v>
      </c>
      <c r="H153">
        <f>Table1[[#This Row],[UnitPrice]]*0.7*Table1[[#This Row],[UnitsSold]]</f>
        <v>2018.2188813559319</v>
      </c>
      <c r="I153">
        <v>961.05661016949136</v>
      </c>
      <c r="J153">
        <v>0.08</v>
      </c>
      <c r="K153" t="s">
        <v>248</v>
      </c>
      <c r="L153" t="s">
        <v>22</v>
      </c>
      <c r="M153" s="3">
        <f t="shared" si="6"/>
        <v>2652.5162440677964</v>
      </c>
      <c r="N153" t="str">
        <f t="shared" si="7"/>
        <v>October</v>
      </c>
      <c r="O153" t="str">
        <f t="shared" si="8"/>
        <v>2023</v>
      </c>
      <c r="P153" s="3">
        <f>Table1[[#This Row],[Revenue]]-Table1[[#This Row],[Cost]]</f>
        <v>634.29736271186448</v>
      </c>
      <c r="Q153" s="6">
        <f>IF(Table1[[#This Row],[UnitsSold]]*Table1[[#This Row],[UnitPrice]]*(1-Table1[[#This Row],[Discount]])=0, 0, ((Table1[[#This Row],[UnitsSold]]*Table1[[#This Row],[UnitPrice]]*(1-Table1[[#This Row],[Discount]])) - (Table1[[#This Row],[UnitsSold]]*Table1[[#This Row],[UnitPrice]]*0.7)) / (Table1[[#This Row],[UnitsSold]]*Table1[[#This Row],[UnitPrice]]*(1-Table1[[#This Row],[Discount]])))</f>
        <v>0.23913043478260873</v>
      </c>
    </row>
    <row r="154" spans="1:17" x14ac:dyDescent="0.2">
      <c r="A154" t="s">
        <v>151</v>
      </c>
      <c r="B154" s="1">
        <v>45254</v>
      </c>
      <c r="C154" t="s">
        <v>12</v>
      </c>
      <c r="D154" t="s">
        <v>83</v>
      </c>
      <c r="E154" t="s">
        <v>48</v>
      </c>
      <c r="F154" t="s">
        <v>39</v>
      </c>
      <c r="G154">
        <v>0</v>
      </c>
      <c r="H154">
        <f>Table1[[#This Row],[UnitPrice]]*0.7*Table1[[#This Row],[UnitsSold]]</f>
        <v>0</v>
      </c>
      <c r="I154">
        <v>1017.3087234042553</v>
      </c>
      <c r="J154">
        <v>0</v>
      </c>
      <c r="K154" t="s">
        <v>42</v>
      </c>
      <c r="L154" t="s">
        <v>55</v>
      </c>
      <c r="M154" s="3">
        <f t="shared" si="6"/>
        <v>0</v>
      </c>
      <c r="N154" t="str">
        <f t="shared" si="7"/>
        <v>November</v>
      </c>
      <c r="O154" t="str">
        <f t="shared" si="8"/>
        <v>2023</v>
      </c>
      <c r="P154" s="3">
        <f>Table1[[#This Row],[Revenue]]-Table1[[#This Row],[Cost]]</f>
        <v>0</v>
      </c>
      <c r="Q15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55" spans="1:17" x14ac:dyDescent="0.2">
      <c r="A155" t="s">
        <v>125</v>
      </c>
      <c r="B155" s="1">
        <v>44964</v>
      </c>
      <c r="C155" t="s">
        <v>12</v>
      </c>
      <c r="D155" t="s">
        <v>19</v>
      </c>
      <c r="E155" t="s">
        <v>38</v>
      </c>
      <c r="F155" t="s">
        <v>34</v>
      </c>
      <c r="G155">
        <v>0</v>
      </c>
      <c r="H155">
        <f>Table1[[#This Row],[UnitPrice]]*0.7*Table1[[#This Row],[UnitsSold]]</f>
        <v>0</v>
      </c>
      <c r="I155">
        <v>936.79681818181825</v>
      </c>
      <c r="J155">
        <v>0</v>
      </c>
      <c r="K155" t="s">
        <v>52</v>
      </c>
      <c r="L155" t="s">
        <v>55</v>
      </c>
      <c r="M155" s="3">
        <f t="shared" si="6"/>
        <v>0</v>
      </c>
      <c r="N155" t="str">
        <f t="shared" si="7"/>
        <v>February</v>
      </c>
      <c r="O155" t="str">
        <f t="shared" si="8"/>
        <v>2023</v>
      </c>
      <c r="P155" s="3">
        <f>Table1[[#This Row],[Revenue]]-Table1[[#This Row],[Cost]]</f>
        <v>0</v>
      </c>
      <c r="Q15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56" spans="1:17" x14ac:dyDescent="0.2">
      <c r="A156" t="s">
        <v>98</v>
      </c>
      <c r="B156" s="1">
        <v>44993</v>
      </c>
      <c r="C156" t="s">
        <v>29</v>
      </c>
      <c r="D156" t="s">
        <v>31</v>
      </c>
      <c r="E156" t="s">
        <v>44</v>
      </c>
      <c r="F156" t="s">
        <v>26</v>
      </c>
      <c r="G156">
        <v>11</v>
      </c>
      <c r="H156">
        <f>Table1[[#This Row],[UnitPrice]]*0.7*Table1[[#This Row],[UnitsSold]]</f>
        <v>8312.7397872340407</v>
      </c>
      <c r="I156">
        <v>1079.5765957446808</v>
      </c>
      <c r="J156">
        <v>0.13</v>
      </c>
      <c r="K156" t="s">
        <v>16</v>
      </c>
      <c r="L156" t="s">
        <v>27</v>
      </c>
      <c r="M156" s="3">
        <f t="shared" si="6"/>
        <v>10331.548021276596</v>
      </c>
      <c r="N156" t="str">
        <f t="shared" si="7"/>
        <v>March</v>
      </c>
      <c r="O156" t="str">
        <f t="shared" si="8"/>
        <v>2023</v>
      </c>
      <c r="P156" s="3">
        <f>Table1[[#This Row],[Revenue]]-Table1[[#This Row],[Cost]]</f>
        <v>2018.8082340425553</v>
      </c>
      <c r="Q156" s="6">
        <f>IF(Table1[[#This Row],[UnitsSold]]*Table1[[#This Row],[UnitPrice]]*(1-Table1[[#This Row],[Discount]])=0, 0, ((Table1[[#This Row],[UnitsSold]]*Table1[[#This Row],[UnitPrice]]*(1-Table1[[#This Row],[Discount]])) - (Table1[[#This Row],[UnitsSold]]*Table1[[#This Row],[UnitPrice]]*0.7)) / (Table1[[#This Row],[UnitsSold]]*Table1[[#This Row],[UnitPrice]]*(1-Table1[[#This Row],[Discount]])))</f>
        <v>0.19540229885057475</v>
      </c>
    </row>
    <row r="157" spans="1:17" x14ac:dyDescent="0.2">
      <c r="A157" t="s">
        <v>152</v>
      </c>
      <c r="B157" s="1">
        <v>45123</v>
      </c>
      <c r="C157" t="s">
        <v>57</v>
      </c>
      <c r="D157" t="s">
        <v>19</v>
      </c>
      <c r="E157" t="s">
        <v>25</v>
      </c>
      <c r="F157" t="s">
        <v>26</v>
      </c>
      <c r="G157">
        <v>0</v>
      </c>
      <c r="H157">
        <f>Table1[[#This Row],[UnitPrice]]*0.7*Table1[[#This Row],[UnitsSold]]</f>
        <v>0</v>
      </c>
      <c r="I157">
        <v>1445.05</v>
      </c>
      <c r="J157">
        <v>0</v>
      </c>
      <c r="K157" t="s">
        <v>248</v>
      </c>
      <c r="L157" t="s">
        <v>22</v>
      </c>
      <c r="M157" s="3">
        <f t="shared" si="6"/>
        <v>0</v>
      </c>
      <c r="N157" t="str">
        <f t="shared" si="7"/>
        <v>July</v>
      </c>
      <c r="O157" t="str">
        <f t="shared" si="8"/>
        <v>2023</v>
      </c>
      <c r="P157" s="3">
        <f>Table1[[#This Row],[Revenue]]-Table1[[#This Row],[Cost]]</f>
        <v>0</v>
      </c>
      <c r="Q15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58" spans="1:17" x14ac:dyDescent="0.2">
      <c r="A158" t="s">
        <v>108</v>
      </c>
      <c r="B158" s="1">
        <v>45084</v>
      </c>
      <c r="C158" t="s">
        <v>57</v>
      </c>
      <c r="D158" t="s">
        <v>19</v>
      </c>
      <c r="E158" t="s">
        <v>46</v>
      </c>
      <c r="F158" t="s">
        <v>26</v>
      </c>
      <c r="G158">
        <v>0</v>
      </c>
      <c r="H158">
        <f>Table1[[#This Row],[UnitPrice]]*0.7*Table1[[#This Row],[UnitsSold]]</f>
        <v>0</v>
      </c>
      <c r="I158">
        <v>1933.71</v>
      </c>
      <c r="J158">
        <v>0.18</v>
      </c>
      <c r="K158" t="s">
        <v>16</v>
      </c>
      <c r="L158" t="s">
        <v>55</v>
      </c>
      <c r="M158" s="3">
        <f t="shared" si="6"/>
        <v>0</v>
      </c>
      <c r="N158" t="str">
        <f t="shared" si="7"/>
        <v>June</v>
      </c>
      <c r="O158" t="str">
        <f t="shared" si="8"/>
        <v>2023</v>
      </c>
      <c r="P158" s="3">
        <f>Table1[[#This Row],[Revenue]]-Table1[[#This Row],[Cost]]</f>
        <v>0</v>
      </c>
      <c r="Q15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59" spans="1:17" x14ac:dyDescent="0.2">
      <c r="A159" t="s">
        <v>45</v>
      </c>
      <c r="B159" s="1">
        <v>45232</v>
      </c>
      <c r="C159" t="s">
        <v>57</v>
      </c>
      <c r="D159" t="s">
        <v>59</v>
      </c>
      <c r="E159" t="s">
        <v>44</v>
      </c>
      <c r="F159" t="s">
        <v>26</v>
      </c>
      <c r="G159">
        <v>0</v>
      </c>
      <c r="H159">
        <f>Table1[[#This Row],[UnitPrice]]*0.7*Table1[[#This Row],[UnitsSold]]</f>
        <v>0</v>
      </c>
      <c r="I159">
        <v>1079.5765957446808</v>
      </c>
      <c r="J159">
        <v>0</v>
      </c>
      <c r="K159" t="s">
        <v>52</v>
      </c>
      <c r="L159" t="s">
        <v>27</v>
      </c>
      <c r="M159" s="3">
        <f t="shared" si="6"/>
        <v>0</v>
      </c>
      <c r="N159" t="str">
        <f t="shared" si="7"/>
        <v>November</v>
      </c>
      <c r="O159" t="str">
        <f t="shared" si="8"/>
        <v>2023</v>
      </c>
      <c r="P159" s="3">
        <f>Table1[[#This Row],[Revenue]]-Table1[[#This Row],[Cost]]</f>
        <v>0</v>
      </c>
      <c r="Q15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60" spans="1:17" x14ac:dyDescent="0.2">
      <c r="A160" t="s">
        <v>98</v>
      </c>
      <c r="B160" s="1">
        <v>44953</v>
      </c>
      <c r="C160" t="s">
        <v>37</v>
      </c>
      <c r="D160" t="s">
        <v>59</v>
      </c>
      <c r="E160" t="s">
        <v>44</v>
      </c>
      <c r="F160" t="s">
        <v>26</v>
      </c>
      <c r="G160">
        <v>0</v>
      </c>
      <c r="H160">
        <f>Table1[[#This Row],[UnitPrice]]*0.7*Table1[[#This Row],[UnitsSold]]</f>
        <v>0</v>
      </c>
      <c r="I160">
        <v>1079.5765957446808</v>
      </c>
      <c r="J160">
        <v>0</v>
      </c>
      <c r="K160" t="s">
        <v>283</v>
      </c>
      <c r="L160" t="s">
        <v>17</v>
      </c>
      <c r="M160" s="3">
        <f t="shared" si="6"/>
        <v>0</v>
      </c>
      <c r="N160" t="str">
        <f t="shared" si="7"/>
        <v>January</v>
      </c>
      <c r="O160" t="str">
        <f t="shared" si="8"/>
        <v>2023</v>
      </c>
      <c r="P160" s="3">
        <f>Table1[[#This Row],[Revenue]]-Table1[[#This Row],[Cost]]</f>
        <v>0</v>
      </c>
      <c r="Q16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61" spans="1:17" x14ac:dyDescent="0.2">
      <c r="A161" t="s">
        <v>131</v>
      </c>
      <c r="B161" s="1">
        <v>44992</v>
      </c>
      <c r="C161" t="s">
        <v>12</v>
      </c>
      <c r="D161" t="s">
        <v>83</v>
      </c>
      <c r="E161" t="s">
        <v>14</v>
      </c>
      <c r="F161" t="s">
        <v>26</v>
      </c>
      <c r="G161">
        <v>0</v>
      </c>
      <c r="H161">
        <f>Table1[[#This Row],[UnitPrice]]*0.7*Table1[[#This Row],[UnitsSold]]</f>
        <v>0</v>
      </c>
      <c r="I161">
        <v>1512.38</v>
      </c>
      <c r="J161">
        <v>0</v>
      </c>
      <c r="K161" t="s">
        <v>248</v>
      </c>
      <c r="L161" t="s">
        <v>27</v>
      </c>
      <c r="M161" s="3">
        <f t="shared" si="6"/>
        <v>0</v>
      </c>
      <c r="N161" t="str">
        <f t="shared" si="7"/>
        <v>March</v>
      </c>
      <c r="O161" t="str">
        <f t="shared" si="8"/>
        <v>2023</v>
      </c>
      <c r="P161" s="3">
        <f>Table1[[#This Row],[Revenue]]-Table1[[#This Row],[Cost]]</f>
        <v>0</v>
      </c>
      <c r="Q16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62" spans="1:17" x14ac:dyDescent="0.2">
      <c r="A162" t="s">
        <v>153</v>
      </c>
      <c r="B162" s="1">
        <v>44946</v>
      </c>
      <c r="C162" t="s">
        <v>246</v>
      </c>
      <c r="D162" t="s">
        <v>13</v>
      </c>
      <c r="E162" t="s">
        <v>14</v>
      </c>
      <c r="F162" t="s">
        <v>26</v>
      </c>
      <c r="G162">
        <v>0</v>
      </c>
      <c r="H162">
        <f>Table1[[#This Row],[UnitPrice]]*0.7*Table1[[#This Row],[UnitsSold]]</f>
        <v>0</v>
      </c>
      <c r="I162">
        <v>1002.870425531915</v>
      </c>
      <c r="J162">
        <v>0</v>
      </c>
      <c r="K162" t="s">
        <v>52</v>
      </c>
      <c r="L162" t="s">
        <v>249</v>
      </c>
      <c r="M162" s="3">
        <f t="shared" si="6"/>
        <v>0</v>
      </c>
      <c r="N162" t="str">
        <f t="shared" si="7"/>
        <v>January</v>
      </c>
      <c r="O162" t="str">
        <f t="shared" si="8"/>
        <v>2023</v>
      </c>
      <c r="P162" s="3">
        <f>Table1[[#This Row],[Revenue]]-Table1[[#This Row],[Cost]]</f>
        <v>0</v>
      </c>
      <c r="Q16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63" spans="1:17" x14ac:dyDescent="0.2">
      <c r="A163" t="s">
        <v>154</v>
      </c>
      <c r="B163" s="1">
        <v>45242</v>
      </c>
      <c r="C163" t="s">
        <v>24</v>
      </c>
      <c r="D163" t="s">
        <v>31</v>
      </c>
      <c r="E163" t="s">
        <v>14</v>
      </c>
      <c r="F163" t="s">
        <v>26</v>
      </c>
      <c r="G163">
        <v>0</v>
      </c>
      <c r="H163">
        <f>Table1[[#This Row],[UnitPrice]]*0.7*Table1[[#This Row],[UnitsSold]]</f>
        <v>0</v>
      </c>
      <c r="I163">
        <v>1002.870425531915</v>
      </c>
      <c r="J163">
        <v>0.09</v>
      </c>
      <c r="K163" t="s">
        <v>52</v>
      </c>
      <c r="L163" t="s">
        <v>55</v>
      </c>
      <c r="M163" s="3">
        <f t="shared" si="6"/>
        <v>0</v>
      </c>
      <c r="N163" t="str">
        <f t="shared" si="7"/>
        <v>November</v>
      </c>
      <c r="O163" t="str">
        <f t="shared" si="8"/>
        <v>2023</v>
      </c>
      <c r="P163" s="3">
        <f>Table1[[#This Row],[Revenue]]-Table1[[#This Row],[Cost]]</f>
        <v>0</v>
      </c>
      <c r="Q16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64" spans="1:17" x14ac:dyDescent="0.2">
      <c r="A164" t="s">
        <v>155</v>
      </c>
      <c r="B164" s="1">
        <v>44983</v>
      </c>
      <c r="C164" t="s">
        <v>57</v>
      </c>
      <c r="D164" t="s">
        <v>31</v>
      </c>
      <c r="E164" t="s">
        <v>14</v>
      </c>
      <c r="F164" t="s">
        <v>26</v>
      </c>
      <c r="G164">
        <v>0</v>
      </c>
      <c r="H164">
        <f>Table1[[#This Row],[UnitPrice]]*0.7*Table1[[#This Row],[UnitsSold]]</f>
        <v>0</v>
      </c>
      <c r="I164">
        <v>1002.870425531915</v>
      </c>
      <c r="J164">
        <v>0</v>
      </c>
      <c r="K164" t="s">
        <v>248</v>
      </c>
      <c r="L164" t="s">
        <v>249</v>
      </c>
      <c r="M164" s="3">
        <f t="shared" si="6"/>
        <v>0</v>
      </c>
      <c r="N164" t="str">
        <f t="shared" si="7"/>
        <v>February</v>
      </c>
      <c r="O164" t="str">
        <f t="shared" si="8"/>
        <v>2023</v>
      </c>
      <c r="P164" s="3">
        <f>Table1[[#This Row],[Revenue]]-Table1[[#This Row],[Cost]]</f>
        <v>0</v>
      </c>
      <c r="Q16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65" spans="1:17" x14ac:dyDescent="0.2">
      <c r="A165" t="s">
        <v>135</v>
      </c>
      <c r="B165" s="1">
        <v>44953</v>
      </c>
      <c r="C165" t="s">
        <v>57</v>
      </c>
      <c r="D165" t="s">
        <v>19</v>
      </c>
      <c r="E165" t="s">
        <v>44</v>
      </c>
      <c r="F165" t="s">
        <v>26</v>
      </c>
      <c r="G165">
        <v>13</v>
      </c>
      <c r="H165">
        <f>Table1[[#This Row],[UnitPrice]]*0.7*Table1[[#This Row],[UnitsSold]]</f>
        <v>14970.500999999997</v>
      </c>
      <c r="I165">
        <v>1645.11</v>
      </c>
      <c r="J165">
        <v>0</v>
      </c>
      <c r="K165" t="s">
        <v>16</v>
      </c>
      <c r="L165" t="s">
        <v>249</v>
      </c>
      <c r="M165" s="3">
        <f t="shared" si="6"/>
        <v>21386.43</v>
      </c>
      <c r="N165" t="str">
        <f t="shared" si="7"/>
        <v>January</v>
      </c>
      <c r="O165" t="str">
        <f t="shared" si="8"/>
        <v>2023</v>
      </c>
      <c r="P165" s="3">
        <f>Table1[[#This Row],[Revenue]]-Table1[[#This Row],[Cost]]</f>
        <v>6415.9290000000037</v>
      </c>
      <c r="Q16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166" spans="1:17" x14ac:dyDescent="0.2">
      <c r="A166" t="s">
        <v>156</v>
      </c>
      <c r="B166" s="1">
        <v>45152</v>
      </c>
      <c r="C166" t="s">
        <v>29</v>
      </c>
      <c r="D166" t="s">
        <v>83</v>
      </c>
      <c r="E166" t="s">
        <v>247</v>
      </c>
      <c r="F166" t="s">
        <v>26</v>
      </c>
      <c r="G166">
        <v>0</v>
      </c>
      <c r="H166">
        <f>Table1[[#This Row],[UnitPrice]]*0.7*Table1[[#This Row],[UnitsSold]]</f>
        <v>0</v>
      </c>
      <c r="I166">
        <v>981.36020408163256</v>
      </c>
      <c r="J166">
        <v>0</v>
      </c>
      <c r="K166" t="s">
        <v>283</v>
      </c>
      <c r="L166" t="s">
        <v>27</v>
      </c>
      <c r="M166" s="3">
        <f t="shared" si="6"/>
        <v>0</v>
      </c>
      <c r="N166" t="str">
        <f t="shared" si="7"/>
        <v>August</v>
      </c>
      <c r="O166" t="str">
        <f t="shared" si="8"/>
        <v>2023</v>
      </c>
      <c r="P166" s="3">
        <f>Table1[[#This Row],[Revenue]]-Table1[[#This Row],[Cost]]</f>
        <v>0</v>
      </c>
      <c r="Q16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67" spans="1:17" x14ac:dyDescent="0.2">
      <c r="A167" t="s">
        <v>157</v>
      </c>
      <c r="B167" s="1">
        <v>44997</v>
      </c>
      <c r="C167" t="s">
        <v>37</v>
      </c>
      <c r="D167" t="s">
        <v>31</v>
      </c>
      <c r="E167" t="s">
        <v>14</v>
      </c>
      <c r="F167" t="s">
        <v>26</v>
      </c>
      <c r="G167">
        <v>0</v>
      </c>
      <c r="H167">
        <f>Table1[[#This Row],[UnitPrice]]*0.7*Table1[[#This Row],[UnitsSold]]</f>
        <v>0</v>
      </c>
      <c r="I167">
        <v>634.37</v>
      </c>
      <c r="J167">
        <v>0</v>
      </c>
      <c r="K167" t="s">
        <v>52</v>
      </c>
      <c r="L167" t="s">
        <v>17</v>
      </c>
      <c r="M167" s="3">
        <f t="shared" si="6"/>
        <v>0</v>
      </c>
      <c r="N167" t="str">
        <f t="shared" si="7"/>
        <v>March</v>
      </c>
      <c r="O167" t="str">
        <f t="shared" si="8"/>
        <v>2023</v>
      </c>
      <c r="P167" s="3">
        <f>Table1[[#This Row],[Revenue]]-Table1[[#This Row],[Cost]]</f>
        <v>0</v>
      </c>
      <c r="Q16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68" spans="1:17" x14ac:dyDescent="0.2">
      <c r="A168" t="s">
        <v>127</v>
      </c>
      <c r="B168" s="1">
        <v>45273</v>
      </c>
      <c r="C168" t="s">
        <v>24</v>
      </c>
      <c r="D168" t="s">
        <v>31</v>
      </c>
      <c r="E168" t="s">
        <v>38</v>
      </c>
      <c r="F168" t="s">
        <v>34</v>
      </c>
      <c r="G168">
        <v>0</v>
      </c>
      <c r="H168">
        <f>Table1[[#This Row],[UnitPrice]]*0.7*Table1[[#This Row],[UnitsSold]]</f>
        <v>0</v>
      </c>
      <c r="I168">
        <v>1120.5899999999999</v>
      </c>
      <c r="J168">
        <v>0</v>
      </c>
      <c r="K168" t="s">
        <v>52</v>
      </c>
      <c r="L168" t="s">
        <v>249</v>
      </c>
      <c r="M168" s="3">
        <f t="shared" si="6"/>
        <v>0</v>
      </c>
      <c r="N168" t="str">
        <f t="shared" si="7"/>
        <v>December</v>
      </c>
      <c r="O168" t="str">
        <f t="shared" si="8"/>
        <v>2023</v>
      </c>
      <c r="P168" s="3">
        <f>Table1[[#This Row],[Revenue]]-Table1[[#This Row],[Cost]]</f>
        <v>0</v>
      </c>
      <c r="Q16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69" spans="1:17" x14ac:dyDescent="0.2">
      <c r="A169" t="s">
        <v>158</v>
      </c>
      <c r="B169" s="1">
        <v>45287</v>
      </c>
      <c r="C169" t="s">
        <v>57</v>
      </c>
      <c r="D169" t="s">
        <v>59</v>
      </c>
      <c r="E169" t="s">
        <v>38</v>
      </c>
      <c r="F169" t="s">
        <v>34</v>
      </c>
      <c r="G169">
        <v>0</v>
      </c>
      <c r="H169">
        <f>Table1[[#This Row],[UnitPrice]]*0.7*Table1[[#This Row],[UnitsSold]]</f>
        <v>0</v>
      </c>
      <c r="I169">
        <v>554.17999999999995</v>
      </c>
      <c r="J169">
        <v>0</v>
      </c>
      <c r="K169" t="s">
        <v>42</v>
      </c>
      <c r="L169" t="s">
        <v>22</v>
      </c>
      <c r="M169" s="3">
        <f t="shared" si="6"/>
        <v>0</v>
      </c>
      <c r="N169" t="str">
        <f t="shared" si="7"/>
        <v>December</v>
      </c>
      <c r="O169" t="str">
        <f t="shared" si="8"/>
        <v>2023</v>
      </c>
      <c r="P169" s="3">
        <f>Table1[[#This Row],[Revenue]]-Table1[[#This Row],[Cost]]</f>
        <v>0</v>
      </c>
      <c r="Q16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70" spans="1:17" x14ac:dyDescent="0.2">
      <c r="A170" t="s">
        <v>159</v>
      </c>
      <c r="B170" s="1">
        <v>45322</v>
      </c>
      <c r="C170" t="s">
        <v>246</v>
      </c>
      <c r="D170" t="s">
        <v>59</v>
      </c>
      <c r="E170" t="s">
        <v>46</v>
      </c>
      <c r="F170" t="s">
        <v>26</v>
      </c>
      <c r="G170">
        <v>0</v>
      </c>
      <c r="H170">
        <f>Table1[[#This Row],[UnitPrice]]*0.7*Table1[[#This Row],[UnitsSold]]</f>
        <v>0</v>
      </c>
      <c r="I170">
        <v>1106.0261904761899</v>
      </c>
      <c r="J170">
        <v>0</v>
      </c>
      <c r="K170" t="s">
        <v>16</v>
      </c>
      <c r="L170" t="s">
        <v>249</v>
      </c>
      <c r="M170" s="3">
        <f t="shared" si="6"/>
        <v>0</v>
      </c>
      <c r="N170" t="str">
        <f t="shared" si="7"/>
        <v>January</v>
      </c>
      <c r="O170" t="str">
        <f t="shared" si="8"/>
        <v>2024</v>
      </c>
      <c r="P170" s="3">
        <f>Table1[[#This Row],[Revenue]]-Table1[[#This Row],[Cost]]</f>
        <v>0</v>
      </c>
      <c r="Q17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71" spans="1:17" x14ac:dyDescent="0.2">
      <c r="A171" t="s">
        <v>160</v>
      </c>
      <c r="B171" s="1">
        <v>45065</v>
      </c>
      <c r="C171" t="s">
        <v>24</v>
      </c>
      <c r="D171" t="s">
        <v>19</v>
      </c>
      <c r="E171" t="s">
        <v>46</v>
      </c>
      <c r="F171" t="s">
        <v>26</v>
      </c>
      <c r="G171">
        <v>19</v>
      </c>
      <c r="H171">
        <f>Table1[[#This Row],[UnitPrice]]*0.7*Table1[[#This Row],[UnitsSold]]</f>
        <v>14710.148333333325</v>
      </c>
      <c r="I171">
        <v>1106.0261904761899</v>
      </c>
      <c r="J171">
        <v>0.27</v>
      </c>
      <c r="K171" t="s">
        <v>283</v>
      </c>
      <c r="L171" t="s">
        <v>249</v>
      </c>
      <c r="M171" s="3">
        <f t="shared" si="6"/>
        <v>15340.583261904754</v>
      </c>
      <c r="N171" t="str">
        <f t="shared" si="7"/>
        <v>May</v>
      </c>
      <c r="O171" t="str">
        <f t="shared" si="8"/>
        <v>2023</v>
      </c>
      <c r="P171" s="3">
        <f>Table1[[#This Row],[Revenue]]-Table1[[#This Row],[Cost]]</f>
        <v>630.43492857142883</v>
      </c>
      <c r="Q171" s="6">
        <f>IF(Table1[[#This Row],[UnitsSold]]*Table1[[#This Row],[UnitPrice]]*(1-Table1[[#This Row],[Discount]])=0, 0, ((Table1[[#This Row],[UnitsSold]]*Table1[[#This Row],[UnitPrice]]*(1-Table1[[#This Row],[Discount]])) - (Table1[[#This Row],[UnitsSold]]*Table1[[#This Row],[UnitPrice]]*0.7)) / (Table1[[#This Row],[UnitsSold]]*Table1[[#This Row],[UnitPrice]]*(1-Table1[[#This Row],[Discount]])))</f>
        <v>4.1095890410958943E-2</v>
      </c>
    </row>
    <row r="172" spans="1:17" x14ac:dyDescent="0.2">
      <c r="A172" t="s">
        <v>137</v>
      </c>
      <c r="B172" s="1">
        <v>44978</v>
      </c>
      <c r="C172" t="s">
        <v>57</v>
      </c>
      <c r="D172" t="s">
        <v>59</v>
      </c>
      <c r="E172" t="s">
        <v>48</v>
      </c>
      <c r="F172" t="s">
        <v>39</v>
      </c>
      <c r="G172">
        <v>0</v>
      </c>
      <c r="H172">
        <f>Table1[[#This Row],[UnitPrice]]*0.7*Table1[[#This Row],[UnitsSold]]</f>
        <v>0</v>
      </c>
      <c r="I172">
        <v>1543.82</v>
      </c>
      <c r="J172">
        <v>0.28999999999999998</v>
      </c>
      <c r="K172" t="s">
        <v>42</v>
      </c>
      <c r="L172" t="s">
        <v>22</v>
      </c>
      <c r="M172" s="3">
        <f t="shared" si="6"/>
        <v>0</v>
      </c>
      <c r="N172" t="str">
        <f t="shared" si="7"/>
        <v>February</v>
      </c>
      <c r="O172" t="str">
        <f t="shared" si="8"/>
        <v>2023</v>
      </c>
      <c r="P172" s="3">
        <f>Table1[[#This Row],[Revenue]]-Table1[[#This Row],[Cost]]</f>
        <v>0</v>
      </c>
      <c r="Q17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73" spans="1:17" x14ac:dyDescent="0.2">
      <c r="A173" t="s">
        <v>161</v>
      </c>
      <c r="B173" s="1">
        <v>45260</v>
      </c>
      <c r="C173" t="s">
        <v>37</v>
      </c>
      <c r="D173" t="s">
        <v>267</v>
      </c>
      <c r="E173" t="s">
        <v>14</v>
      </c>
      <c r="F173" t="s">
        <v>26</v>
      </c>
      <c r="G173">
        <v>0</v>
      </c>
      <c r="H173">
        <f>Table1[[#This Row],[UnitPrice]]*0.7*Table1[[#This Row],[UnitsSold]]</f>
        <v>0</v>
      </c>
      <c r="I173">
        <v>127.73</v>
      </c>
      <c r="J173">
        <v>0.2</v>
      </c>
      <c r="K173" t="s">
        <v>248</v>
      </c>
      <c r="L173" t="s">
        <v>27</v>
      </c>
      <c r="M173" s="3">
        <f t="shared" si="6"/>
        <v>0</v>
      </c>
      <c r="N173" t="str">
        <f t="shared" si="7"/>
        <v>November</v>
      </c>
      <c r="O173" t="str">
        <f t="shared" si="8"/>
        <v>2023</v>
      </c>
      <c r="P173" s="3">
        <f>Table1[[#This Row],[Revenue]]-Table1[[#This Row],[Cost]]</f>
        <v>0</v>
      </c>
      <c r="Q17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74" spans="1:17" x14ac:dyDescent="0.2">
      <c r="A174" t="s">
        <v>117</v>
      </c>
      <c r="B174" s="1">
        <v>45140</v>
      </c>
      <c r="C174" t="s">
        <v>246</v>
      </c>
      <c r="D174" t="s">
        <v>19</v>
      </c>
      <c r="E174" t="s">
        <v>25</v>
      </c>
      <c r="F174" t="s">
        <v>26</v>
      </c>
      <c r="G174">
        <v>16</v>
      </c>
      <c r="H174">
        <f>Table1[[#This Row],[UnitPrice]]*0.7*Table1[[#This Row],[UnitsSold]]</f>
        <v>10763.834033898303</v>
      </c>
      <c r="I174">
        <v>961.05661016949136</v>
      </c>
      <c r="J174">
        <v>0.26</v>
      </c>
      <c r="K174" t="s">
        <v>52</v>
      </c>
      <c r="L174" t="s">
        <v>17</v>
      </c>
      <c r="M174" s="3">
        <f t="shared" si="6"/>
        <v>11378.910264406777</v>
      </c>
      <c r="N174" t="str">
        <f t="shared" si="7"/>
        <v>August</v>
      </c>
      <c r="O174" t="str">
        <f t="shared" si="8"/>
        <v>2023</v>
      </c>
      <c r="P174" s="3">
        <f>Table1[[#This Row],[Revenue]]-Table1[[#This Row],[Cost]]</f>
        <v>615.0762305084736</v>
      </c>
      <c r="Q174" s="6">
        <f>IF(Table1[[#This Row],[UnitsSold]]*Table1[[#This Row],[UnitPrice]]*(1-Table1[[#This Row],[Discount]])=0, 0, ((Table1[[#This Row],[UnitsSold]]*Table1[[#This Row],[UnitPrice]]*(1-Table1[[#This Row],[Discount]])) - (Table1[[#This Row],[UnitsSold]]*Table1[[#This Row],[UnitPrice]]*0.7)) / (Table1[[#This Row],[UnitsSold]]*Table1[[#This Row],[UnitPrice]]*(1-Table1[[#This Row],[Discount]])))</f>
        <v>5.4054054054053981E-2</v>
      </c>
    </row>
    <row r="175" spans="1:17" x14ac:dyDescent="0.2">
      <c r="A175" t="s">
        <v>136</v>
      </c>
      <c r="B175" s="1">
        <v>44981</v>
      </c>
      <c r="C175" t="s">
        <v>29</v>
      </c>
      <c r="D175" t="s">
        <v>59</v>
      </c>
      <c r="E175" t="s">
        <v>38</v>
      </c>
      <c r="F175" t="s">
        <v>34</v>
      </c>
      <c r="G175">
        <v>0</v>
      </c>
      <c r="H175">
        <f>Table1[[#This Row],[UnitPrice]]*0.7*Table1[[#This Row],[UnitsSold]]</f>
        <v>0</v>
      </c>
      <c r="I175">
        <v>1779.63</v>
      </c>
      <c r="J175">
        <v>0</v>
      </c>
      <c r="K175" t="s">
        <v>52</v>
      </c>
      <c r="L175" t="s">
        <v>249</v>
      </c>
      <c r="M175" s="3">
        <f t="shared" si="6"/>
        <v>0</v>
      </c>
      <c r="N175" t="str">
        <f t="shared" si="7"/>
        <v>February</v>
      </c>
      <c r="O175" t="str">
        <f t="shared" si="8"/>
        <v>2023</v>
      </c>
      <c r="P175" s="3">
        <f>Table1[[#This Row],[Revenue]]-Table1[[#This Row],[Cost]]</f>
        <v>0</v>
      </c>
      <c r="Q17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76" spans="1:17" x14ac:dyDescent="0.2">
      <c r="A176" t="s">
        <v>122</v>
      </c>
      <c r="B176" s="1">
        <v>45096</v>
      </c>
      <c r="C176" t="s">
        <v>246</v>
      </c>
      <c r="D176" t="s">
        <v>13</v>
      </c>
      <c r="E176" t="s">
        <v>38</v>
      </c>
      <c r="F176" t="s">
        <v>34</v>
      </c>
      <c r="G176">
        <v>6</v>
      </c>
      <c r="H176">
        <f>Table1[[#This Row],[UnitPrice]]*0.7*Table1[[#This Row],[UnitsSold]]</f>
        <v>3934.546636363636</v>
      </c>
      <c r="I176">
        <v>936.79681818181825</v>
      </c>
      <c r="J176">
        <v>0.17</v>
      </c>
      <c r="K176" t="s">
        <v>16</v>
      </c>
      <c r="L176" t="s">
        <v>17</v>
      </c>
      <c r="M176" s="3">
        <f t="shared" si="6"/>
        <v>4665.2481545454548</v>
      </c>
      <c r="N176" t="str">
        <f t="shared" si="7"/>
        <v>June</v>
      </c>
      <c r="O176" t="str">
        <f t="shared" si="8"/>
        <v>2023</v>
      </c>
      <c r="P176" s="3">
        <f>Table1[[#This Row],[Revenue]]-Table1[[#This Row],[Cost]]</f>
        <v>730.70151818181876</v>
      </c>
      <c r="Q176" s="6">
        <f>IF(Table1[[#This Row],[UnitsSold]]*Table1[[#This Row],[UnitPrice]]*(1-Table1[[#This Row],[Discount]])=0, 0, ((Table1[[#This Row],[UnitsSold]]*Table1[[#This Row],[UnitPrice]]*(1-Table1[[#This Row],[Discount]])) - (Table1[[#This Row],[UnitsSold]]*Table1[[#This Row],[UnitPrice]]*0.7)) / (Table1[[#This Row],[UnitsSold]]*Table1[[#This Row],[UnitPrice]]*(1-Table1[[#This Row],[Discount]])))</f>
        <v>0.15662650602409639</v>
      </c>
    </row>
    <row r="177" spans="1:17" x14ac:dyDescent="0.2">
      <c r="A177" t="s">
        <v>11</v>
      </c>
      <c r="B177" s="1">
        <v>45134</v>
      </c>
      <c r="C177" t="s">
        <v>57</v>
      </c>
      <c r="D177" t="s">
        <v>31</v>
      </c>
      <c r="E177" t="s">
        <v>14</v>
      </c>
      <c r="F177" t="s">
        <v>26</v>
      </c>
      <c r="G177">
        <v>0</v>
      </c>
      <c r="H177">
        <f>Table1[[#This Row],[UnitPrice]]*0.7*Table1[[#This Row],[UnitsSold]]</f>
        <v>0</v>
      </c>
      <c r="I177">
        <v>199.82</v>
      </c>
      <c r="J177">
        <v>0.14000000000000001</v>
      </c>
      <c r="K177" t="s">
        <v>16</v>
      </c>
      <c r="L177" t="s">
        <v>55</v>
      </c>
      <c r="M177" s="3">
        <f t="shared" si="6"/>
        <v>0</v>
      </c>
      <c r="N177" t="str">
        <f t="shared" si="7"/>
        <v>July</v>
      </c>
      <c r="O177" t="str">
        <f t="shared" si="8"/>
        <v>2023</v>
      </c>
      <c r="P177" s="3">
        <f>Table1[[#This Row],[Revenue]]-Table1[[#This Row],[Cost]]</f>
        <v>0</v>
      </c>
      <c r="Q17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78" spans="1:17" x14ac:dyDescent="0.2">
      <c r="A178" t="s">
        <v>142</v>
      </c>
      <c r="B178" s="1">
        <v>45047</v>
      </c>
      <c r="C178" t="s">
        <v>57</v>
      </c>
      <c r="D178" t="s">
        <v>267</v>
      </c>
      <c r="E178" t="s">
        <v>14</v>
      </c>
      <c r="F178" t="s">
        <v>26</v>
      </c>
      <c r="G178">
        <v>0</v>
      </c>
      <c r="H178">
        <f>Table1[[#This Row],[UnitPrice]]*0.7*Table1[[#This Row],[UnitsSold]]</f>
        <v>0</v>
      </c>
      <c r="I178">
        <v>1448.54</v>
      </c>
      <c r="J178">
        <v>0</v>
      </c>
      <c r="K178" t="s">
        <v>283</v>
      </c>
      <c r="L178" t="s">
        <v>249</v>
      </c>
      <c r="M178" s="3">
        <f t="shared" si="6"/>
        <v>0</v>
      </c>
      <c r="N178" t="str">
        <f t="shared" si="7"/>
        <v>May</v>
      </c>
      <c r="O178" t="str">
        <f t="shared" si="8"/>
        <v>2023</v>
      </c>
      <c r="P178" s="3">
        <f>Table1[[#This Row],[Revenue]]-Table1[[#This Row],[Cost]]</f>
        <v>0</v>
      </c>
      <c r="Q17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79" spans="1:17" x14ac:dyDescent="0.2">
      <c r="A179" t="s">
        <v>62</v>
      </c>
      <c r="B179" s="1">
        <v>45268</v>
      </c>
      <c r="C179" t="s">
        <v>12</v>
      </c>
      <c r="D179" t="s">
        <v>83</v>
      </c>
      <c r="E179" t="s">
        <v>14</v>
      </c>
      <c r="F179" t="s">
        <v>26</v>
      </c>
      <c r="G179">
        <v>0</v>
      </c>
      <c r="H179">
        <f>Table1[[#This Row],[UnitPrice]]*0.7*Table1[[#This Row],[UnitsSold]]</f>
        <v>0</v>
      </c>
      <c r="I179">
        <v>1002.870425531915</v>
      </c>
      <c r="J179">
        <v>0</v>
      </c>
      <c r="K179" t="s">
        <v>16</v>
      </c>
      <c r="L179" t="s">
        <v>55</v>
      </c>
      <c r="M179" s="3">
        <f t="shared" si="6"/>
        <v>0</v>
      </c>
      <c r="N179" t="str">
        <f t="shared" si="7"/>
        <v>December</v>
      </c>
      <c r="O179" t="str">
        <f t="shared" si="8"/>
        <v>2023</v>
      </c>
      <c r="P179" s="3">
        <f>Table1[[#This Row],[Revenue]]-Table1[[#This Row],[Cost]]</f>
        <v>0</v>
      </c>
      <c r="Q17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80" spans="1:17" x14ac:dyDescent="0.2">
      <c r="A180" t="s">
        <v>95</v>
      </c>
      <c r="B180" s="1">
        <v>45241</v>
      </c>
      <c r="C180" t="s">
        <v>37</v>
      </c>
      <c r="D180" t="s">
        <v>19</v>
      </c>
      <c r="E180" t="s">
        <v>247</v>
      </c>
      <c r="F180" t="s">
        <v>26</v>
      </c>
      <c r="G180">
        <v>0</v>
      </c>
      <c r="H180">
        <f>Table1[[#This Row],[UnitPrice]]*0.7*Table1[[#This Row],[UnitsSold]]</f>
        <v>0</v>
      </c>
      <c r="I180">
        <v>981.36020408163256</v>
      </c>
      <c r="J180">
        <v>0</v>
      </c>
      <c r="K180" t="s">
        <v>248</v>
      </c>
      <c r="L180" t="s">
        <v>22</v>
      </c>
      <c r="M180" s="3">
        <f t="shared" si="6"/>
        <v>0</v>
      </c>
      <c r="N180" t="str">
        <f t="shared" si="7"/>
        <v>November</v>
      </c>
      <c r="O180" t="str">
        <f t="shared" si="8"/>
        <v>2023</v>
      </c>
      <c r="P180" s="3">
        <f>Table1[[#This Row],[Revenue]]-Table1[[#This Row],[Cost]]</f>
        <v>0</v>
      </c>
      <c r="Q18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81" spans="1:17" x14ac:dyDescent="0.2">
      <c r="A181" t="s">
        <v>162</v>
      </c>
      <c r="B181" s="1">
        <v>45202</v>
      </c>
      <c r="C181" t="s">
        <v>37</v>
      </c>
      <c r="D181" t="s">
        <v>267</v>
      </c>
      <c r="E181" t="s">
        <v>247</v>
      </c>
      <c r="F181" t="s">
        <v>26</v>
      </c>
      <c r="G181">
        <v>0</v>
      </c>
      <c r="H181">
        <f>Table1[[#This Row],[UnitPrice]]*0.7*Table1[[#This Row],[UnitsSold]]</f>
        <v>0</v>
      </c>
      <c r="I181">
        <v>981.36020408163256</v>
      </c>
      <c r="J181">
        <v>0</v>
      </c>
      <c r="K181" t="s">
        <v>16</v>
      </c>
      <c r="L181" t="s">
        <v>27</v>
      </c>
      <c r="M181" s="3">
        <f t="shared" si="6"/>
        <v>0</v>
      </c>
      <c r="N181" t="str">
        <f t="shared" si="7"/>
        <v>October</v>
      </c>
      <c r="O181" t="str">
        <f t="shared" si="8"/>
        <v>2023</v>
      </c>
      <c r="P181" s="3">
        <f>Table1[[#This Row],[Revenue]]-Table1[[#This Row],[Cost]]</f>
        <v>0</v>
      </c>
      <c r="Q18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82" spans="1:17" x14ac:dyDescent="0.2">
      <c r="A182" t="s">
        <v>163</v>
      </c>
      <c r="B182" s="1">
        <v>45185</v>
      </c>
      <c r="C182" t="s">
        <v>37</v>
      </c>
      <c r="D182" t="s">
        <v>31</v>
      </c>
      <c r="E182" t="s">
        <v>44</v>
      </c>
      <c r="F182" t="s">
        <v>26</v>
      </c>
      <c r="G182">
        <v>0</v>
      </c>
      <c r="H182">
        <f>Table1[[#This Row],[UnitPrice]]*0.7*Table1[[#This Row],[UnitsSold]]</f>
        <v>0</v>
      </c>
      <c r="I182">
        <v>1079.5765957446808</v>
      </c>
      <c r="J182">
        <v>0.03</v>
      </c>
      <c r="K182" t="s">
        <v>283</v>
      </c>
      <c r="L182" t="s">
        <v>17</v>
      </c>
      <c r="M182" s="3">
        <f t="shared" si="6"/>
        <v>0</v>
      </c>
      <c r="N182" t="str">
        <f t="shared" si="7"/>
        <v>September</v>
      </c>
      <c r="O182" t="str">
        <f t="shared" si="8"/>
        <v>2023</v>
      </c>
      <c r="P182" s="3">
        <f>Table1[[#This Row],[Revenue]]-Table1[[#This Row],[Cost]]</f>
        <v>0</v>
      </c>
      <c r="Q18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83" spans="1:17" x14ac:dyDescent="0.2">
      <c r="A183" t="s">
        <v>164</v>
      </c>
      <c r="B183" s="1">
        <v>44973</v>
      </c>
      <c r="C183" t="s">
        <v>57</v>
      </c>
      <c r="D183" t="s">
        <v>267</v>
      </c>
      <c r="E183" t="s">
        <v>46</v>
      </c>
      <c r="F183" t="s">
        <v>26</v>
      </c>
      <c r="G183">
        <v>0</v>
      </c>
      <c r="H183">
        <f>Table1[[#This Row],[UnitPrice]]*0.7*Table1[[#This Row],[UnitsSold]]</f>
        <v>0</v>
      </c>
      <c r="I183">
        <v>1106.0261904761899</v>
      </c>
      <c r="J183">
        <v>0</v>
      </c>
      <c r="K183" t="s">
        <v>283</v>
      </c>
      <c r="L183" t="s">
        <v>55</v>
      </c>
      <c r="M183" s="3">
        <f t="shared" si="6"/>
        <v>0</v>
      </c>
      <c r="N183" t="str">
        <f t="shared" si="7"/>
        <v>February</v>
      </c>
      <c r="O183" t="str">
        <f t="shared" si="8"/>
        <v>2023</v>
      </c>
      <c r="P183" s="3">
        <f>Table1[[#This Row],[Revenue]]-Table1[[#This Row],[Cost]]</f>
        <v>0</v>
      </c>
      <c r="Q18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84" spans="1:17" x14ac:dyDescent="0.2">
      <c r="A184" t="s">
        <v>165</v>
      </c>
      <c r="B184" s="1">
        <v>44938</v>
      </c>
      <c r="C184" t="s">
        <v>57</v>
      </c>
      <c r="D184" t="s">
        <v>59</v>
      </c>
      <c r="E184" t="s">
        <v>25</v>
      </c>
      <c r="F184" t="s">
        <v>26</v>
      </c>
      <c r="G184">
        <v>0</v>
      </c>
      <c r="H184">
        <f>Table1[[#This Row],[UnitPrice]]*0.7*Table1[[#This Row],[UnitsSold]]</f>
        <v>0</v>
      </c>
      <c r="I184">
        <v>961.05661016949136</v>
      </c>
      <c r="J184">
        <v>0.1</v>
      </c>
      <c r="K184" t="s">
        <v>248</v>
      </c>
      <c r="L184" t="s">
        <v>27</v>
      </c>
      <c r="M184" s="3">
        <f t="shared" si="6"/>
        <v>0</v>
      </c>
      <c r="N184" t="str">
        <f t="shared" si="7"/>
        <v>January</v>
      </c>
      <c r="O184" t="str">
        <f t="shared" si="8"/>
        <v>2023</v>
      </c>
      <c r="P184" s="3">
        <f>Table1[[#This Row],[Revenue]]-Table1[[#This Row],[Cost]]</f>
        <v>0</v>
      </c>
      <c r="Q18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85" spans="1:17" x14ac:dyDescent="0.2">
      <c r="A185" t="s">
        <v>60</v>
      </c>
      <c r="B185" s="1">
        <v>45168</v>
      </c>
      <c r="C185" t="s">
        <v>12</v>
      </c>
      <c r="D185" t="s">
        <v>59</v>
      </c>
      <c r="E185" t="s">
        <v>38</v>
      </c>
      <c r="F185" t="s">
        <v>34</v>
      </c>
      <c r="G185">
        <v>0</v>
      </c>
      <c r="H185">
        <f>Table1[[#This Row],[UnitPrice]]*0.7*Table1[[#This Row],[UnitsSold]]</f>
        <v>0</v>
      </c>
      <c r="I185">
        <v>936.79681818181825</v>
      </c>
      <c r="J185">
        <v>0</v>
      </c>
      <c r="K185" t="s">
        <v>42</v>
      </c>
      <c r="L185" t="s">
        <v>22</v>
      </c>
      <c r="M185" s="3">
        <f t="shared" si="6"/>
        <v>0</v>
      </c>
      <c r="N185" t="str">
        <f t="shared" si="7"/>
        <v>August</v>
      </c>
      <c r="O185" t="str">
        <f t="shared" si="8"/>
        <v>2023</v>
      </c>
      <c r="P185" s="3">
        <f>Table1[[#This Row],[Revenue]]-Table1[[#This Row],[Cost]]</f>
        <v>0</v>
      </c>
      <c r="Q18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86" spans="1:17" x14ac:dyDescent="0.2">
      <c r="A186" t="s">
        <v>166</v>
      </c>
      <c r="B186" s="1">
        <v>45119</v>
      </c>
      <c r="C186" t="s">
        <v>12</v>
      </c>
      <c r="D186" t="s">
        <v>13</v>
      </c>
      <c r="E186" t="s">
        <v>48</v>
      </c>
      <c r="F186" t="s">
        <v>39</v>
      </c>
      <c r="G186">
        <v>0</v>
      </c>
      <c r="H186">
        <f>Table1[[#This Row],[UnitPrice]]*0.7*Table1[[#This Row],[UnitsSold]]</f>
        <v>0</v>
      </c>
      <c r="I186">
        <v>1721.97</v>
      </c>
      <c r="J186">
        <v>0</v>
      </c>
      <c r="K186" t="s">
        <v>42</v>
      </c>
      <c r="L186" t="s">
        <v>17</v>
      </c>
      <c r="M186" s="3">
        <f t="shared" si="6"/>
        <v>0</v>
      </c>
      <c r="N186" t="str">
        <f t="shared" si="7"/>
        <v>July</v>
      </c>
      <c r="O186" t="str">
        <f t="shared" si="8"/>
        <v>2023</v>
      </c>
      <c r="P186" s="3">
        <f>Table1[[#This Row],[Revenue]]-Table1[[#This Row],[Cost]]</f>
        <v>0</v>
      </c>
      <c r="Q18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87" spans="1:17" x14ac:dyDescent="0.2">
      <c r="A187" t="s">
        <v>88</v>
      </c>
      <c r="B187" s="1">
        <v>45299</v>
      </c>
      <c r="C187" t="s">
        <v>37</v>
      </c>
      <c r="D187" t="s">
        <v>267</v>
      </c>
      <c r="E187" t="s">
        <v>46</v>
      </c>
      <c r="F187" t="s">
        <v>26</v>
      </c>
      <c r="G187">
        <v>0</v>
      </c>
      <c r="H187">
        <f>Table1[[#This Row],[UnitPrice]]*0.7*Table1[[#This Row],[UnitsSold]]</f>
        <v>0</v>
      </c>
      <c r="I187">
        <v>1106.0261904761899</v>
      </c>
      <c r="J187">
        <v>0</v>
      </c>
      <c r="K187" t="s">
        <v>16</v>
      </c>
      <c r="L187" t="s">
        <v>249</v>
      </c>
      <c r="M187" s="3">
        <f t="shared" si="6"/>
        <v>0</v>
      </c>
      <c r="N187" t="str">
        <f t="shared" si="7"/>
        <v>January</v>
      </c>
      <c r="O187" t="str">
        <f t="shared" si="8"/>
        <v>2024</v>
      </c>
      <c r="P187" s="3">
        <f>Table1[[#This Row],[Revenue]]-Table1[[#This Row],[Cost]]</f>
        <v>0</v>
      </c>
      <c r="Q18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88" spans="1:17" x14ac:dyDescent="0.2">
      <c r="A188" t="s">
        <v>167</v>
      </c>
      <c r="B188" s="1">
        <v>45104</v>
      </c>
      <c r="C188" t="s">
        <v>246</v>
      </c>
      <c r="D188" t="s">
        <v>59</v>
      </c>
      <c r="E188" t="s">
        <v>247</v>
      </c>
      <c r="F188" t="s">
        <v>26</v>
      </c>
      <c r="G188">
        <v>0</v>
      </c>
      <c r="H188">
        <f>Table1[[#This Row],[UnitPrice]]*0.7*Table1[[#This Row],[UnitsSold]]</f>
        <v>0</v>
      </c>
      <c r="I188">
        <v>844.29</v>
      </c>
      <c r="J188">
        <v>7.0000000000000007E-2</v>
      </c>
      <c r="K188" t="s">
        <v>16</v>
      </c>
      <c r="L188" t="s">
        <v>17</v>
      </c>
      <c r="M188" s="3">
        <f t="shared" si="6"/>
        <v>0</v>
      </c>
      <c r="N188" t="str">
        <f t="shared" si="7"/>
        <v>June</v>
      </c>
      <c r="O188" t="str">
        <f t="shared" si="8"/>
        <v>2023</v>
      </c>
      <c r="P188" s="3">
        <f>Table1[[#This Row],[Revenue]]-Table1[[#This Row],[Cost]]</f>
        <v>0</v>
      </c>
      <c r="Q18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89" spans="1:17" x14ac:dyDescent="0.2">
      <c r="A189" t="s">
        <v>168</v>
      </c>
      <c r="B189" s="1">
        <v>45155</v>
      </c>
      <c r="C189" t="s">
        <v>12</v>
      </c>
      <c r="D189" t="s">
        <v>19</v>
      </c>
      <c r="E189" t="s">
        <v>48</v>
      </c>
      <c r="F189" t="s">
        <v>39</v>
      </c>
      <c r="G189">
        <v>0</v>
      </c>
      <c r="H189">
        <f>Table1[[#This Row],[UnitPrice]]*0.7*Table1[[#This Row],[UnitsSold]]</f>
        <v>0</v>
      </c>
      <c r="I189">
        <v>476.34</v>
      </c>
      <c r="J189">
        <v>0.23</v>
      </c>
      <c r="K189" t="s">
        <v>16</v>
      </c>
      <c r="L189" t="s">
        <v>17</v>
      </c>
      <c r="M189" s="3">
        <f t="shared" si="6"/>
        <v>0</v>
      </c>
      <c r="N189" t="str">
        <f t="shared" si="7"/>
        <v>August</v>
      </c>
      <c r="O189" t="str">
        <f t="shared" si="8"/>
        <v>2023</v>
      </c>
      <c r="P189" s="3">
        <f>Table1[[#This Row],[Revenue]]-Table1[[#This Row],[Cost]]</f>
        <v>0</v>
      </c>
      <c r="Q18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90" spans="1:17" x14ac:dyDescent="0.2">
      <c r="A190" t="s">
        <v>152</v>
      </c>
      <c r="B190" s="1">
        <v>45046</v>
      </c>
      <c r="C190" t="s">
        <v>29</v>
      </c>
      <c r="D190" t="s">
        <v>31</v>
      </c>
      <c r="E190" t="s">
        <v>44</v>
      </c>
      <c r="F190" t="s">
        <v>26</v>
      </c>
      <c r="G190">
        <v>0</v>
      </c>
      <c r="H190">
        <f>Table1[[#This Row],[UnitPrice]]*0.7*Table1[[#This Row],[UnitsSold]]</f>
        <v>0</v>
      </c>
      <c r="I190">
        <v>1079.5765957446808</v>
      </c>
      <c r="J190">
        <v>0</v>
      </c>
      <c r="K190" t="s">
        <v>52</v>
      </c>
      <c r="L190" t="s">
        <v>55</v>
      </c>
      <c r="M190" s="3">
        <f t="shared" si="6"/>
        <v>0</v>
      </c>
      <c r="N190" t="str">
        <f t="shared" si="7"/>
        <v>April</v>
      </c>
      <c r="O190" t="str">
        <f t="shared" si="8"/>
        <v>2023</v>
      </c>
      <c r="P190" s="3">
        <f>Table1[[#This Row],[Revenue]]-Table1[[#This Row],[Cost]]</f>
        <v>0</v>
      </c>
      <c r="Q19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91" spans="1:17" x14ac:dyDescent="0.2">
      <c r="A191" t="s">
        <v>62</v>
      </c>
      <c r="B191" s="1">
        <v>45212</v>
      </c>
      <c r="C191" t="s">
        <v>246</v>
      </c>
      <c r="D191" t="s">
        <v>13</v>
      </c>
      <c r="E191" t="s">
        <v>48</v>
      </c>
      <c r="F191" t="s">
        <v>39</v>
      </c>
      <c r="G191">
        <v>0</v>
      </c>
      <c r="H191">
        <f>Table1[[#This Row],[UnitPrice]]*0.7*Table1[[#This Row],[UnitsSold]]</f>
        <v>0</v>
      </c>
      <c r="I191">
        <v>1017.3087234042553</v>
      </c>
      <c r="J191">
        <v>0</v>
      </c>
      <c r="K191" t="s">
        <v>42</v>
      </c>
      <c r="L191" t="s">
        <v>17</v>
      </c>
      <c r="M191" s="3">
        <f t="shared" si="6"/>
        <v>0</v>
      </c>
      <c r="N191" t="str">
        <f t="shared" si="7"/>
        <v>October</v>
      </c>
      <c r="O191" t="str">
        <f t="shared" si="8"/>
        <v>2023</v>
      </c>
      <c r="P191" s="3">
        <f>Table1[[#This Row],[Revenue]]-Table1[[#This Row],[Cost]]</f>
        <v>0</v>
      </c>
      <c r="Q19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92" spans="1:17" x14ac:dyDescent="0.2">
      <c r="A192" t="s">
        <v>169</v>
      </c>
      <c r="B192" s="1">
        <v>45283</v>
      </c>
      <c r="C192" t="s">
        <v>57</v>
      </c>
      <c r="D192" t="s">
        <v>83</v>
      </c>
      <c r="E192" t="s">
        <v>247</v>
      </c>
      <c r="F192" t="s">
        <v>26</v>
      </c>
      <c r="G192">
        <v>13</v>
      </c>
      <c r="H192">
        <f>Table1[[#This Row],[UnitPrice]]*0.7*Table1[[#This Row],[UnitsSold]]</f>
        <v>8930.3778571428556</v>
      </c>
      <c r="I192">
        <v>981.36020408163256</v>
      </c>
      <c r="J192">
        <v>7.0000000000000007E-2</v>
      </c>
      <c r="K192" t="s">
        <v>52</v>
      </c>
      <c r="L192" t="s">
        <v>249</v>
      </c>
      <c r="M192" s="3">
        <f t="shared" si="6"/>
        <v>11864.644867346937</v>
      </c>
      <c r="N192" t="str">
        <f t="shared" si="7"/>
        <v>December</v>
      </c>
      <c r="O192" t="str">
        <f t="shared" si="8"/>
        <v>2023</v>
      </c>
      <c r="P192" s="3">
        <f>Table1[[#This Row],[Revenue]]-Table1[[#This Row],[Cost]]</f>
        <v>2934.2670102040811</v>
      </c>
      <c r="Q192" s="6">
        <f>IF(Table1[[#This Row],[UnitsSold]]*Table1[[#This Row],[UnitPrice]]*(1-Table1[[#This Row],[Discount]])=0, 0, ((Table1[[#This Row],[UnitsSold]]*Table1[[#This Row],[UnitPrice]]*(1-Table1[[#This Row],[Discount]])) - (Table1[[#This Row],[UnitsSold]]*Table1[[#This Row],[UnitPrice]]*0.7)) / (Table1[[#This Row],[UnitsSold]]*Table1[[#This Row],[UnitPrice]]*(1-Table1[[#This Row],[Discount]])))</f>
        <v>0.24731182795698925</v>
      </c>
    </row>
    <row r="193" spans="1:17" x14ac:dyDescent="0.2">
      <c r="A193" t="s">
        <v>84</v>
      </c>
      <c r="B193" s="1">
        <v>44956</v>
      </c>
      <c r="C193" t="s">
        <v>57</v>
      </c>
      <c r="D193" t="s">
        <v>83</v>
      </c>
      <c r="E193" t="s">
        <v>44</v>
      </c>
      <c r="F193" t="s">
        <v>26</v>
      </c>
      <c r="G193">
        <v>0</v>
      </c>
      <c r="H193">
        <f>Table1[[#This Row],[UnitPrice]]*0.7*Table1[[#This Row],[UnitsSold]]</f>
        <v>0</v>
      </c>
      <c r="I193">
        <v>493.29</v>
      </c>
      <c r="J193">
        <v>0.1</v>
      </c>
      <c r="K193" t="s">
        <v>42</v>
      </c>
      <c r="L193" t="s">
        <v>55</v>
      </c>
      <c r="M193" s="3">
        <f t="shared" si="6"/>
        <v>0</v>
      </c>
      <c r="N193" t="str">
        <f t="shared" si="7"/>
        <v>January</v>
      </c>
      <c r="O193" t="str">
        <f t="shared" si="8"/>
        <v>2023</v>
      </c>
      <c r="P193" s="3">
        <f>Table1[[#This Row],[Revenue]]-Table1[[#This Row],[Cost]]</f>
        <v>0</v>
      </c>
      <c r="Q19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94" spans="1:17" x14ac:dyDescent="0.2">
      <c r="A194" t="s">
        <v>126</v>
      </c>
      <c r="B194" s="1">
        <v>45201</v>
      </c>
      <c r="C194" t="s">
        <v>37</v>
      </c>
      <c r="D194" t="s">
        <v>19</v>
      </c>
      <c r="E194" t="s">
        <v>14</v>
      </c>
      <c r="F194" t="s">
        <v>26</v>
      </c>
      <c r="G194">
        <v>0</v>
      </c>
      <c r="H194">
        <f>Table1[[#This Row],[UnitPrice]]*0.7*Table1[[#This Row],[UnitsSold]]</f>
        <v>0</v>
      </c>
      <c r="I194">
        <v>88.7</v>
      </c>
      <c r="J194">
        <v>0</v>
      </c>
      <c r="K194" t="s">
        <v>283</v>
      </c>
      <c r="L194" t="s">
        <v>17</v>
      </c>
      <c r="M194" s="3">
        <f t="shared" ref="M194:M257" si="9">G194*I194*(1-J194)</f>
        <v>0</v>
      </c>
      <c r="N194" t="str">
        <f t="shared" ref="N194:N257" si="10">TEXT(B194, "mmmm")</f>
        <v>October</v>
      </c>
      <c r="O194" t="str">
        <f t="shared" ref="O194:O257" si="11">TEXT(B194, "yyyy")</f>
        <v>2023</v>
      </c>
      <c r="P194" s="3">
        <f>Table1[[#This Row],[Revenue]]-Table1[[#This Row],[Cost]]</f>
        <v>0</v>
      </c>
      <c r="Q19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95" spans="1:17" x14ac:dyDescent="0.2">
      <c r="A195" t="s">
        <v>121</v>
      </c>
      <c r="B195" s="1">
        <v>45172</v>
      </c>
      <c r="C195" t="s">
        <v>37</v>
      </c>
      <c r="D195" t="s">
        <v>267</v>
      </c>
      <c r="E195" t="s">
        <v>14</v>
      </c>
      <c r="F195" t="s">
        <v>26</v>
      </c>
      <c r="G195">
        <v>1</v>
      </c>
      <c r="H195">
        <f>Table1[[#This Row],[UnitPrice]]*0.7*Table1[[#This Row],[UnitsSold]]</f>
        <v>702.00929787234043</v>
      </c>
      <c r="I195">
        <v>1002.870425531915</v>
      </c>
      <c r="J195">
        <v>0</v>
      </c>
      <c r="K195" t="s">
        <v>16</v>
      </c>
      <c r="L195" t="s">
        <v>17</v>
      </c>
      <c r="M195" s="3">
        <f t="shared" si="9"/>
        <v>1002.870425531915</v>
      </c>
      <c r="N195" t="str">
        <f t="shared" si="10"/>
        <v>September</v>
      </c>
      <c r="O195" t="str">
        <f t="shared" si="11"/>
        <v>2023</v>
      </c>
      <c r="P195" s="3">
        <f>Table1[[#This Row],[Revenue]]-Table1[[#This Row],[Cost]]</f>
        <v>300.86112765957455</v>
      </c>
      <c r="Q19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196" spans="1:17" x14ac:dyDescent="0.2">
      <c r="A196" t="s">
        <v>157</v>
      </c>
      <c r="B196" s="1">
        <v>45031</v>
      </c>
      <c r="C196" t="s">
        <v>57</v>
      </c>
      <c r="D196" t="s">
        <v>19</v>
      </c>
      <c r="E196" t="s">
        <v>44</v>
      </c>
      <c r="F196" t="s">
        <v>26</v>
      </c>
      <c r="G196">
        <v>0</v>
      </c>
      <c r="H196">
        <f>Table1[[#This Row],[UnitPrice]]*0.7*Table1[[#This Row],[UnitsSold]]</f>
        <v>0</v>
      </c>
      <c r="I196">
        <v>1079.5765957446808</v>
      </c>
      <c r="J196">
        <v>0</v>
      </c>
      <c r="K196" t="s">
        <v>52</v>
      </c>
      <c r="L196" t="s">
        <v>17</v>
      </c>
      <c r="M196" s="3">
        <f t="shared" si="9"/>
        <v>0</v>
      </c>
      <c r="N196" t="str">
        <f t="shared" si="10"/>
        <v>April</v>
      </c>
      <c r="O196" t="str">
        <f t="shared" si="11"/>
        <v>2023</v>
      </c>
      <c r="P196" s="3">
        <f>Table1[[#This Row],[Revenue]]-Table1[[#This Row],[Cost]]</f>
        <v>0</v>
      </c>
      <c r="Q19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197" spans="1:17" x14ac:dyDescent="0.2">
      <c r="A197" t="s">
        <v>108</v>
      </c>
      <c r="B197" s="1">
        <v>45165</v>
      </c>
      <c r="C197" t="s">
        <v>12</v>
      </c>
      <c r="D197" t="s">
        <v>267</v>
      </c>
      <c r="E197" t="s">
        <v>48</v>
      </c>
      <c r="F197" t="s">
        <v>39</v>
      </c>
      <c r="G197">
        <v>11</v>
      </c>
      <c r="H197">
        <f>Table1[[#This Row],[UnitPrice]]*0.7*Table1[[#This Row],[UnitsSold]]</f>
        <v>7833.2771702127648</v>
      </c>
      <c r="I197">
        <v>1017.3087234042553</v>
      </c>
      <c r="J197">
        <v>0.01</v>
      </c>
      <c r="K197" t="s">
        <v>283</v>
      </c>
      <c r="L197" t="s">
        <v>249</v>
      </c>
      <c r="M197" s="3">
        <f t="shared" si="9"/>
        <v>11078.491997872339</v>
      </c>
      <c r="N197" t="str">
        <f t="shared" si="10"/>
        <v>August</v>
      </c>
      <c r="O197" t="str">
        <f t="shared" si="11"/>
        <v>2023</v>
      </c>
      <c r="P197" s="3">
        <f>Table1[[#This Row],[Revenue]]-Table1[[#This Row],[Cost]]</f>
        <v>3245.2148276595744</v>
      </c>
      <c r="Q197" s="6">
        <f>IF(Table1[[#This Row],[UnitsSold]]*Table1[[#This Row],[UnitPrice]]*(1-Table1[[#This Row],[Discount]])=0, 0, ((Table1[[#This Row],[UnitsSold]]*Table1[[#This Row],[UnitPrice]]*(1-Table1[[#This Row],[Discount]])) - (Table1[[#This Row],[UnitsSold]]*Table1[[#This Row],[UnitPrice]]*0.7)) / (Table1[[#This Row],[UnitsSold]]*Table1[[#This Row],[UnitPrice]]*(1-Table1[[#This Row],[Discount]])))</f>
        <v>0.29292929292929298</v>
      </c>
    </row>
    <row r="198" spans="1:17" x14ac:dyDescent="0.2">
      <c r="A198" t="s">
        <v>156</v>
      </c>
      <c r="B198" s="1">
        <v>45060</v>
      </c>
      <c r="C198" t="s">
        <v>57</v>
      </c>
      <c r="D198" t="s">
        <v>59</v>
      </c>
      <c r="E198" t="s">
        <v>247</v>
      </c>
      <c r="F198" t="s">
        <v>26</v>
      </c>
      <c r="G198">
        <v>11</v>
      </c>
      <c r="H198">
        <f>Table1[[#This Row],[UnitPrice]]*0.7*Table1[[#This Row],[UnitsSold]]</f>
        <v>5897.2759999999998</v>
      </c>
      <c r="I198">
        <v>765.88</v>
      </c>
      <c r="J198">
        <v>0</v>
      </c>
      <c r="K198" t="s">
        <v>283</v>
      </c>
      <c r="L198" t="s">
        <v>55</v>
      </c>
      <c r="M198" s="3">
        <f t="shared" si="9"/>
        <v>8424.68</v>
      </c>
      <c r="N198" t="str">
        <f t="shared" si="10"/>
        <v>May</v>
      </c>
      <c r="O198" t="str">
        <f t="shared" si="11"/>
        <v>2023</v>
      </c>
      <c r="P198" s="3">
        <f>Table1[[#This Row],[Revenue]]-Table1[[#This Row],[Cost]]</f>
        <v>2527.4040000000005</v>
      </c>
      <c r="Q198"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199" spans="1:17" x14ac:dyDescent="0.2">
      <c r="A199" t="s">
        <v>170</v>
      </c>
      <c r="B199" s="1">
        <v>45317</v>
      </c>
      <c r="C199" t="s">
        <v>57</v>
      </c>
      <c r="D199" t="s">
        <v>13</v>
      </c>
      <c r="E199" t="s">
        <v>48</v>
      </c>
      <c r="F199" t="s">
        <v>39</v>
      </c>
      <c r="G199">
        <v>15</v>
      </c>
      <c r="H199">
        <f>Table1[[#This Row],[UnitPrice]]*0.7*Table1[[#This Row],[UnitsSold]]</f>
        <v>10681.741595744679</v>
      </c>
      <c r="I199">
        <v>1017.3087234042553</v>
      </c>
      <c r="J199">
        <v>0</v>
      </c>
      <c r="K199" t="s">
        <v>248</v>
      </c>
      <c r="L199" t="s">
        <v>22</v>
      </c>
      <c r="M199" s="3">
        <f t="shared" si="9"/>
        <v>15259.630851063828</v>
      </c>
      <c r="N199" t="str">
        <f t="shared" si="10"/>
        <v>January</v>
      </c>
      <c r="O199" t="str">
        <f t="shared" si="11"/>
        <v>2024</v>
      </c>
      <c r="P199" s="3">
        <f>Table1[[#This Row],[Revenue]]-Table1[[#This Row],[Cost]]</f>
        <v>4577.889255319149</v>
      </c>
      <c r="Q19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00" spans="1:17" x14ac:dyDescent="0.2">
      <c r="A200" t="s">
        <v>171</v>
      </c>
      <c r="B200" s="1">
        <v>45204</v>
      </c>
      <c r="C200" t="s">
        <v>12</v>
      </c>
      <c r="D200" t="s">
        <v>31</v>
      </c>
      <c r="E200" t="s">
        <v>46</v>
      </c>
      <c r="F200" t="s">
        <v>26</v>
      </c>
      <c r="G200">
        <v>2</v>
      </c>
      <c r="H200">
        <f>Table1[[#This Row],[UnitPrice]]*0.7*Table1[[#This Row],[UnitsSold]]</f>
        <v>1548.4366666666658</v>
      </c>
      <c r="I200">
        <v>1106.0261904761899</v>
      </c>
      <c r="J200">
        <v>0</v>
      </c>
      <c r="K200" t="s">
        <v>16</v>
      </c>
      <c r="L200" t="s">
        <v>27</v>
      </c>
      <c r="M200" s="3">
        <f t="shared" si="9"/>
        <v>2212.0523809523797</v>
      </c>
      <c r="N200" t="str">
        <f t="shared" si="10"/>
        <v>October</v>
      </c>
      <c r="O200" t="str">
        <f t="shared" si="11"/>
        <v>2023</v>
      </c>
      <c r="P200" s="3">
        <f>Table1[[#This Row],[Revenue]]-Table1[[#This Row],[Cost]]</f>
        <v>663.61571428571392</v>
      </c>
      <c r="Q200"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201" spans="1:17" x14ac:dyDescent="0.2">
      <c r="A201" t="s">
        <v>121</v>
      </c>
      <c r="B201" s="1">
        <v>45185</v>
      </c>
      <c r="C201" t="s">
        <v>57</v>
      </c>
      <c r="D201" t="s">
        <v>59</v>
      </c>
      <c r="E201" t="s">
        <v>46</v>
      </c>
      <c r="F201" t="s">
        <v>26</v>
      </c>
      <c r="G201">
        <v>0</v>
      </c>
      <c r="H201">
        <f>Table1[[#This Row],[UnitPrice]]*0.7*Table1[[#This Row],[UnitsSold]]</f>
        <v>0</v>
      </c>
      <c r="I201">
        <v>1321.98</v>
      </c>
      <c r="J201">
        <v>0</v>
      </c>
      <c r="K201" t="s">
        <v>42</v>
      </c>
      <c r="L201" t="s">
        <v>27</v>
      </c>
      <c r="M201" s="3">
        <f t="shared" si="9"/>
        <v>0</v>
      </c>
      <c r="N201" t="str">
        <f t="shared" si="10"/>
        <v>September</v>
      </c>
      <c r="O201" t="str">
        <f t="shared" si="11"/>
        <v>2023</v>
      </c>
      <c r="P201" s="3">
        <f>Table1[[#This Row],[Revenue]]-Table1[[#This Row],[Cost]]</f>
        <v>0</v>
      </c>
      <c r="Q20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02" spans="1:17" x14ac:dyDescent="0.2">
      <c r="A202" t="s">
        <v>156</v>
      </c>
      <c r="B202" s="1">
        <v>45198</v>
      </c>
      <c r="C202" t="s">
        <v>24</v>
      </c>
      <c r="D202" t="s">
        <v>31</v>
      </c>
      <c r="E202" t="s">
        <v>14</v>
      </c>
      <c r="F202" t="s">
        <v>26</v>
      </c>
      <c r="G202">
        <v>0</v>
      </c>
      <c r="H202">
        <f>Table1[[#This Row],[UnitPrice]]*0.7*Table1[[#This Row],[UnitsSold]]</f>
        <v>0</v>
      </c>
      <c r="I202">
        <v>1351.33</v>
      </c>
      <c r="J202">
        <v>0.03</v>
      </c>
      <c r="K202" t="s">
        <v>248</v>
      </c>
      <c r="L202" t="s">
        <v>249</v>
      </c>
      <c r="M202" s="3">
        <f t="shared" si="9"/>
        <v>0</v>
      </c>
      <c r="N202" t="str">
        <f t="shared" si="10"/>
        <v>September</v>
      </c>
      <c r="O202" t="str">
        <f t="shared" si="11"/>
        <v>2023</v>
      </c>
      <c r="P202" s="3">
        <f>Table1[[#This Row],[Revenue]]-Table1[[#This Row],[Cost]]</f>
        <v>0</v>
      </c>
      <c r="Q20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03" spans="1:17" x14ac:dyDescent="0.2">
      <c r="A203" t="s">
        <v>172</v>
      </c>
      <c r="B203" s="1">
        <v>45025</v>
      </c>
      <c r="C203" t="s">
        <v>24</v>
      </c>
      <c r="D203" t="s">
        <v>267</v>
      </c>
      <c r="E203" t="s">
        <v>14</v>
      </c>
      <c r="F203" t="s">
        <v>26</v>
      </c>
      <c r="G203">
        <v>13</v>
      </c>
      <c r="H203">
        <f>Table1[[#This Row],[UnitPrice]]*0.7*Table1[[#This Row],[UnitsSold]]</f>
        <v>9126.1208723404252</v>
      </c>
      <c r="I203">
        <v>1002.870425531915</v>
      </c>
      <c r="J203">
        <v>0.14000000000000001</v>
      </c>
      <c r="K203" t="s">
        <v>283</v>
      </c>
      <c r="L203" t="s">
        <v>249</v>
      </c>
      <c r="M203" s="3">
        <f t="shared" si="9"/>
        <v>11212.09135744681</v>
      </c>
      <c r="N203" t="str">
        <f t="shared" si="10"/>
        <v>April</v>
      </c>
      <c r="O203" t="str">
        <f t="shared" si="11"/>
        <v>2023</v>
      </c>
      <c r="P203" s="3">
        <f>Table1[[#This Row],[Revenue]]-Table1[[#This Row],[Cost]]</f>
        <v>2085.9704851063852</v>
      </c>
      <c r="Q203" s="6">
        <f>IF(Table1[[#This Row],[UnitsSold]]*Table1[[#This Row],[UnitPrice]]*(1-Table1[[#This Row],[Discount]])=0, 0, ((Table1[[#This Row],[UnitsSold]]*Table1[[#This Row],[UnitPrice]]*(1-Table1[[#This Row],[Discount]])) - (Table1[[#This Row],[UnitsSold]]*Table1[[#This Row],[UnitPrice]]*0.7)) / (Table1[[#This Row],[UnitsSold]]*Table1[[#This Row],[UnitPrice]]*(1-Table1[[#This Row],[Discount]])))</f>
        <v>0.18604651162790697</v>
      </c>
    </row>
    <row r="204" spans="1:17" x14ac:dyDescent="0.2">
      <c r="A204" t="s">
        <v>173</v>
      </c>
      <c r="B204" s="1">
        <v>45277</v>
      </c>
      <c r="C204" t="s">
        <v>12</v>
      </c>
      <c r="D204" t="s">
        <v>13</v>
      </c>
      <c r="E204" t="s">
        <v>25</v>
      </c>
      <c r="F204" t="s">
        <v>26</v>
      </c>
      <c r="G204">
        <v>0</v>
      </c>
      <c r="H204">
        <f>Table1[[#This Row],[UnitPrice]]*0.7*Table1[[#This Row],[UnitsSold]]</f>
        <v>0</v>
      </c>
      <c r="I204">
        <v>961.05661016949136</v>
      </c>
      <c r="J204">
        <v>0</v>
      </c>
      <c r="K204" t="s">
        <v>16</v>
      </c>
      <c r="L204" t="s">
        <v>249</v>
      </c>
      <c r="M204" s="3">
        <f t="shared" si="9"/>
        <v>0</v>
      </c>
      <c r="N204" t="str">
        <f t="shared" si="10"/>
        <v>December</v>
      </c>
      <c r="O204" t="str">
        <f t="shared" si="11"/>
        <v>2023</v>
      </c>
      <c r="P204" s="3">
        <f>Table1[[#This Row],[Revenue]]-Table1[[#This Row],[Cost]]</f>
        <v>0</v>
      </c>
      <c r="Q20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05" spans="1:17" x14ac:dyDescent="0.2">
      <c r="A205" t="s">
        <v>174</v>
      </c>
      <c r="B205" s="1">
        <v>45182</v>
      </c>
      <c r="C205" t="s">
        <v>57</v>
      </c>
      <c r="D205" t="s">
        <v>13</v>
      </c>
      <c r="E205" t="s">
        <v>25</v>
      </c>
      <c r="F205" t="s">
        <v>26</v>
      </c>
      <c r="G205">
        <v>19</v>
      </c>
      <c r="H205">
        <f>Table1[[#This Row],[UnitPrice]]*0.7*Table1[[#This Row],[UnitsSold]]</f>
        <v>23815.379000000001</v>
      </c>
      <c r="I205">
        <v>1790.63</v>
      </c>
      <c r="J205">
        <v>0</v>
      </c>
      <c r="K205" t="s">
        <v>248</v>
      </c>
      <c r="L205" t="s">
        <v>22</v>
      </c>
      <c r="M205" s="3">
        <f t="shared" si="9"/>
        <v>34021.97</v>
      </c>
      <c r="N205" t="str">
        <f t="shared" si="10"/>
        <v>September</v>
      </c>
      <c r="O205" t="str">
        <f t="shared" si="11"/>
        <v>2023</v>
      </c>
      <c r="P205" s="3">
        <f>Table1[[#This Row],[Revenue]]-Table1[[#This Row],[Cost]]</f>
        <v>10206.591</v>
      </c>
      <c r="Q205"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206" spans="1:17" x14ac:dyDescent="0.2">
      <c r="A206" t="s">
        <v>175</v>
      </c>
      <c r="B206" s="1">
        <v>44950</v>
      </c>
      <c r="C206" t="s">
        <v>12</v>
      </c>
      <c r="D206" t="s">
        <v>13</v>
      </c>
      <c r="E206" t="s">
        <v>14</v>
      </c>
      <c r="F206" t="s">
        <v>26</v>
      </c>
      <c r="G206">
        <v>0</v>
      </c>
      <c r="H206">
        <f>Table1[[#This Row],[UnitPrice]]*0.7*Table1[[#This Row],[UnitsSold]]</f>
        <v>0</v>
      </c>
      <c r="I206">
        <v>1002.870425531915</v>
      </c>
      <c r="J206">
        <v>0</v>
      </c>
      <c r="K206" t="s">
        <v>248</v>
      </c>
      <c r="L206" t="s">
        <v>249</v>
      </c>
      <c r="M206" s="3">
        <f t="shared" si="9"/>
        <v>0</v>
      </c>
      <c r="N206" t="str">
        <f t="shared" si="10"/>
        <v>January</v>
      </c>
      <c r="O206" t="str">
        <f t="shared" si="11"/>
        <v>2023</v>
      </c>
      <c r="P206" s="3">
        <f>Table1[[#This Row],[Revenue]]-Table1[[#This Row],[Cost]]</f>
        <v>0</v>
      </c>
      <c r="Q20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07" spans="1:17" x14ac:dyDescent="0.2">
      <c r="A207" t="s">
        <v>176</v>
      </c>
      <c r="B207" s="1">
        <v>45291</v>
      </c>
      <c r="C207" t="s">
        <v>57</v>
      </c>
      <c r="D207" t="s">
        <v>19</v>
      </c>
      <c r="E207" t="s">
        <v>14</v>
      </c>
      <c r="F207" t="s">
        <v>26</v>
      </c>
      <c r="G207">
        <v>19</v>
      </c>
      <c r="H207">
        <f>Table1[[#This Row],[UnitPrice]]*0.7*Table1[[#This Row],[UnitsSold]]</f>
        <v>13338.176659574468</v>
      </c>
      <c r="I207">
        <v>1002.870425531915</v>
      </c>
      <c r="J207">
        <v>0</v>
      </c>
      <c r="K207" t="s">
        <v>52</v>
      </c>
      <c r="L207" t="s">
        <v>22</v>
      </c>
      <c r="M207" s="3">
        <f t="shared" si="9"/>
        <v>19054.538085106386</v>
      </c>
      <c r="N207" t="str">
        <f t="shared" si="10"/>
        <v>December</v>
      </c>
      <c r="O207" t="str">
        <f t="shared" si="11"/>
        <v>2023</v>
      </c>
      <c r="P207" s="3">
        <f>Table1[[#This Row],[Revenue]]-Table1[[#This Row],[Cost]]</f>
        <v>5716.3614255319171</v>
      </c>
      <c r="Q20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208" spans="1:17" x14ac:dyDescent="0.2">
      <c r="A208" t="s">
        <v>162</v>
      </c>
      <c r="B208" s="1">
        <v>45305</v>
      </c>
      <c r="C208" t="s">
        <v>246</v>
      </c>
      <c r="D208" t="s">
        <v>267</v>
      </c>
      <c r="E208" t="s">
        <v>48</v>
      </c>
      <c r="F208" t="s">
        <v>39</v>
      </c>
      <c r="G208">
        <v>0</v>
      </c>
      <c r="H208">
        <f>Table1[[#This Row],[UnitPrice]]*0.7*Table1[[#This Row],[UnitsSold]]</f>
        <v>0</v>
      </c>
      <c r="I208">
        <v>1948.9</v>
      </c>
      <c r="J208">
        <v>0.03</v>
      </c>
      <c r="K208" t="s">
        <v>16</v>
      </c>
      <c r="L208" t="s">
        <v>55</v>
      </c>
      <c r="M208" s="3">
        <f t="shared" si="9"/>
        <v>0</v>
      </c>
      <c r="N208" t="str">
        <f t="shared" si="10"/>
        <v>January</v>
      </c>
      <c r="O208" t="str">
        <f t="shared" si="11"/>
        <v>2024</v>
      </c>
      <c r="P208" s="3">
        <f>Table1[[#This Row],[Revenue]]-Table1[[#This Row],[Cost]]</f>
        <v>0</v>
      </c>
      <c r="Q20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09" spans="1:17" x14ac:dyDescent="0.2">
      <c r="A209" t="s">
        <v>136</v>
      </c>
      <c r="B209" s="1">
        <v>45320</v>
      </c>
      <c r="C209" t="s">
        <v>57</v>
      </c>
      <c r="D209" t="s">
        <v>267</v>
      </c>
      <c r="E209" t="s">
        <v>14</v>
      </c>
      <c r="F209" t="s">
        <v>26</v>
      </c>
      <c r="G209">
        <v>0</v>
      </c>
      <c r="H209">
        <f>Table1[[#This Row],[UnitPrice]]*0.7*Table1[[#This Row],[UnitsSold]]</f>
        <v>0</v>
      </c>
      <c r="I209">
        <v>1002.870425531915</v>
      </c>
      <c r="J209">
        <v>0</v>
      </c>
      <c r="K209" t="s">
        <v>42</v>
      </c>
      <c r="L209" t="s">
        <v>249</v>
      </c>
      <c r="M209" s="3">
        <f t="shared" si="9"/>
        <v>0</v>
      </c>
      <c r="N209" t="str">
        <f t="shared" si="10"/>
        <v>January</v>
      </c>
      <c r="O209" t="str">
        <f t="shared" si="11"/>
        <v>2024</v>
      </c>
      <c r="P209" s="3">
        <f>Table1[[#This Row],[Revenue]]-Table1[[#This Row],[Cost]]</f>
        <v>0</v>
      </c>
      <c r="Q20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10" spans="1:17" x14ac:dyDescent="0.2">
      <c r="A210" t="s">
        <v>115</v>
      </c>
      <c r="B210" s="1">
        <v>45226</v>
      </c>
      <c r="C210" t="s">
        <v>57</v>
      </c>
      <c r="D210" t="s">
        <v>19</v>
      </c>
      <c r="E210" t="s">
        <v>25</v>
      </c>
      <c r="F210" t="s">
        <v>26</v>
      </c>
      <c r="G210">
        <v>10</v>
      </c>
      <c r="H210">
        <f>Table1[[#This Row],[UnitPrice]]*0.7*Table1[[#This Row],[UnitsSold]]</f>
        <v>10003.629999999997</v>
      </c>
      <c r="I210">
        <v>1429.09</v>
      </c>
      <c r="J210">
        <v>0</v>
      </c>
      <c r="K210" t="s">
        <v>283</v>
      </c>
      <c r="L210" t="s">
        <v>249</v>
      </c>
      <c r="M210" s="3">
        <f t="shared" si="9"/>
        <v>14290.9</v>
      </c>
      <c r="N210" t="str">
        <f t="shared" si="10"/>
        <v>October</v>
      </c>
      <c r="O210" t="str">
        <f t="shared" si="11"/>
        <v>2023</v>
      </c>
      <c r="P210" s="3">
        <f>Table1[[#This Row],[Revenue]]-Table1[[#This Row],[Cost]]</f>
        <v>4287.2700000000023</v>
      </c>
      <c r="Q21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11" spans="1:17" x14ac:dyDescent="0.2">
      <c r="A211" t="s">
        <v>177</v>
      </c>
      <c r="B211" s="1">
        <v>45126</v>
      </c>
      <c r="C211" t="s">
        <v>29</v>
      </c>
      <c r="D211" t="s">
        <v>59</v>
      </c>
      <c r="E211" t="s">
        <v>46</v>
      </c>
      <c r="F211" t="s">
        <v>26</v>
      </c>
      <c r="G211">
        <v>0</v>
      </c>
      <c r="H211">
        <f>Table1[[#This Row],[UnitPrice]]*0.7*Table1[[#This Row],[UnitsSold]]</f>
        <v>0</v>
      </c>
      <c r="I211">
        <v>1106.0261904761899</v>
      </c>
      <c r="J211">
        <v>0.03</v>
      </c>
      <c r="K211" t="s">
        <v>16</v>
      </c>
      <c r="L211" t="s">
        <v>22</v>
      </c>
      <c r="M211" s="3">
        <f t="shared" si="9"/>
        <v>0</v>
      </c>
      <c r="N211" t="str">
        <f t="shared" si="10"/>
        <v>July</v>
      </c>
      <c r="O211" t="str">
        <f t="shared" si="11"/>
        <v>2023</v>
      </c>
      <c r="P211" s="3">
        <f>Table1[[#This Row],[Revenue]]-Table1[[#This Row],[Cost]]</f>
        <v>0</v>
      </c>
      <c r="Q21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12" spans="1:17" x14ac:dyDescent="0.2">
      <c r="A212" t="s">
        <v>178</v>
      </c>
      <c r="B212" s="1">
        <v>45212</v>
      </c>
      <c r="C212" t="s">
        <v>57</v>
      </c>
      <c r="D212" t="s">
        <v>19</v>
      </c>
      <c r="E212" t="s">
        <v>46</v>
      </c>
      <c r="F212" t="s">
        <v>26</v>
      </c>
      <c r="G212">
        <v>0</v>
      </c>
      <c r="H212">
        <f>Table1[[#This Row],[UnitPrice]]*0.7*Table1[[#This Row],[UnitsSold]]</f>
        <v>0</v>
      </c>
      <c r="I212">
        <v>1106.0261904761899</v>
      </c>
      <c r="J212">
        <v>0</v>
      </c>
      <c r="K212" t="s">
        <v>16</v>
      </c>
      <c r="L212" t="s">
        <v>55</v>
      </c>
      <c r="M212" s="3">
        <f t="shared" si="9"/>
        <v>0</v>
      </c>
      <c r="N212" t="str">
        <f t="shared" si="10"/>
        <v>October</v>
      </c>
      <c r="O212" t="str">
        <f t="shared" si="11"/>
        <v>2023</v>
      </c>
      <c r="P212" s="3">
        <f>Table1[[#This Row],[Revenue]]-Table1[[#This Row],[Cost]]</f>
        <v>0</v>
      </c>
      <c r="Q21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13" spans="1:17" x14ac:dyDescent="0.2">
      <c r="A213" t="s">
        <v>179</v>
      </c>
      <c r="B213" s="1">
        <v>45125</v>
      </c>
      <c r="C213" t="s">
        <v>12</v>
      </c>
      <c r="D213" t="s">
        <v>13</v>
      </c>
      <c r="E213" t="s">
        <v>44</v>
      </c>
      <c r="F213" t="s">
        <v>26</v>
      </c>
      <c r="G213">
        <v>0</v>
      </c>
      <c r="H213">
        <f>Table1[[#This Row],[UnitPrice]]*0.7*Table1[[#This Row],[UnitsSold]]</f>
        <v>0</v>
      </c>
      <c r="I213">
        <v>1079.5765957446808</v>
      </c>
      <c r="J213">
        <v>0</v>
      </c>
      <c r="K213" t="s">
        <v>52</v>
      </c>
      <c r="L213" t="s">
        <v>55</v>
      </c>
      <c r="M213" s="3">
        <f t="shared" si="9"/>
        <v>0</v>
      </c>
      <c r="N213" t="str">
        <f t="shared" si="10"/>
        <v>July</v>
      </c>
      <c r="O213" t="str">
        <f t="shared" si="11"/>
        <v>2023</v>
      </c>
      <c r="P213" s="3">
        <f>Table1[[#This Row],[Revenue]]-Table1[[#This Row],[Cost]]</f>
        <v>0</v>
      </c>
      <c r="Q21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14" spans="1:17" x14ac:dyDescent="0.2">
      <c r="A214" t="s">
        <v>45</v>
      </c>
      <c r="B214" s="1">
        <v>45001</v>
      </c>
      <c r="C214" t="s">
        <v>12</v>
      </c>
      <c r="D214" t="s">
        <v>19</v>
      </c>
      <c r="E214" t="s">
        <v>38</v>
      </c>
      <c r="F214" t="s">
        <v>34</v>
      </c>
      <c r="G214">
        <v>0</v>
      </c>
      <c r="H214">
        <f>Table1[[#This Row],[UnitPrice]]*0.7*Table1[[#This Row],[UnitsSold]]</f>
        <v>0</v>
      </c>
      <c r="I214">
        <v>973.62</v>
      </c>
      <c r="J214">
        <v>0.11</v>
      </c>
      <c r="K214" t="s">
        <v>283</v>
      </c>
      <c r="L214" t="s">
        <v>22</v>
      </c>
      <c r="M214" s="3">
        <f t="shared" si="9"/>
        <v>0</v>
      </c>
      <c r="N214" t="str">
        <f t="shared" si="10"/>
        <v>March</v>
      </c>
      <c r="O214" t="str">
        <f t="shared" si="11"/>
        <v>2023</v>
      </c>
      <c r="P214" s="3">
        <f>Table1[[#This Row],[Revenue]]-Table1[[#This Row],[Cost]]</f>
        <v>0</v>
      </c>
      <c r="Q21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15" spans="1:17" x14ac:dyDescent="0.2">
      <c r="A215" t="s">
        <v>180</v>
      </c>
      <c r="B215" s="1">
        <v>45242</v>
      </c>
      <c r="C215" t="s">
        <v>37</v>
      </c>
      <c r="D215" t="s">
        <v>83</v>
      </c>
      <c r="E215" t="s">
        <v>46</v>
      </c>
      <c r="F215" t="s">
        <v>26</v>
      </c>
      <c r="G215">
        <v>10</v>
      </c>
      <c r="H215">
        <f>Table1[[#This Row],[UnitPrice]]*0.7*Table1[[#This Row],[UnitsSold]]</f>
        <v>7742.1833333333288</v>
      </c>
      <c r="I215">
        <v>1106.0261904761899</v>
      </c>
      <c r="J215">
        <v>0</v>
      </c>
      <c r="K215" t="s">
        <v>52</v>
      </c>
      <c r="L215" t="s">
        <v>22</v>
      </c>
      <c r="M215" s="3">
        <f t="shared" si="9"/>
        <v>11060.261904761899</v>
      </c>
      <c r="N215" t="str">
        <f t="shared" si="10"/>
        <v>November</v>
      </c>
      <c r="O215" t="str">
        <f t="shared" si="11"/>
        <v>2023</v>
      </c>
      <c r="P215" s="3">
        <f>Table1[[#This Row],[Revenue]]-Table1[[#This Row],[Cost]]</f>
        <v>3318.0785714285703</v>
      </c>
      <c r="Q21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16" spans="1:17" x14ac:dyDescent="0.2">
      <c r="A216" t="s">
        <v>181</v>
      </c>
      <c r="B216" s="1">
        <v>45147</v>
      </c>
      <c r="C216" t="s">
        <v>246</v>
      </c>
      <c r="D216" t="s">
        <v>59</v>
      </c>
      <c r="E216" t="s">
        <v>14</v>
      </c>
      <c r="F216" t="s">
        <v>26</v>
      </c>
      <c r="G216">
        <v>0</v>
      </c>
      <c r="H216">
        <f>Table1[[#This Row],[UnitPrice]]*0.7*Table1[[#This Row],[UnitsSold]]</f>
        <v>0</v>
      </c>
      <c r="I216">
        <v>1002.870425531915</v>
      </c>
      <c r="J216">
        <v>0</v>
      </c>
      <c r="K216" t="s">
        <v>283</v>
      </c>
      <c r="L216" t="s">
        <v>22</v>
      </c>
      <c r="M216" s="3">
        <f t="shared" si="9"/>
        <v>0</v>
      </c>
      <c r="N216" t="str">
        <f t="shared" si="10"/>
        <v>August</v>
      </c>
      <c r="O216" t="str">
        <f t="shared" si="11"/>
        <v>2023</v>
      </c>
      <c r="P216" s="3">
        <f>Table1[[#This Row],[Revenue]]-Table1[[#This Row],[Cost]]</f>
        <v>0</v>
      </c>
      <c r="Q21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17" spans="1:17" x14ac:dyDescent="0.2">
      <c r="A217" t="s">
        <v>76</v>
      </c>
      <c r="B217" s="1">
        <v>45327</v>
      </c>
      <c r="C217" t="s">
        <v>37</v>
      </c>
      <c r="D217" t="s">
        <v>59</v>
      </c>
      <c r="E217" t="s">
        <v>38</v>
      </c>
      <c r="F217" t="s">
        <v>34</v>
      </c>
      <c r="G217">
        <v>0</v>
      </c>
      <c r="H217">
        <f>Table1[[#This Row],[UnitPrice]]*0.7*Table1[[#This Row],[UnitsSold]]</f>
        <v>0</v>
      </c>
      <c r="I217">
        <v>936.79681818181825</v>
      </c>
      <c r="J217">
        <v>0</v>
      </c>
      <c r="K217" t="s">
        <v>16</v>
      </c>
      <c r="L217" t="s">
        <v>17</v>
      </c>
      <c r="M217" s="3">
        <f t="shared" si="9"/>
        <v>0</v>
      </c>
      <c r="N217" t="str">
        <f t="shared" si="10"/>
        <v>February</v>
      </c>
      <c r="O217" t="str">
        <f t="shared" si="11"/>
        <v>2024</v>
      </c>
      <c r="P217" s="3">
        <f>Table1[[#This Row],[Revenue]]-Table1[[#This Row],[Cost]]</f>
        <v>0</v>
      </c>
      <c r="Q21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18" spans="1:17" x14ac:dyDescent="0.2">
      <c r="A218" t="s">
        <v>128</v>
      </c>
      <c r="B218" s="1">
        <v>45299</v>
      </c>
      <c r="C218" t="s">
        <v>57</v>
      </c>
      <c r="D218" t="s">
        <v>13</v>
      </c>
      <c r="E218" t="s">
        <v>247</v>
      </c>
      <c r="F218" t="s">
        <v>26</v>
      </c>
      <c r="G218">
        <v>0</v>
      </c>
      <c r="H218">
        <f>Table1[[#This Row],[UnitPrice]]*0.7*Table1[[#This Row],[UnitsSold]]</f>
        <v>0</v>
      </c>
      <c r="I218">
        <v>981.36020408163256</v>
      </c>
      <c r="J218">
        <v>0.2</v>
      </c>
      <c r="K218" t="s">
        <v>283</v>
      </c>
      <c r="L218" t="s">
        <v>55</v>
      </c>
      <c r="M218" s="3">
        <f t="shared" si="9"/>
        <v>0</v>
      </c>
      <c r="N218" t="str">
        <f t="shared" si="10"/>
        <v>January</v>
      </c>
      <c r="O218" t="str">
        <f t="shared" si="11"/>
        <v>2024</v>
      </c>
      <c r="P218" s="3">
        <f>Table1[[#This Row],[Revenue]]-Table1[[#This Row],[Cost]]</f>
        <v>0</v>
      </c>
      <c r="Q21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19" spans="1:17" x14ac:dyDescent="0.2">
      <c r="A219" t="s">
        <v>172</v>
      </c>
      <c r="B219" s="1">
        <v>45056</v>
      </c>
      <c r="C219" t="s">
        <v>246</v>
      </c>
      <c r="D219" t="s">
        <v>13</v>
      </c>
      <c r="E219" t="s">
        <v>38</v>
      </c>
      <c r="F219" t="s">
        <v>34</v>
      </c>
      <c r="G219">
        <v>0</v>
      </c>
      <c r="H219">
        <f>Table1[[#This Row],[UnitPrice]]*0.7*Table1[[#This Row],[UnitsSold]]</f>
        <v>0</v>
      </c>
      <c r="I219">
        <v>936.79681818181825</v>
      </c>
      <c r="J219">
        <v>0</v>
      </c>
      <c r="K219" t="s">
        <v>248</v>
      </c>
      <c r="L219" t="s">
        <v>22</v>
      </c>
      <c r="M219" s="3">
        <f t="shared" si="9"/>
        <v>0</v>
      </c>
      <c r="N219" t="str">
        <f t="shared" si="10"/>
        <v>May</v>
      </c>
      <c r="O219" t="str">
        <f t="shared" si="11"/>
        <v>2023</v>
      </c>
      <c r="P219" s="3">
        <f>Table1[[#This Row],[Revenue]]-Table1[[#This Row],[Cost]]</f>
        <v>0</v>
      </c>
      <c r="Q21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20" spans="1:17" x14ac:dyDescent="0.2">
      <c r="A220" t="s">
        <v>182</v>
      </c>
      <c r="B220" s="1">
        <v>44945</v>
      </c>
      <c r="C220" t="s">
        <v>29</v>
      </c>
      <c r="D220" t="s">
        <v>13</v>
      </c>
      <c r="E220" t="s">
        <v>25</v>
      </c>
      <c r="F220" t="s">
        <v>26</v>
      </c>
      <c r="G220">
        <v>0</v>
      </c>
      <c r="H220">
        <f>Table1[[#This Row],[UnitPrice]]*0.7*Table1[[#This Row],[UnitsSold]]</f>
        <v>0</v>
      </c>
      <c r="I220">
        <v>1829.66</v>
      </c>
      <c r="J220">
        <v>0</v>
      </c>
      <c r="K220" t="s">
        <v>283</v>
      </c>
      <c r="L220" t="s">
        <v>55</v>
      </c>
      <c r="M220" s="3">
        <f t="shared" si="9"/>
        <v>0</v>
      </c>
      <c r="N220" t="str">
        <f t="shared" si="10"/>
        <v>January</v>
      </c>
      <c r="O220" t="str">
        <f t="shared" si="11"/>
        <v>2023</v>
      </c>
      <c r="P220" s="3">
        <f>Table1[[#This Row],[Revenue]]-Table1[[#This Row],[Cost]]</f>
        <v>0</v>
      </c>
      <c r="Q22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21" spans="1:17" x14ac:dyDescent="0.2">
      <c r="A221" t="s">
        <v>114</v>
      </c>
      <c r="B221" s="1">
        <v>45258</v>
      </c>
      <c r="C221" t="s">
        <v>12</v>
      </c>
      <c r="D221" t="s">
        <v>31</v>
      </c>
      <c r="E221" t="s">
        <v>48</v>
      </c>
      <c r="F221" t="s">
        <v>39</v>
      </c>
      <c r="G221">
        <v>0</v>
      </c>
      <c r="H221">
        <f>Table1[[#This Row],[UnitPrice]]*0.7*Table1[[#This Row],[UnitsSold]]</f>
        <v>0</v>
      </c>
      <c r="I221">
        <v>220.83</v>
      </c>
      <c r="J221">
        <v>0</v>
      </c>
      <c r="K221" t="s">
        <v>283</v>
      </c>
      <c r="L221" t="s">
        <v>17</v>
      </c>
      <c r="M221" s="3">
        <f t="shared" si="9"/>
        <v>0</v>
      </c>
      <c r="N221" t="str">
        <f t="shared" si="10"/>
        <v>November</v>
      </c>
      <c r="O221" t="str">
        <f t="shared" si="11"/>
        <v>2023</v>
      </c>
      <c r="P221" s="3">
        <f>Table1[[#This Row],[Revenue]]-Table1[[#This Row],[Cost]]</f>
        <v>0</v>
      </c>
      <c r="Q22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22" spans="1:17" x14ac:dyDescent="0.2">
      <c r="A222" t="s">
        <v>94</v>
      </c>
      <c r="B222" s="1">
        <v>45224</v>
      </c>
      <c r="C222" t="s">
        <v>37</v>
      </c>
      <c r="D222" t="s">
        <v>83</v>
      </c>
      <c r="E222" t="s">
        <v>14</v>
      </c>
      <c r="F222" t="s">
        <v>26</v>
      </c>
      <c r="G222">
        <v>0</v>
      </c>
      <c r="H222">
        <f>Table1[[#This Row],[UnitPrice]]*0.7*Table1[[#This Row],[UnitsSold]]</f>
        <v>0</v>
      </c>
      <c r="I222">
        <v>1002.870425531915</v>
      </c>
      <c r="J222">
        <v>0.05</v>
      </c>
      <c r="K222" t="s">
        <v>42</v>
      </c>
      <c r="L222" t="s">
        <v>27</v>
      </c>
      <c r="M222" s="3">
        <f t="shared" si="9"/>
        <v>0</v>
      </c>
      <c r="N222" t="str">
        <f t="shared" si="10"/>
        <v>October</v>
      </c>
      <c r="O222" t="str">
        <f t="shared" si="11"/>
        <v>2023</v>
      </c>
      <c r="P222" s="3">
        <f>Table1[[#This Row],[Revenue]]-Table1[[#This Row],[Cost]]</f>
        <v>0</v>
      </c>
      <c r="Q22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23" spans="1:17" x14ac:dyDescent="0.2">
      <c r="A223" t="s">
        <v>30</v>
      </c>
      <c r="B223" s="1">
        <v>45139</v>
      </c>
      <c r="C223" t="s">
        <v>12</v>
      </c>
      <c r="D223" t="s">
        <v>19</v>
      </c>
      <c r="E223" t="s">
        <v>25</v>
      </c>
      <c r="F223" t="s">
        <v>26</v>
      </c>
      <c r="G223">
        <v>0</v>
      </c>
      <c r="H223">
        <f>Table1[[#This Row],[UnitPrice]]*0.7*Table1[[#This Row],[UnitsSold]]</f>
        <v>0</v>
      </c>
      <c r="I223">
        <v>692.7</v>
      </c>
      <c r="J223">
        <v>0</v>
      </c>
      <c r="K223" t="s">
        <v>42</v>
      </c>
      <c r="L223" t="s">
        <v>27</v>
      </c>
      <c r="M223" s="3">
        <f t="shared" si="9"/>
        <v>0</v>
      </c>
      <c r="N223" t="str">
        <f t="shared" si="10"/>
        <v>August</v>
      </c>
      <c r="O223" t="str">
        <f t="shared" si="11"/>
        <v>2023</v>
      </c>
      <c r="P223" s="3">
        <f>Table1[[#This Row],[Revenue]]-Table1[[#This Row],[Cost]]</f>
        <v>0</v>
      </c>
      <c r="Q22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24" spans="1:17" x14ac:dyDescent="0.2">
      <c r="A224" t="s">
        <v>183</v>
      </c>
      <c r="B224" s="1">
        <v>45296</v>
      </c>
      <c r="C224" t="s">
        <v>57</v>
      </c>
      <c r="D224" t="s">
        <v>59</v>
      </c>
      <c r="E224" t="s">
        <v>46</v>
      </c>
      <c r="F224" t="s">
        <v>26</v>
      </c>
      <c r="G224">
        <v>0</v>
      </c>
      <c r="H224">
        <f>Table1[[#This Row],[UnitPrice]]*0.7*Table1[[#This Row],[UnitsSold]]</f>
        <v>0</v>
      </c>
      <c r="I224">
        <v>1106.0261904761899</v>
      </c>
      <c r="J224">
        <v>0</v>
      </c>
      <c r="K224" t="s">
        <v>16</v>
      </c>
      <c r="L224" t="s">
        <v>249</v>
      </c>
      <c r="M224" s="3">
        <f t="shared" si="9"/>
        <v>0</v>
      </c>
      <c r="N224" t="str">
        <f t="shared" si="10"/>
        <v>January</v>
      </c>
      <c r="O224" t="str">
        <f t="shared" si="11"/>
        <v>2024</v>
      </c>
      <c r="P224" s="3">
        <f>Table1[[#This Row],[Revenue]]-Table1[[#This Row],[Cost]]</f>
        <v>0</v>
      </c>
      <c r="Q22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25" spans="1:17" x14ac:dyDescent="0.2">
      <c r="A225" t="s">
        <v>184</v>
      </c>
      <c r="B225" s="1">
        <v>45016</v>
      </c>
      <c r="C225" t="s">
        <v>246</v>
      </c>
      <c r="D225" t="s">
        <v>59</v>
      </c>
      <c r="E225" t="s">
        <v>44</v>
      </c>
      <c r="F225" t="s">
        <v>26</v>
      </c>
      <c r="G225">
        <v>15</v>
      </c>
      <c r="H225">
        <f>Table1[[#This Row],[UnitPrice]]*0.7*Table1[[#This Row],[UnitsSold]]</f>
        <v>11335.554255319148</v>
      </c>
      <c r="I225">
        <v>1079.5765957446808</v>
      </c>
      <c r="J225">
        <v>0</v>
      </c>
      <c r="K225" t="s">
        <v>283</v>
      </c>
      <c r="L225" t="s">
        <v>22</v>
      </c>
      <c r="M225" s="3">
        <f t="shared" si="9"/>
        <v>16193.648936170213</v>
      </c>
      <c r="N225" t="str">
        <f t="shared" si="10"/>
        <v>March</v>
      </c>
      <c r="O225" t="str">
        <f t="shared" si="11"/>
        <v>2023</v>
      </c>
      <c r="P225" s="3">
        <f>Table1[[#This Row],[Revenue]]-Table1[[#This Row],[Cost]]</f>
        <v>4858.0946808510653</v>
      </c>
      <c r="Q22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226" spans="1:17" x14ac:dyDescent="0.2">
      <c r="A226" t="s">
        <v>132</v>
      </c>
      <c r="B226" s="1">
        <v>44941</v>
      </c>
      <c r="C226" t="s">
        <v>37</v>
      </c>
      <c r="D226" t="s">
        <v>83</v>
      </c>
      <c r="E226" t="s">
        <v>44</v>
      </c>
      <c r="F226" t="s">
        <v>26</v>
      </c>
      <c r="G226">
        <v>13</v>
      </c>
      <c r="H226">
        <f>Table1[[#This Row],[UnitPrice]]*0.7*Table1[[#This Row],[UnitsSold]]</f>
        <v>12853.021999999999</v>
      </c>
      <c r="I226">
        <v>1412.42</v>
      </c>
      <c r="J226">
        <v>0</v>
      </c>
      <c r="K226" t="s">
        <v>16</v>
      </c>
      <c r="L226" t="s">
        <v>17</v>
      </c>
      <c r="M226" s="3">
        <f t="shared" si="9"/>
        <v>18361.46</v>
      </c>
      <c r="N226" t="str">
        <f t="shared" si="10"/>
        <v>January</v>
      </c>
      <c r="O226" t="str">
        <f t="shared" si="11"/>
        <v>2023</v>
      </c>
      <c r="P226" s="3">
        <f>Table1[[#This Row],[Revenue]]-Table1[[#This Row],[Cost]]</f>
        <v>5508.4380000000001</v>
      </c>
      <c r="Q226"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27" spans="1:17" x14ac:dyDescent="0.2">
      <c r="A227" t="s">
        <v>97</v>
      </c>
      <c r="B227" s="1">
        <v>45201</v>
      </c>
      <c r="C227" t="s">
        <v>246</v>
      </c>
      <c r="D227" t="s">
        <v>59</v>
      </c>
      <c r="E227" t="s">
        <v>14</v>
      </c>
      <c r="F227" t="s">
        <v>26</v>
      </c>
      <c r="G227">
        <v>15</v>
      </c>
      <c r="H227">
        <f>Table1[[#This Row],[UnitPrice]]*0.7*Table1[[#This Row],[UnitsSold]]</f>
        <v>10530.139468085106</v>
      </c>
      <c r="I227">
        <v>1002.870425531915</v>
      </c>
      <c r="J227">
        <v>0</v>
      </c>
      <c r="K227" t="s">
        <v>52</v>
      </c>
      <c r="L227" t="s">
        <v>17</v>
      </c>
      <c r="M227" s="3">
        <f t="shared" si="9"/>
        <v>15043.056382978724</v>
      </c>
      <c r="N227" t="str">
        <f t="shared" si="10"/>
        <v>October</v>
      </c>
      <c r="O227" t="str">
        <f t="shared" si="11"/>
        <v>2023</v>
      </c>
      <c r="P227" s="3">
        <f>Table1[[#This Row],[Revenue]]-Table1[[#This Row],[Cost]]</f>
        <v>4512.916914893618</v>
      </c>
      <c r="Q22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28" spans="1:17" x14ac:dyDescent="0.2">
      <c r="A228" t="s">
        <v>185</v>
      </c>
      <c r="B228" s="1">
        <v>45239</v>
      </c>
      <c r="C228" t="s">
        <v>57</v>
      </c>
      <c r="D228" t="s">
        <v>31</v>
      </c>
      <c r="E228" t="s">
        <v>46</v>
      </c>
      <c r="F228" t="s">
        <v>26</v>
      </c>
      <c r="G228">
        <v>0</v>
      </c>
      <c r="H228">
        <f>Table1[[#This Row],[UnitPrice]]*0.7*Table1[[#This Row],[UnitsSold]]</f>
        <v>0</v>
      </c>
      <c r="I228">
        <v>1106.0261904761899</v>
      </c>
      <c r="J228">
        <v>0</v>
      </c>
      <c r="K228" t="s">
        <v>248</v>
      </c>
      <c r="L228" t="s">
        <v>17</v>
      </c>
      <c r="M228" s="3">
        <f t="shared" si="9"/>
        <v>0</v>
      </c>
      <c r="N228" t="str">
        <f t="shared" si="10"/>
        <v>November</v>
      </c>
      <c r="O228" t="str">
        <f t="shared" si="11"/>
        <v>2023</v>
      </c>
      <c r="P228" s="3">
        <f>Table1[[#This Row],[Revenue]]-Table1[[#This Row],[Cost]]</f>
        <v>0</v>
      </c>
      <c r="Q22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29" spans="1:17" x14ac:dyDescent="0.2">
      <c r="A229" t="s">
        <v>174</v>
      </c>
      <c r="B229" s="1">
        <v>45271</v>
      </c>
      <c r="C229" t="s">
        <v>246</v>
      </c>
      <c r="D229" t="s">
        <v>59</v>
      </c>
      <c r="E229" t="s">
        <v>46</v>
      </c>
      <c r="F229" t="s">
        <v>26</v>
      </c>
      <c r="G229">
        <v>10</v>
      </c>
      <c r="H229">
        <f>Table1[[#This Row],[UnitPrice]]*0.7*Table1[[#This Row],[UnitsSold]]</f>
        <v>7742.1833333333288</v>
      </c>
      <c r="I229">
        <v>1106.0261904761899</v>
      </c>
      <c r="J229">
        <v>0</v>
      </c>
      <c r="K229" t="s">
        <v>42</v>
      </c>
      <c r="L229" t="s">
        <v>17</v>
      </c>
      <c r="M229" s="3">
        <f t="shared" si="9"/>
        <v>11060.261904761899</v>
      </c>
      <c r="N229" t="str">
        <f t="shared" si="10"/>
        <v>December</v>
      </c>
      <c r="O229" t="str">
        <f t="shared" si="11"/>
        <v>2023</v>
      </c>
      <c r="P229" s="3">
        <f>Table1[[#This Row],[Revenue]]-Table1[[#This Row],[Cost]]</f>
        <v>3318.0785714285703</v>
      </c>
      <c r="Q22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30" spans="1:17" x14ac:dyDescent="0.2">
      <c r="A230" t="s">
        <v>138</v>
      </c>
      <c r="B230" s="1">
        <v>45221</v>
      </c>
      <c r="C230" t="s">
        <v>57</v>
      </c>
      <c r="D230" t="s">
        <v>83</v>
      </c>
      <c r="E230" t="s">
        <v>247</v>
      </c>
      <c r="F230" t="s">
        <v>26</v>
      </c>
      <c r="G230">
        <v>0</v>
      </c>
      <c r="H230">
        <f>Table1[[#This Row],[UnitPrice]]*0.7*Table1[[#This Row],[UnitsSold]]</f>
        <v>0</v>
      </c>
      <c r="I230">
        <v>1839.13</v>
      </c>
      <c r="J230">
        <v>0</v>
      </c>
      <c r="K230" t="s">
        <v>52</v>
      </c>
      <c r="L230" t="s">
        <v>249</v>
      </c>
      <c r="M230" s="3">
        <f t="shared" si="9"/>
        <v>0</v>
      </c>
      <c r="N230" t="str">
        <f t="shared" si="10"/>
        <v>October</v>
      </c>
      <c r="O230" t="str">
        <f t="shared" si="11"/>
        <v>2023</v>
      </c>
      <c r="P230" s="3">
        <f>Table1[[#This Row],[Revenue]]-Table1[[#This Row],[Cost]]</f>
        <v>0</v>
      </c>
      <c r="Q23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31" spans="1:17" x14ac:dyDescent="0.2">
      <c r="A231" t="s">
        <v>171</v>
      </c>
      <c r="B231" s="1">
        <v>45088</v>
      </c>
      <c r="C231" t="s">
        <v>57</v>
      </c>
      <c r="D231" t="s">
        <v>31</v>
      </c>
      <c r="E231" t="s">
        <v>46</v>
      </c>
      <c r="F231" t="s">
        <v>26</v>
      </c>
      <c r="G231">
        <v>0</v>
      </c>
      <c r="H231">
        <f>Table1[[#This Row],[UnitPrice]]*0.7*Table1[[#This Row],[UnitsSold]]</f>
        <v>0</v>
      </c>
      <c r="I231">
        <v>1106.0261904761899</v>
      </c>
      <c r="J231">
        <v>0</v>
      </c>
      <c r="K231" t="s">
        <v>283</v>
      </c>
      <c r="L231" t="s">
        <v>22</v>
      </c>
      <c r="M231" s="3">
        <f t="shared" si="9"/>
        <v>0</v>
      </c>
      <c r="N231" t="str">
        <f t="shared" si="10"/>
        <v>June</v>
      </c>
      <c r="O231" t="str">
        <f t="shared" si="11"/>
        <v>2023</v>
      </c>
      <c r="P231" s="3">
        <f>Table1[[#This Row],[Revenue]]-Table1[[#This Row],[Cost]]</f>
        <v>0</v>
      </c>
      <c r="Q23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32" spans="1:17" x14ac:dyDescent="0.2">
      <c r="A232" t="s">
        <v>64</v>
      </c>
      <c r="B232" s="1">
        <v>45277</v>
      </c>
      <c r="C232" t="s">
        <v>57</v>
      </c>
      <c r="D232" t="s">
        <v>83</v>
      </c>
      <c r="E232" t="s">
        <v>48</v>
      </c>
      <c r="F232" t="s">
        <v>39</v>
      </c>
      <c r="G232">
        <v>16</v>
      </c>
      <c r="H232">
        <f>Table1[[#This Row],[UnitPrice]]*0.7*Table1[[#This Row],[UnitsSold]]</f>
        <v>1954.5119999999997</v>
      </c>
      <c r="I232">
        <v>174.51</v>
      </c>
      <c r="J232">
        <v>0.24</v>
      </c>
      <c r="K232" t="s">
        <v>52</v>
      </c>
      <c r="L232" t="s">
        <v>27</v>
      </c>
      <c r="M232" s="3">
        <f t="shared" si="9"/>
        <v>2122.0416</v>
      </c>
      <c r="N232" t="str">
        <f t="shared" si="10"/>
        <v>December</v>
      </c>
      <c r="O232" t="str">
        <f t="shared" si="11"/>
        <v>2023</v>
      </c>
      <c r="P232" s="3">
        <f>Table1[[#This Row],[Revenue]]-Table1[[#This Row],[Cost]]</f>
        <v>167.5296000000003</v>
      </c>
      <c r="Q232" s="6">
        <f>IF(Table1[[#This Row],[UnitsSold]]*Table1[[#This Row],[UnitPrice]]*(1-Table1[[#This Row],[Discount]])=0, 0, ((Table1[[#This Row],[UnitsSold]]*Table1[[#This Row],[UnitPrice]]*(1-Table1[[#This Row],[Discount]])) - (Table1[[#This Row],[UnitsSold]]*Table1[[#This Row],[UnitPrice]]*0.7)) / (Table1[[#This Row],[UnitsSold]]*Table1[[#This Row],[UnitPrice]]*(1-Table1[[#This Row],[Discount]])))</f>
        <v>7.8947368421052766E-2</v>
      </c>
    </row>
    <row r="233" spans="1:17" x14ac:dyDescent="0.2">
      <c r="A233" t="s">
        <v>86</v>
      </c>
      <c r="B233" s="1">
        <v>45042</v>
      </c>
      <c r="C233" t="s">
        <v>24</v>
      </c>
      <c r="D233" t="s">
        <v>19</v>
      </c>
      <c r="E233" t="s">
        <v>25</v>
      </c>
      <c r="F233" t="s">
        <v>26</v>
      </c>
      <c r="G233">
        <v>0</v>
      </c>
      <c r="H233">
        <f>Table1[[#This Row],[UnitPrice]]*0.7*Table1[[#This Row],[UnitsSold]]</f>
        <v>0</v>
      </c>
      <c r="I233">
        <v>961.05661016949136</v>
      </c>
      <c r="J233">
        <v>0.16</v>
      </c>
      <c r="K233" t="s">
        <v>248</v>
      </c>
      <c r="L233" t="s">
        <v>27</v>
      </c>
      <c r="M233" s="3">
        <f t="shared" si="9"/>
        <v>0</v>
      </c>
      <c r="N233" t="str">
        <f t="shared" si="10"/>
        <v>April</v>
      </c>
      <c r="O233" t="str">
        <f t="shared" si="11"/>
        <v>2023</v>
      </c>
      <c r="P233" s="3">
        <f>Table1[[#This Row],[Revenue]]-Table1[[#This Row],[Cost]]</f>
        <v>0</v>
      </c>
      <c r="Q23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34" spans="1:17" x14ac:dyDescent="0.2">
      <c r="A234" t="s">
        <v>186</v>
      </c>
      <c r="B234" s="1">
        <v>45323</v>
      </c>
      <c r="C234" t="s">
        <v>29</v>
      </c>
      <c r="D234" t="s">
        <v>31</v>
      </c>
      <c r="E234" t="s">
        <v>25</v>
      </c>
      <c r="F234" t="s">
        <v>26</v>
      </c>
      <c r="G234">
        <v>0</v>
      </c>
      <c r="H234">
        <f>Table1[[#This Row],[UnitPrice]]*0.7*Table1[[#This Row],[UnitsSold]]</f>
        <v>0</v>
      </c>
      <c r="I234">
        <v>961.05661016949136</v>
      </c>
      <c r="J234">
        <v>0</v>
      </c>
      <c r="K234" t="s">
        <v>16</v>
      </c>
      <c r="L234" t="s">
        <v>55</v>
      </c>
      <c r="M234" s="3">
        <f t="shared" si="9"/>
        <v>0</v>
      </c>
      <c r="N234" t="str">
        <f t="shared" si="10"/>
        <v>February</v>
      </c>
      <c r="O234" t="str">
        <f t="shared" si="11"/>
        <v>2024</v>
      </c>
      <c r="P234" s="3">
        <f>Table1[[#This Row],[Revenue]]-Table1[[#This Row],[Cost]]</f>
        <v>0</v>
      </c>
      <c r="Q23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35" spans="1:17" x14ac:dyDescent="0.2">
      <c r="A235" t="s">
        <v>168</v>
      </c>
      <c r="B235" s="1">
        <v>45157</v>
      </c>
      <c r="C235" t="s">
        <v>24</v>
      </c>
      <c r="D235" t="s">
        <v>59</v>
      </c>
      <c r="E235" t="s">
        <v>25</v>
      </c>
      <c r="F235" t="s">
        <v>26</v>
      </c>
      <c r="G235">
        <v>15</v>
      </c>
      <c r="H235">
        <f>Table1[[#This Row],[UnitPrice]]*0.7*Table1[[#This Row],[UnitsSold]]</f>
        <v>16311.854999999998</v>
      </c>
      <c r="I235">
        <v>1553.51</v>
      </c>
      <c r="J235">
        <v>0</v>
      </c>
      <c r="K235" t="s">
        <v>248</v>
      </c>
      <c r="L235" t="s">
        <v>55</v>
      </c>
      <c r="M235" s="3">
        <f t="shared" si="9"/>
        <v>23302.65</v>
      </c>
      <c r="N235" t="str">
        <f t="shared" si="10"/>
        <v>August</v>
      </c>
      <c r="O235" t="str">
        <f t="shared" si="11"/>
        <v>2023</v>
      </c>
      <c r="P235" s="3">
        <f>Table1[[#This Row],[Revenue]]-Table1[[#This Row],[Cost]]</f>
        <v>6990.7950000000037</v>
      </c>
      <c r="Q23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36" spans="1:17" x14ac:dyDescent="0.2">
      <c r="A236" t="s">
        <v>107</v>
      </c>
      <c r="B236" s="1">
        <v>45239</v>
      </c>
      <c r="C236" t="s">
        <v>57</v>
      </c>
      <c r="D236" t="s">
        <v>19</v>
      </c>
      <c r="E236" t="s">
        <v>44</v>
      </c>
      <c r="F236" t="s">
        <v>26</v>
      </c>
      <c r="G236">
        <v>7</v>
      </c>
      <c r="H236">
        <f>Table1[[#This Row],[UnitPrice]]*0.7*Table1[[#This Row],[UnitsSold]]</f>
        <v>5289.9253191489352</v>
      </c>
      <c r="I236">
        <v>1079.5765957446808</v>
      </c>
      <c r="J236">
        <v>0</v>
      </c>
      <c r="K236" t="s">
        <v>248</v>
      </c>
      <c r="L236" t="s">
        <v>17</v>
      </c>
      <c r="M236" s="3">
        <f t="shared" si="9"/>
        <v>7557.0361702127657</v>
      </c>
      <c r="N236" t="str">
        <f t="shared" si="10"/>
        <v>November</v>
      </c>
      <c r="O236" t="str">
        <f t="shared" si="11"/>
        <v>2023</v>
      </c>
      <c r="P236" s="3">
        <f>Table1[[#This Row],[Revenue]]-Table1[[#This Row],[Cost]]</f>
        <v>2267.1108510638305</v>
      </c>
      <c r="Q236"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237" spans="1:17" x14ac:dyDescent="0.2">
      <c r="A237" t="s">
        <v>187</v>
      </c>
      <c r="B237" s="1">
        <v>45092</v>
      </c>
      <c r="C237" t="s">
        <v>24</v>
      </c>
      <c r="D237" t="s">
        <v>59</v>
      </c>
      <c r="E237" t="s">
        <v>44</v>
      </c>
      <c r="F237" t="s">
        <v>26</v>
      </c>
      <c r="G237">
        <v>0</v>
      </c>
      <c r="H237">
        <f>Table1[[#This Row],[UnitPrice]]*0.7*Table1[[#This Row],[UnitsSold]]</f>
        <v>0</v>
      </c>
      <c r="I237">
        <v>1632.21</v>
      </c>
      <c r="J237">
        <v>0</v>
      </c>
      <c r="K237" t="s">
        <v>16</v>
      </c>
      <c r="L237" t="s">
        <v>55</v>
      </c>
      <c r="M237" s="3">
        <f t="shared" si="9"/>
        <v>0</v>
      </c>
      <c r="N237" t="str">
        <f t="shared" si="10"/>
        <v>June</v>
      </c>
      <c r="O237" t="str">
        <f t="shared" si="11"/>
        <v>2023</v>
      </c>
      <c r="P237" s="3">
        <f>Table1[[#This Row],[Revenue]]-Table1[[#This Row],[Cost]]</f>
        <v>0</v>
      </c>
      <c r="Q23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38" spans="1:17" x14ac:dyDescent="0.2">
      <c r="A238" t="s">
        <v>188</v>
      </c>
      <c r="B238" s="1">
        <v>44991</v>
      </c>
      <c r="C238" t="s">
        <v>246</v>
      </c>
      <c r="D238" t="s">
        <v>19</v>
      </c>
      <c r="E238" t="s">
        <v>247</v>
      </c>
      <c r="F238" t="s">
        <v>26</v>
      </c>
      <c r="G238">
        <v>0</v>
      </c>
      <c r="H238">
        <f>Table1[[#This Row],[UnitPrice]]*0.7*Table1[[#This Row],[UnitsSold]]</f>
        <v>0</v>
      </c>
      <c r="I238">
        <v>791.47</v>
      </c>
      <c r="J238">
        <v>0</v>
      </c>
      <c r="K238" t="s">
        <v>283</v>
      </c>
      <c r="L238" t="s">
        <v>22</v>
      </c>
      <c r="M238" s="3">
        <f t="shared" si="9"/>
        <v>0</v>
      </c>
      <c r="N238" t="str">
        <f t="shared" si="10"/>
        <v>March</v>
      </c>
      <c r="O238" t="str">
        <f t="shared" si="11"/>
        <v>2023</v>
      </c>
      <c r="P238" s="3">
        <f>Table1[[#This Row],[Revenue]]-Table1[[#This Row],[Cost]]</f>
        <v>0</v>
      </c>
      <c r="Q23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39" spans="1:17" x14ac:dyDescent="0.2">
      <c r="A239" t="s">
        <v>166</v>
      </c>
      <c r="B239" s="1">
        <v>45158</v>
      </c>
      <c r="C239" t="s">
        <v>12</v>
      </c>
      <c r="D239" t="s">
        <v>13</v>
      </c>
      <c r="E239" t="s">
        <v>25</v>
      </c>
      <c r="F239" t="s">
        <v>26</v>
      </c>
      <c r="G239">
        <v>0</v>
      </c>
      <c r="H239">
        <f>Table1[[#This Row],[UnitPrice]]*0.7*Table1[[#This Row],[UnitsSold]]</f>
        <v>0</v>
      </c>
      <c r="I239">
        <v>961.05661016949136</v>
      </c>
      <c r="J239">
        <v>0</v>
      </c>
      <c r="K239" t="s">
        <v>42</v>
      </c>
      <c r="L239" t="s">
        <v>22</v>
      </c>
      <c r="M239" s="3">
        <f t="shared" si="9"/>
        <v>0</v>
      </c>
      <c r="N239" t="str">
        <f t="shared" si="10"/>
        <v>August</v>
      </c>
      <c r="O239" t="str">
        <f t="shared" si="11"/>
        <v>2023</v>
      </c>
      <c r="P239" s="3">
        <f>Table1[[#This Row],[Revenue]]-Table1[[#This Row],[Cost]]</f>
        <v>0</v>
      </c>
      <c r="Q23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40" spans="1:17" x14ac:dyDescent="0.2">
      <c r="A240" t="s">
        <v>78</v>
      </c>
      <c r="B240" s="1">
        <v>45224</v>
      </c>
      <c r="C240" t="s">
        <v>12</v>
      </c>
      <c r="D240" t="s">
        <v>267</v>
      </c>
      <c r="E240" t="s">
        <v>25</v>
      </c>
      <c r="F240" t="s">
        <v>26</v>
      </c>
      <c r="G240">
        <v>0</v>
      </c>
      <c r="H240">
        <f>Table1[[#This Row],[UnitPrice]]*0.7*Table1[[#This Row],[UnitsSold]]</f>
        <v>0</v>
      </c>
      <c r="I240">
        <v>961.05661016949136</v>
      </c>
      <c r="J240">
        <v>0</v>
      </c>
      <c r="K240" t="s">
        <v>42</v>
      </c>
      <c r="L240" t="s">
        <v>249</v>
      </c>
      <c r="M240" s="3">
        <f t="shared" si="9"/>
        <v>0</v>
      </c>
      <c r="N240" t="str">
        <f t="shared" si="10"/>
        <v>October</v>
      </c>
      <c r="O240" t="str">
        <f t="shared" si="11"/>
        <v>2023</v>
      </c>
      <c r="P240" s="3">
        <f>Table1[[#This Row],[Revenue]]-Table1[[#This Row],[Cost]]</f>
        <v>0</v>
      </c>
      <c r="Q24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41" spans="1:17" x14ac:dyDescent="0.2">
      <c r="A241" t="s">
        <v>85</v>
      </c>
      <c r="B241" s="1">
        <v>45035</v>
      </c>
      <c r="C241" t="s">
        <v>57</v>
      </c>
      <c r="D241" t="s">
        <v>59</v>
      </c>
      <c r="E241" t="s">
        <v>14</v>
      </c>
      <c r="F241" t="s">
        <v>26</v>
      </c>
      <c r="G241">
        <v>0</v>
      </c>
      <c r="H241">
        <f>Table1[[#This Row],[UnitPrice]]*0.7*Table1[[#This Row],[UnitsSold]]</f>
        <v>0</v>
      </c>
      <c r="I241">
        <v>1002.870425531915</v>
      </c>
      <c r="J241">
        <v>0</v>
      </c>
      <c r="K241" t="s">
        <v>283</v>
      </c>
      <c r="L241" t="s">
        <v>27</v>
      </c>
      <c r="M241" s="3">
        <f t="shared" si="9"/>
        <v>0</v>
      </c>
      <c r="N241" t="str">
        <f t="shared" si="10"/>
        <v>April</v>
      </c>
      <c r="O241" t="str">
        <f t="shared" si="11"/>
        <v>2023</v>
      </c>
      <c r="P241" s="3">
        <f>Table1[[#This Row],[Revenue]]-Table1[[#This Row],[Cost]]</f>
        <v>0</v>
      </c>
      <c r="Q24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42" spans="1:17" x14ac:dyDescent="0.2">
      <c r="A242" t="s">
        <v>153</v>
      </c>
      <c r="B242" s="1">
        <v>44977</v>
      </c>
      <c r="C242" t="s">
        <v>57</v>
      </c>
      <c r="D242" t="s">
        <v>19</v>
      </c>
      <c r="E242" t="s">
        <v>46</v>
      </c>
      <c r="F242" t="s">
        <v>26</v>
      </c>
      <c r="G242">
        <v>0</v>
      </c>
      <c r="H242">
        <f>Table1[[#This Row],[UnitPrice]]*0.7*Table1[[#This Row],[UnitsSold]]</f>
        <v>0</v>
      </c>
      <c r="I242">
        <v>1106.0261904761899</v>
      </c>
      <c r="J242">
        <v>0</v>
      </c>
      <c r="K242" t="s">
        <v>16</v>
      </c>
      <c r="L242" t="s">
        <v>55</v>
      </c>
      <c r="M242" s="3">
        <f t="shared" si="9"/>
        <v>0</v>
      </c>
      <c r="N242" t="str">
        <f t="shared" si="10"/>
        <v>February</v>
      </c>
      <c r="O242" t="str">
        <f t="shared" si="11"/>
        <v>2023</v>
      </c>
      <c r="P242" s="3">
        <f>Table1[[#This Row],[Revenue]]-Table1[[#This Row],[Cost]]</f>
        <v>0</v>
      </c>
      <c r="Q24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43" spans="1:17" x14ac:dyDescent="0.2">
      <c r="A243" t="s">
        <v>189</v>
      </c>
      <c r="B243" s="1">
        <v>45067</v>
      </c>
      <c r="C243" t="s">
        <v>12</v>
      </c>
      <c r="D243" t="s">
        <v>13</v>
      </c>
      <c r="E243" t="s">
        <v>14</v>
      </c>
      <c r="F243" t="s">
        <v>26</v>
      </c>
      <c r="G243">
        <v>0</v>
      </c>
      <c r="H243">
        <f>Table1[[#This Row],[UnitPrice]]*0.7*Table1[[#This Row],[UnitsSold]]</f>
        <v>0</v>
      </c>
      <c r="I243">
        <v>1002.870425531915</v>
      </c>
      <c r="J243">
        <v>0</v>
      </c>
      <c r="K243" t="s">
        <v>283</v>
      </c>
      <c r="L243" t="s">
        <v>55</v>
      </c>
      <c r="M243" s="3">
        <f t="shared" si="9"/>
        <v>0</v>
      </c>
      <c r="N243" t="str">
        <f t="shared" si="10"/>
        <v>May</v>
      </c>
      <c r="O243" t="str">
        <f t="shared" si="11"/>
        <v>2023</v>
      </c>
      <c r="P243" s="3">
        <f>Table1[[#This Row],[Revenue]]-Table1[[#This Row],[Cost]]</f>
        <v>0</v>
      </c>
      <c r="Q24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44" spans="1:17" x14ac:dyDescent="0.2">
      <c r="A244" t="s">
        <v>165</v>
      </c>
      <c r="B244" s="1">
        <v>45285</v>
      </c>
      <c r="C244" t="s">
        <v>37</v>
      </c>
      <c r="D244" t="s">
        <v>83</v>
      </c>
      <c r="E244" t="s">
        <v>48</v>
      </c>
      <c r="F244" t="s">
        <v>39</v>
      </c>
      <c r="G244">
        <v>4</v>
      </c>
      <c r="H244">
        <f>Table1[[#This Row],[UnitPrice]]*0.7*Table1[[#This Row],[UnitsSold]]</f>
        <v>1217.1879999999999</v>
      </c>
      <c r="I244">
        <v>434.71</v>
      </c>
      <c r="J244">
        <v>0.04</v>
      </c>
      <c r="K244" t="s">
        <v>248</v>
      </c>
      <c r="L244" t="s">
        <v>22</v>
      </c>
      <c r="M244" s="3">
        <f t="shared" si="9"/>
        <v>1669.2864</v>
      </c>
      <c r="N244" t="str">
        <f t="shared" si="10"/>
        <v>December</v>
      </c>
      <c r="O244" t="str">
        <f t="shared" si="11"/>
        <v>2023</v>
      </c>
      <c r="P244" s="3">
        <f>Table1[[#This Row],[Revenue]]-Table1[[#This Row],[Cost]]</f>
        <v>452.09840000000008</v>
      </c>
      <c r="Q244" s="6">
        <f>IF(Table1[[#This Row],[UnitsSold]]*Table1[[#This Row],[UnitPrice]]*(1-Table1[[#This Row],[Discount]])=0, 0, ((Table1[[#This Row],[UnitsSold]]*Table1[[#This Row],[UnitPrice]]*(1-Table1[[#This Row],[Discount]])) - (Table1[[#This Row],[UnitsSold]]*Table1[[#This Row],[UnitPrice]]*0.7)) / (Table1[[#This Row],[UnitsSold]]*Table1[[#This Row],[UnitPrice]]*(1-Table1[[#This Row],[Discount]])))</f>
        <v>0.27083333333333337</v>
      </c>
    </row>
    <row r="245" spans="1:17" x14ac:dyDescent="0.2">
      <c r="A245" t="s">
        <v>190</v>
      </c>
      <c r="B245" s="1">
        <v>44931</v>
      </c>
      <c r="C245" t="s">
        <v>29</v>
      </c>
      <c r="D245" t="s">
        <v>267</v>
      </c>
      <c r="E245" t="s">
        <v>46</v>
      </c>
      <c r="F245" t="s">
        <v>26</v>
      </c>
      <c r="G245">
        <v>0</v>
      </c>
      <c r="H245">
        <f>Table1[[#This Row],[UnitPrice]]*0.7*Table1[[#This Row],[UnitsSold]]</f>
        <v>0</v>
      </c>
      <c r="I245">
        <v>1106.0261904761899</v>
      </c>
      <c r="J245">
        <v>0.03</v>
      </c>
      <c r="K245" t="s">
        <v>16</v>
      </c>
      <c r="L245" t="s">
        <v>55</v>
      </c>
      <c r="M245" s="3">
        <f t="shared" si="9"/>
        <v>0</v>
      </c>
      <c r="N245" t="str">
        <f t="shared" si="10"/>
        <v>January</v>
      </c>
      <c r="O245" t="str">
        <f t="shared" si="11"/>
        <v>2023</v>
      </c>
      <c r="P245" s="3">
        <f>Table1[[#This Row],[Revenue]]-Table1[[#This Row],[Cost]]</f>
        <v>0</v>
      </c>
      <c r="Q24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46" spans="1:17" x14ac:dyDescent="0.2">
      <c r="A246" t="s">
        <v>95</v>
      </c>
      <c r="B246" s="1">
        <v>45080</v>
      </c>
      <c r="C246" t="s">
        <v>246</v>
      </c>
      <c r="D246" t="s">
        <v>83</v>
      </c>
      <c r="E246" t="s">
        <v>25</v>
      </c>
      <c r="F246" t="s">
        <v>26</v>
      </c>
      <c r="G246">
        <v>5</v>
      </c>
      <c r="H246">
        <f>Table1[[#This Row],[UnitPrice]]*0.7*Table1[[#This Row],[UnitsSold]]</f>
        <v>3729.9849999999997</v>
      </c>
      <c r="I246">
        <v>1065.71</v>
      </c>
      <c r="J246">
        <v>0.18</v>
      </c>
      <c r="K246" t="s">
        <v>42</v>
      </c>
      <c r="L246" t="s">
        <v>55</v>
      </c>
      <c r="M246" s="3">
        <f t="shared" si="9"/>
        <v>4369.4110000000001</v>
      </c>
      <c r="N246" t="str">
        <f t="shared" si="10"/>
        <v>June</v>
      </c>
      <c r="O246" t="str">
        <f t="shared" si="11"/>
        <v>2023</v>
      </c>
      <c r="P246" s="3">
        <f>Table1[[#This Row],[Revenue]]-Table1[[#This Row],[Cost]]</f>
        <v>639.42600000000039</v>
      </c>
      <c r="Q246" s="6">
        <f>IF(Table1[[#This Row],[UnitsSold]]*Table1[[#This Row],[UnitPrice]]*(1-Table1[[#This Row],[Discount]])=0, 0, ((Table1[[#This Row],[UnitsSold]]*Table1[[#This Row],[UnitPrice]]*(1-Table1[[#This Row],[Discount]])) - (Table1[[#This Row],[UnitsSold]]*Table1[[#This Row],[UnitPrice]]*0.7)) / (Table1[[#This Row],[UnitsSold]]*Table1[[#This Row],[UnitPrice]]*(1-Table1[[#This Row],[Discount]])))</f>
        <v>0.14634146341463422</v>
      </c>
    </row>
    <row r="247" spans="1:17" x14ac:dyDescent="0.2">
      <c r="A247" t="s">
        <v>135</v>
      </c>
      <c r="B247" s="1">
        <v>45036</v>
      </c>
      <c r="C247" t="s">
        <v>246</v>
      </c>
      <c r="D247" t="s">
        <v>83</v>
      </c>
      <c r="E247" t="s">
        <v>44</v>
      </c>
      <c r="F247" t="s">
        <v>26</v>
      </c>
      <c r="G247">
        <v>7</v>
      </c>
      <c r="H247">
        <f>Table1[[#This Row],[UnitPrice]]*0.7*Table1[[#This Row],[UnitsSold]]</f>
        <v>8791.6779999999999</v>
      </c>
      <c r="I247">
        <v>1794.22</v>
      </c>
      <c r="J247">
        <v>0</v>
      </c>
      <c r="K247" t="s">
        <v>283</v>
      </c>
      <c r="L247" t="s">
        <v>22</v>
      </c>
      <c r="M247" s="3">
        <f t="shared" si="9"/>
        <v>12559.54</v>
      </c>
      <c r="N247" t="str">
        <f t="shared" si="10"/>
        <v>April</v>
      </c>
      <c r="O247" t="str">
        <f t="shared" si="11"/>
        <v>2023</v>
      </c>
      <c r="P247" s="3">
        <f>Table1[[#This Row],[Revenue]]-Table1[[#This Row],[Cost]]</f>
        <v>3767.862000000001</v>
      </c>
      <c r="Q24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48" spans="1:17" x14ac:dyDescent="0.2">
      <c r="A248" t="s">
        <v>144</v>
      </c>
      <c r="B248" s="1">
        <v>45146</v>
      </c>
      <c r="C248" t="s">
        <v>29</v>
      </c>
      <c r="D248" t="s">
        <v>267</v>
      </c>
      <c r="E248" t="s">
        <v>247</v>
      </c>
      <c r="F248" t="s">
        <v>26</v>
      </c>
      <c r="G248">
        <v>0</v>
      </c>
      <c r="H248">
        <f>Table1[[#This Row],[UnitPrice]]*0.7*Table1[[#This Row],[UnitsSold]]</f>
        <v>0</v>
      </c>
      <c r="I248">
        <v>981.36020408163256</v>
      </c>
      <c r="J248">
        <v>0</v>
      </c>
      <c r="K248" t="s">
        <v>248</v>
      </c>
      <c r="L248" t="s">
        <v>55</v>
      </c>
      <c r="M248" s="3">
        <f t="shared" si="9"/>
        <v>0</v>
      </c>
      <c r="N248" t="str">
        <f t="shared" si="10"/>
        <v>August</v>
      </c>
      <c r="O248" t="str">
        <f t="shared" si="11"/>
        <v>2023</v>
      </c>
      <c r="P248" s="3">
        <f>Table1[[#This Row],[Revenue]]-Table1[[#This Row],[Cost]]</f>
        <v>0</v>
      </c>
      <c r="Q24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49" spans="1:17" x14ac:dyDescent="0.2">
      <c r="A249" t="s">
        <v>191</v>
      </c>
      <c r="B249" s="1">
        <v>45280</v>
      </c>
      <c r="C249" t="s">
        <v>12</v>
      </c>
      <c r="D249" t="s">
        <v>267</v>
      </c>
      <c r="E249" t="s">
        <v>25</v>
      </c>
      <c r="F249" t="s">
        <v>26</v>
      </c>
      <c r="G249">
        <v>0</v>
      </c>
      <c r="H249">
        <f>Table1[[#This Row],[UnitPrice]]*0.7*Table1[[#This Row],[UnitsSold]]</f>
        <v>0</v>
      </c>
      <c r="I249">
        <v>1217.78</v>
      </c>
      <c r="J249">
        <v>0</v>
      </c>
      <c r="K249" t="s">
        <v>283</v>
      </c>
      <c r="L249" t="s">
        <v>27</v>
      </c>
      <c r="M249" s="3">
        <f t="shared" si="9"/>
        <v>0</v>
      </c>
      <c r="N249" t="str">
        <f t="shared" si="10"/>
        <v>December</v>
      </c>
      <c r="O249" t="str">
        <f t="shared" si="11"/>
        <v>2023</v>
      </c>
      <c r="P249" s="3">
        <f>Table1[[#This Row],[Revenue]]-Table1[[#This Row],[Cost]]</f>
        <v>0</v>
      </c>
      <c r="Q24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50" spans="1:17" x14ac:dyDescent="0.2">
      <c r="A250" t="s">
        <v>192</v>
      </c>
      <c r="B250" s="1">
        <v>45049</v>
      </c>
      <c r="C250" t="s">
        <v>57</v>
      </c>
      <c r="D250" t="s">
        <v>83</v>
      </c>
      <c r="E250" t="s">
        <v>46</v>
      </c>
      <c r="F250" t="s">
        <v>26</v>
      </c>
      <c r="G250">
        <v>0</v>
      </c>
      <c r="H250">
        <f>Table1[[#This Row],[UnitPrice]]*0.7*Table1[[#This Row],[UnitsSold]]</f>
        <v>0</v>
      </c>
      <c r="I250">
        <v>1106.0261904761899</v>
      </c>
      <c r="J250">
        <v>0.27</v>
      </c>
      <c r="K250" t="s">
        <v>52</v>
      </c>
      <c r="L250" t="s">
        <v>55</v>
      </c>
      <c r="M250" s="3">
        <f t="shared" si="9"/>
        <v>0</v>
      </c>
      <c r="N250" t="str">
        <f t="shared" si="10"/>
        <v>May</v>
      </c>
      <c r="O250" t="str">
        <f t="shared" si="11"/>
        <v>2023</v>
      </c>
      <c r="P250" s="3">
        <f>Table1[[#This Row],[Revenue]]-Table1[[#This Row],[Cost]]</f>
        <v>0</v>
      </c>
      <c r="Q25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51" spans="1:17" x14ac:dyDescent="0.2">
      <c r="A251" t="s">
        <v>193</v>
      </c>
      <c r="B251" s="1">
        <v>45125</v>
      </c>
      <c r="C251" t="s">
        <v>57</v>
      </c>
      <c r="D251" t="s">
        <v>59</v>
      </c>
      <c r="E251" t="s">
        <v>44</v>
      </c>
      <c r="F251" t="s">
        <v>26</v>
      </c>
      <c r="G251">
        <v>16</v>
      </c>
      <c r="H251">
        <f>Table1[[#This Row],[UnitPrice]]*0.7*Table1[[#This Row],[UnitsSold]]</f>
        <v>483.952</v>
      </c>
      <c r="I251">
        <v>43.21</v>
      </c>
      <c r="J251">
        <v>0</v>
      </c>
      <c r="K251" t="s">
        <v>16</v>
      </c>
      <c r="L251" t="s">
        <v>27</v>
      </c>
      <c r="M251" s="3">
        <f t="shared" si="9"/>
        <v>691.36</v>
      </c>
      <c r="N251" t="str">
        <f t="shared" si="10"/>
        <v>July</v>
      </c>
      <c r="O251" t="str">
        <f t="shared" si="11"/>
        <v>2023</v>
      </c>
      <c r="P251" s="3">
        <f>Table1[[#This Row],[Revenue]]-Table1[[#This Row],[Cost]]</f>
        <v>207.40800000000002</v>
      </c>
      <c r="Q251"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252" spans="1:17" x14ac:dyDescent="0.2">
      <c r="A252" t="s">
        <v>132</v>
      </c>
      <c r="B252" s="1">
        <v>45186</v>
      </c>
      <c r="C252" t="s">
        <v>24</v>
      </c>
      <c r="D252" t="s">
        <v>13</v>
      </c>
      <c r="E252" t="s">
        <v>48</v>
      </c>
      <c r="F252" t="s">
        <v>39</v>
      </c>
      <c r="G252">
        <v>0</v>
      </c>
      <c r="H252">
        <f>Table1[[#This Row],[UnitPrice]]*0.7*Table1[[#This Row],[UnitsSold]]</f>
        <v>0</v>
      </c>
      <c r="I252">
        <v>1406.6</v>
      </c>
      <c r="J252">
        <v>0</v>
      </c>
      <c r="K252" t="s">
        <v>248</v>
      </c>
      <c r="L252" t="s">
        <v>249</v>
      </c>
      <c r="M252" s="3">
        <f t="shared" si="9"/>
        <v>0</v>
      </c>
      <c r="N252" t="str">
        <f t="shared" si="10"/>
        <v>September</v>
      </c>
      <c r="O252" t="str">
        <f t="shared" si="11"/>
        <v>2023</v>
      </c>
      <c r="P252" s="3">
        <f>Table1[[#This Row],[Revenue]]-Table1[[#This Row],[Cost]]</f>
        <v>0</v>
      </c>
      <c r="Q25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53" spans="1:17" x14ac:dyDescent="0.2">
      <c r="A253" t="s">
        <v>32</v>
      </c>
      <c r="B253" s="1">
        <v>44969</v>
      </c>
      <c r="C253" t="s">
        <v>24</v>
      </c>
      <c r="D253" t="s">
        <v>19</v>
      </c>
      <c r="E253" t="s">
        <v>44</v>
      </c>
      <c r="F253" t="s">
        <v>26</v>
      </c>
      <c r="G253">
        <v>0</v>
      </c>
      <c r="H253">
        <f>Table1[[#This Row],[UnitPrice]]*0.7*Table1[[#This Row],[UnitsSold]]</f>
        <v>0</v>
      </c>
      <c r="I253">
        <v>1079.5765957446808</v>
      </c>
      <c r="J253">
        <v>0</v>
      </c>
      <c r="K253" t="s">
        <v>283</v>
      </c>
      <c r="L253" t="s">
        <v>27</v>
      </c>
      <c r="M253" s="3">
        <f t="shared" si="9"/>
        <v>0</v>
      </c>
      <c r="N253" t="str">
        <f t="shared" si="10"/>
        <v>February</v>
      </c>
      <c r="O253" t="str">
        <f t="shared" si="11"/>
        <v>2023</v>
      </c>
      <c r="P253" s="3">
        <f>Table1[[#This Row],[Revenue]]-Table1[[#This Row],[Cost]]</f>
        <v>0</v>
      </c>
      <c r="Q25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54" spans="1:17" x14ac:dyDescent="0.2">
      <c r="A254" t="s">
        <v>90</v>
      </c>
      <c r="B254" s="1">
        <v>45284</v>
      </c>
      <c r="C254" t="s">
        <v>57</v>
      </c>
      <c r="D254" t="s">
        <v>13</v>
      </c>
      <c r="E254" t="s">
        <v>25</v>
      </c>
      <c r="F254" t="s">
        <v>26</v>
      </c>
      <c r="G254">
        <v>2</v>
      </c>
      <c r="H254">
        <f>Table1[[#This Row],[UnitPrice]]*0.7*Table1[[#This Row],[UnitsSold]]</f>
        <v>1345.4792542372879</v>
      </c>
      <c r="I254">
        <v>961.05661016949136</v>
      </c>
      <c r="J254">
        <v>0</v>
      </c>
      <c r="K254" t="s">
        <v>248</v>
      </c>
      <c r="L254" t="s">
        <v>27</v>
      </c>
      <c r="M254" s="3">
        <f t="shared" si="9"/>
        <v>1922.1132203389827</v>
      </c>
      <c r="N254" t="str">
        <f t="shared" si="10"/>
        <v>December</v>
      </c>
      <c r="O254" t="str">
        <f t="shared" si="11"/>
        <v>2023</v>
      </c>
      <c r="P254" s="3">
        <f>Table1[[#This Row],[Revenue]]-Table1[[#This Row],[Cost]]</f>
        <v>576.6339661016948</v>
      </c>
      <c r="Q254"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255" spans="1:17" x14ac:dyDescent="0.2">
      <c r="A255" t="s">
        <v>90</v>
      </c>
      <c r="B255" s="1">
        <v>45268</v>
      </c>
      <c r="C255" t="s">
        <v>246</v>
      </c>
      <c r="D255" t="s">
        <v>19</v>
      </c>
      <c r="E255" t="s">
        <v>46</v>
      </c>
      <c r="F255" t="s">
        <v>26</v>
      </c>
      <c r="G255">
        <v>1</v>
      </c>
      <c r="H255">
        <f>Table1[[#This Row],[UnitPrice]]*0.7*Table1[[#This Row],[UnitsSold]]</f>
        <v>774.21833333333291</v>
      </c>
      <c r="I255">
        <v>1106.0261904761899</v>
      </c>
      <c r="J255">
        <v>0</v>
      </c>
      <c r="K255" t="s">
        <v>52</v>
      </c>
      <c r="L255" t="s">
        <v>249</v>
      </c>
      <c r="M255" s="3">
        <f t="shared" si="9"/>
        <v>1106.0261904761899</v>
      </c>
      <c r="N255" t="str">
        <f t="shared" si="10"/>
        <v>December</v>
      </c>
      <c r="O255" t="str">
        <f t="shared" si="11"/>
        <v>2023</v>
      </c>
      <c r="P255" s="3">
        <f>Table1[[#This Row],[Revenue]]-Table1[[#This Row],[Cost]]</f>
        <v>331.80785714285696</v>
      </c>
      <c r="Q255"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256" spans="1:17" x14ac:dyDescent="0.2">
      <c r="A256" t="s">
        <v>194</v>
      </c>
      <c r="B256" s="1">
        <v>44991</v>
      </c>
      <c r="C256" t="s">
        <v>24</v>
      </c>
      <c r="D256" t="s">
        <v>13</v>
      </c>
      <c r="E256" t="s">
        <v>46</v>
      </c>
      <c r="F256" t="s">
        <v>26</v>
      </c>
      <c r="G256">
        <v>0</v>
      </c>
      <c r="H256">
        <f>Table1[[#This Row],[UnitPrice]]*0.7*Table1[[#This Row],[UnitsSold]]</f>
        <v>0</v>
      </c>
      <c r="I256">
        <v>551.24</v>
      </c>
      <c r="J256">
        <v>0</v>
      </c>
      <c r="K256" t="s">
        <v>283</v>
      </c>
      <c r="L256" t="s">
        <v>27</v>
      </c>
      <c r="M256" s="3">
        <f t="shared" si="9"/>
        <v>0</v>
      </c>
      <c r="N256" t="str">
        <f t="shared" si="10"/>
        <v>March</v>
      </c>
      <c r="O256" t="str">
        <f t="shared" si="11"/>
        <v>2023</v>
      </c>
      <c r="P256" s="3">
        <f>Table1[[#This Row],[Revenue]]-Table1[[#This Row],[Cost]]</f>
        <v>0</v>
      </c>
      <c r="Q25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57" spans="1:17" x14ac:dyDescent="0.2">
      <c r="A257" t="s">
        <v>108</v>
      </c>
      <c r="B257" s="1">
        <v>45160</v>
      </c>
      <c r="C257" t="s">
        <v>29</v>
      </c>
      <c r="D257" t="s">
        <v>19</v>
      </c>
      <c r="E257" t="s">
        <v>38</v>
      </c>
      <c r="F257" t="s">
        <v>34</v>
      </c>
      <c r="G257">
        <v>0</v>
      </c>
      <c r="H257">
        <f>Table1[[#This Row],[UnitPrice]]*0.7*Table1[[#This Row],[UnitsSold]]</f>
        <v>0</v>
      </c>
      <c r="I257">
        <v>323.05</v>
      </c>
      <c r="J257">
        <v>0</v>
      </c>
      <c r="K257" t="s">
        <v>283</v>
      </c>
      <c r="L257" t="s">
        <v>27</v>
      </c>
      <c r="M257" s="3">
        <f t="shared" si="9"/>
        <v>0</v>
      </c>
      <c r="N257" t="str">
        <f t="shared" si="10"/>
        <v>August</v>
      </c>
      <c r="O257" t="str">
        <f t="shared" si="11"/>
        <v>2023</v>
      </c>
      <c r="P257" s="3">
        <f>Table1[[#This Row],[Revenue]]-Table1[[#This Row],[Cost]]</f>
        <v>0</v>
      </c>
      <c r="Q25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58" spans="1:17" x14ac:dyDescent="0.2">
      <c r="A258" t="s">
        <v>96</v>
      </c>
      <c r="B258" s="1">
        <v>45306</v>
      </c>
      <c r="C258" t="s">
        <v>12</v>
      </c>
      <c r="D258" t="s">
        <v>19</v>
      </c>
      <c r="E258" t="s">
        <v>25</v>
      </c>
      <c r="F258" t="s">
        <v>26</v>
      </c>
      <c r="G258">
        <v>8</v>
      </c>
      <c r="H258">
        <f>Table1[[#This Row],[UnitPrice]]*0.7*Table1[[#This Row],[UnitsSold]]</f>
        <v>5381.9170169491517</v>
      </c>
      <c r="I258">
        <v>961.05661016949136</v>
      </c>
      <c r="J258">
        <v>0.28000000000000003</v>
      </c>
      <c r="K258" t="s">
        <v>16</v>
      </c>
      <c r="L258" t="s">
        <v>17</v>
      </c>
      <c r="M258" s="3">
        <f t="shared" ref="M258:M321" si="12">G258*I258*(1-J258)</f>
        <v>5535.6860745762697</v>
      </c>
      <c r="N258" t="str">
        <f t="shared" ref="N258:N321" si="13">TEXT(B258, "mmmm")</f>
        <v>January</v>
      </c>
      <c r="O258" t="str">
        <f t="shared" ref="O258:O321" si="14">TEXT(B258, "yyyy")</f>
        <v>2024</v>
      </c>
      <c r="P258" s="3">
        <f>Table1[[#This Row],[Revenue]]-Table1[[#This Row],[Cost]]</f>
        <v>153.76905762711795</v>
      </c>
      <c r="Q258" s="6">
        <f>IF(Table1[[#This Row],[UnitsSold]]*Table1[[#This Row],[UnitPrice]]*(1-Table1[[#This Row],[Discount]])=0, 0, ((Table1[[#This Row],[UnitsSold]]*Table1[[#This Row],[UnitPrice]]*(1-Table1[[#This Row],[Discount]])) - (Table1[[#This Row],[UnitsSold]]*Table1[[#This Row],[UnitPrice]]*0.7)) / (Table1[[#This Row],[UnitsSold]]*Table1[[#This Row],[UnitPrice]]*(1-Table1[[#This Row],[Discount]])))</f>
        <v>2.7777777777777658E-2</v>
      </c>
    </row>
    <row r="259" spans="1:17" x14ac:dyDescent="0.2">
      <c r="A259" t="s">
        <v>195</v>
      </c>
      <c r="B259" s="1">
        <v>45306</v>
      </c>
      <c r="C259" t="s">
        <v>57</v>
      </c>
      <c r="D259" t="s">
        <v>19</v>
      </c>
      <c r="E259" t="s">
        <v>14</v>
      </c>
      <c r="F259" t="s">
        <v>26</v>
      </c>
      <c r="G259">
        <v>0</v>
      </c>
      <c r="H259">
        <f>Table1[[#This Row],[UnitPrice]]*0.7*Table1[[#This Row],[UnitsSold]]</f>
        <v>0</v>
      </c>
      <c r="I259">
        <v>646.66999999999996</v>
      </c>
      <c r="J259">
        <v>0.17</v>
      </c>
      <c r="K259" t="s">
        <v>248</v>
      </c>
      <c r="L259" t="s">
        <v>27</v>
      </c>
      <c r="M259" s="3">
        <f t="shared" si="12"/>
        <v>0</v>
      </c>
      <c r="N259" t="str">
        <f t="shared" si="13"/>
        <v>January</v>
      </c>
      <c r="O259" t="str">
        <f t="shared" si="14"/>
        <v>2024</v>
      </c>
      <c r="P259" s="3">
        <f>Table1[[#This Row],[Revenue]]-Table1[[#This Row],[Cost]]</f>
        <v>0</v>
      </c>
      <c r="Q25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60" spans="1:17" x14ac:dyDescent="0.2">
      <c r="A260" t="s">
        <v>75</v>
      </c>
      <c r="B260" s="1">
        <v>45041</v>
      </c>
      <c r="C260" t="s">
        <v>12</v>
      </c>
      <c r="D260" t="s">
        <v>83</v>
      </c>
      <c r="E260" t="s">
        <v>46</v>
      </c>
      <c r="F260" t="s">
        <v>26</v>
      </c>
      <c r="G260">
        <v>0</v>
      </c>
      <c r="H260">
        <f>Table1[[#This Row],[UnitPrice]]*0.7*Table1[[#This Row],[UnitsSold]]</f>
        <v>0</v>
      </c>
      <c r="I260">
        <v>1106.0261904761899</v>
      </c>
      <c r="J260">
        <v>0</v>
      </c>
      <c r="K260" t="s">
        <v>16</v>
      </c>
      <c r="L260" t="s">
        <v>55</v>
      </c>
      <c r="M260" s="3">
        <f t="shared" si="12"/>
        <v>0</v>
      </c>
      <c r="N260" t="str">
        <f t="shared" si="13"/>
        <v>April</v>
      </c>
      <c r="O260" t="str">
        <f t="shared" si="14"/>
        <v>2023</v>
      </c>
      <c r="P260" s="3">
        <f>Table1[[#This Row],[Revenue]]-Table1[[#This Row],[Cost]]</f>
        <v>0</v>
      </c>
      <c r="Q26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61" spans="1:17" x14ac:dyDescent="0.2">
      <c r="A261" t="s">
        <v>196</v>
      </c>
      <c r="B261" s="1">
        <v>45082</v>
      </c>
      <c r="C261" t="s">
        <v>37</v>
      </c>
      <c r="D261" t="s">
        <v>83</v>
      </c>
      <c r="E261" t="s">
        <v>14</v>
      </c>
      <c r="F261" t="s">
        <v>26</v>
      </c>
      <c r="G261">
        <v>16</v>
      </c>
      <c r="H261">
        <f>Table1[[#This Row],[UnitPrice]]*0.7*Table1[[#This Row],[UnitsSold]]</f>
        <v>11232.148765957447</v>
      </c>
      <c r="I261">
        <v>1002.870425531915</v>
      </c>
      <c r="J261">
        <v>0.23</v>
      </c>
      <c r="K261" t="s">
        <v>16</v>
      </c>
      <c r="L261" t="s">
        <v>27</v>
      </c>
      <c r="M261" s="3">
        <f t="shared" si="12"/>
        <v>12355.363642553193</v>
      </c>
      <c r="N261" t="str">
        <f t="shared" si="13"/>
        <v>June</v>
      </c>
      <c r="O261" t="str">
        <f t="shared" si="14"/>
        <v>2023</v>
      </c>
      <c r="P261" s="3">
        <f>Table1[[#This Row],[Revenue]]-Table1[[#This Row],[Cost]]</f>
        <v>1123.2148765957463</v>
      </c>
      <c r="Q261" s="6">
        <f>IF(Table1[[#This Row],[UnitsSold]]*Table1[[#This Row],[UnitPrice]]*(1-Table1[[#This Row],[Discount]])=0, 0, ((Table1[[#This Row],[UnitsSold]]*Table1[[#This Row],[UnitPrice]]*(1-Table1[[#This Row],[Discount]])) - (Table1[[#This Row],[UnitsSold]]*Table1[[#This Row],[UnitPrice]]*0.7)) / (Table1[[#This Row],[UnitsSold]]*Table1[[#This Row],[UnitPrice]]*(1-Table1[[#This Row],[Discount]])))</f>
        <v>9.0909090909091023E-2</v>
      </c>
    </row>
    <row r="262" spans="1:17" x14ac:dyDescent="0.2">
      <c r="A262" t="s">
        <v>64</v>
      </c>
      <c r="B262" s="1">
        <v>44939</v>
      </c>
      <c r="C262" t="s">
        <v>37</v>
      </c>
      <c r="D262" t="s">
        <v>31</v>
      </c>
      <c r="E262" t="s">
        <v>14</v>
      </c>
      <c r="F262" t="s">
        <v>26</v>
      </c>
      <c r="G262">
        <v>11</v>
      </c>
      <c r="H262">
        <f>Table1[[#This Row],[UnitPrice]]*0.7*Table1[[#This Row],[UnitsSold]]</f>
        <v>7722.102276595745</v>
      </c>
      <c r="I262">
        <v>1002.870425531915</v>
      </c>
      <c r="J262">
        <v>0</v>
      </c>
      <c r="K262" t="s">
        <v>52</v>
      </c>
      <c r="L262" t="s">
        <v>27</v>
      </c>
      <c r="M262" s="3">
        <f t="shared" si="12"/>
        <v>11031.574680851065</v>
      </c>
      <c r="N262" t="str">
        <f t="shared" si="13"/>
        <v>January</v>
      </c>
      <c r="O262" t="str">
        <f t="shared" si="14"/>
        <v>2023</v>
      </c>
      <c r="P262" s="3">
        <f>Table1[[#This Row],[Revenue]]-Table1[[#This Row],[Cost]]</f>
        <v>3309.4724042553198</v>
      </c>
      <c r="Q26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63" spans="1:17" x14ac:dyDescent="0.2">
      <c r="A263" t="s">
        <v>197</v>
      </c>
      <c r="B263" s="1">
        <v>45198</v>
      </c>
      <c r="C263" t="s">
        <v>37</v>
      </c>
      <c r="D263" t="s">
        <v>83</v>
      </c>
      <c r="E263" t="s">
        <v>38</v>
      </c>
      <c r="F263" t="s">
        <v>34</v>
      </c>
      <c r="G263">
        <v>0</v>
      </c>
      <c r="H263">
        <f>Table1[[#This Row],[UnitPrice]]*0.7*Table1[[#This Row],[UnitsSold]]</f>
        <v>0</v>
      </c>
      <c r="I263">
        <v>566.85</v>
      </c>
      <c r="J263">
        <v>0</v>
      </c>
      <c r="K263" t="s">
        <v>42</v>
      </c>
      <c r="L263" t="s">
        <v>55</v>
      </c>
      <c r="M263" s="3">
        <f t="shared" si="12"/>
        <v>0</v>
      </c>
      <c r="N263" t="str">
        <f t="shared" si="13"/>
        <v>September</v>
      </c>
      <c r="O263" t="str">
        <f t="shared" si="14"/>
        <v>2023</v>
      </c>
      <c r="P263" s="3">
        <f>Table1[[#This Row],[Revenue]]-Table1[[#This Row],[Cost]]</f>
        <v>0</v>
      </c>
      <c r="Q26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64" spans="1:17" x14ac:dyDescent="0.2">
      <c r="A264" t="s">
        <v>167</v>
      </c>
      <c r="B264" s="1">
        <v>45309</v>
      </c>
      <c r="C264" t="s">
        <v>12</v>
      </c>
      <c r="D264" t="s">
        <v>31</v>
      </c>
      <c r="E264" t="s">
        <v>46</v>
      </c>
      <c r="F264" t="s">
        <v>26</v>
      </c>
      <c r="G264">
        <v>0</v>
      </c>
      <c r="H264">
        <f>Table1[[#This Row],[UnitPrice]]*0.7*Table1[[#This Row],[UnitsSold]]</f>
        <v>0</v>
      </c>
      <c r="I264">
        <v>1641.73</v>
      </c>
      <c r="J264">
        <v>0.18</v>
      </c>
      <c r="K264" t="s">
        <v>42</v>
      </c>
      <c r="L264" t="s">
        <v>249</v>
      </c>
      <c r="M264" s="3">
        <f t="shared" si="12"/>
        <v>0</v>
      </c>
      <c r="N264" t="str">
        <f t="shared" si="13"/>
        <v>January</v>
      </c>
      <c r="O264" t="str">
        <f t="shared" si="14"/>
        <v>2024</v>
      </c>
      <c r="P264" s="3">
        <f>Table1[[#This Row],[Revenue]]-Table1[[#This Row],[Cost]]</f>
        <v>0</v>
      </c>
      <c r="Q26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65" spans="1:17" x14ac:dyDescent="0.2">
      <c r="A265" t="s">
        <v>198</v>
      </c>
      <c r="B265" s="1">
        <v>45076</v>
      </c>
      <c r="C265" t="s">
        <v>24</v>
      </c>
      <c r="D265" t="s">
        <v>267</v>
      </c>
      <c r="E265" t="s">
        <v>14</v>
      </c>
      <c r="F265" t="s">
        <v>26</v>
      </c>
      <c r="G265">
        <v>0</v>
      </c>
      <c r="H265">
        <f>Table1[[#This Row],[UnitPrice]]*0.7*Table1[[#This Row],[UnitsSold]]</f>
        <v>0</v>
      </c>
      <c r="I265">
        <v>910.99</v>
      </c>
      <c r="J265">
        <v>0.02</v>
      </c>
      <c r="K265" t="s">
        <v>16</v>
      </c>
      <c r="L265" t="s">
        <v>17</v>
      </c>
      <c r="M265" s="3">
        <f t="shared" si="12"/>
        <v>0</v>
      </c>
      <c r="N265" t="str">
        <f t="shared" si="13"/>
        <v>May</v>
      </c>
      <c r="O265" t="str">
        <f t="shared" si="14"/>
        <v>2023</v>
      </c>
      <c r="P265" s="3">
        <f>Table1[[#This Row],[Revenue]]-Table1[[#This Row],[Cost]]</f>
        <v>0</v>
      </c>
      <c r="Q26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66" spans="1:17" x14ac:dyDescent="0.2">
      <c r="A266" t="s">
        <v>199</v>
      </c>
      <c r="B266" s="1">
        <v>45006</v>
      </c>
      <c r="C266" t="s">
        <v>12</v>
      </c>
      <c r="D266" t="s">
        <v>19</v>
      </c>
      <c r="E266" t="s">
        <v>38</v>
      </c>
      <c r="F266" t="s">
        <v>34</v>
      </c>
      <c r="G266">
        <v>0</v>
      </c>
      <c r="H266">
        <f>Table1[[#This Row],[UnitPrice]]*0.7*Table1[[#This Row],[UnitsSold]]</f>
        <v>0</v>
      </c>
      <c r="I266">
        <v>936.79681818181825</v>
      </c>
      <c r="J266">
        <v>0.28999999999999998</v>
      </c>
      <c r="K266" t="s">
        <v>42</v>
      </c>
      <c r="L266" t="s">
        <v>55</v>
      </c>
      <c r="M266" s="3">
        <f t="shared" si="12"/>
        <v>0</v>
      </c>
      <c r="N266" t="str">
        <f t="shared" si="13"/>
        <v>March</v>
      </c>
      <c r="O266" t="str">
        <f t="shared" si="14"/>
        <v>2023</v>
      </c>
      <c r="P266" s="3">
        <f>Table1[[#This Row],[Revenue]]-Table1[[#This Row],[Cost]]</f>
        <v>0</v>
      </c>
      <c r="Q26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67" spans="1:17" x14ac:dyDescent="0.2">
      <c r="A267" t="s">
        <v>84</v>
      </c>
      <c r="B267" s="1">
        <v>45062</v>
      </c>
      <c r="C267" t="s">
        <v>12</v>
      </c>
      <c r="D267" t="s">
        <v>19</v>
      </c>
      <c r="E267" t="s">
        <v>247</v>
      </c>
      <c r="F267" t="s">
        <v>26</v>
      </c>
      <c r="G267">
        <v>20</v>
      </c>
      <c r="H267">
        <f>Table1[[#This Row],[UnitPrice]]*0.7*Table1[[#This Row],[UnitsSold]]</f>
        <v>13739.042857142857</v>
      </c>
      <c r="I267">
        <v>981.36020408163256</v>
      </c>
      <c r="J267">
        <v>0</v>
      </c>
      <c r="K267" t="s">
        <v>16</v>
      </c>
      <c r="L267" t="s">
        <v>55</v>
      </c>
      <c r="M267" s="3">
        <f t="shared" si="12"/>
        <v>19627.204081632652</v>
      </c>
      <c r="N267" t="str">
        <f t="shared" si="13"/>
        <v>May</v>
      </c>
      <c r="O267" t="str">
        <f t="shared" si="14"/>
        <v>2023</v>
      </c>
      <c r="P267" s="3">
        <f>Table1[[#This Row],[Revenue]]-Table1[[#This Row],[Cost]]</f>
        <v>5888.1612244897951</v>
      </c>
      <c r="Q26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268" spans="1:17" x14ac:dyDescent="0.2">
      <c r="A268" t="s">
        <v>132</v>
      </c>
      <c r="B268" s="1">
        <v>45189</v>
      </c>
      <c r="C268" t="s">
        <v>12</v>
      </c>
      <c r="D268" t="s">
        <v>13</v>
      </c>
      <c r="E268" t="s">
        <v>14</v>
      </c>
      <c r="F268" t="s">
        <v>26</v>
      </c>
      <c r="G268">
        <v>6</v>
      </c>
      <c r="H268">
        <f>Table1[[#This Row],[UnitPrice]]*0.7*Table1[[#This Row],[UnitsSold]]</f>
        <v>4212.0557872340423</v>
      </c>
      <c r="I268">
        <v>1002.870425531915</v>
      </c>
      <c r="J268">
        <v>0</v>
      </c>
      <c r="K268" t="s">
        <v>16</v>
      </c>
      <c r="L268" t="s">
        <v>27</v>
      </c>
      <c r="M268" s="3">
        <f t="shared" si="12"/>
        <v>6017.2225531914901</v>
      </c>
      <c r="N268" t="str">
        <f t="shared" si="13"/>
        <v>September</v>
      </c>
      <c r="O268" t="str">
        <f t="shared" si="14"/>
        <v>2023</v>
      </c>
      <c r="P268" s="3">
        <f>Table1[[#This Row],[Revenue]]-Table1[[#This Row],[Cost]]</f>
        <v>1805.1667659574478</v>
      </c>
      <c r="Q268"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269" spans="1:17" x14ac:dyDescent="0.2">
      <c r="A269" t="s">
        <v>84</v>
      </c>
      <c r="B269" s="1">
        <v>44979</v>
      </c>
      <c r="C269" t="s">
        <v>246</v>
      </c>
      <c r="D269" t="s">
        <v>19</v>
      </c>
      <c r="E269" t="s">
        <v>46</v>
      </c>
      <c r="F269" t="s">
        <v>26</v>
      </c>
      <c r="G269">
        <v>8</v>
      </c>
      <c r="H269">
        <f>Table1[[#This Row],[UnitPrice]]*0.7*Table1[[#This Row],[UnitsSold]]</f>
        <v>6193.7466666666633</v>
      </c>
      <c r="I269">
        <v>1106.0261904761899</v>
      </c>
      <c r="J269">
        <v>0</v>
      </c>
      <c r="K269" t="s">
        <v>283</v>
      </c>
      <c r="L269" t="s">
        <v>27</v>
      </c>
      <c r="M269" s="3">
        <f t="shared" si="12"/>
        <v>8848.2095238095189</v>
      </c>
      <c r="N269" t="str">
        <f t="shared" si="13"/>
        <v>February</v>
      </c>
      <c r="O269" t="str">
        <f t="shared" si="14"/>
        <v>2023</v>
      </c>
      <c r="P269" s="3">
        <f>Table1[[#This Row],[Revenue]]-Table1[[#This Row],[Cost]]</f>
        <v>2654.4628571428557</v>
      </c>
      <c r="Q269"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270" spans="1:17" x14ac:dyDescent="0.2">
      <c r="A270" t="s">
        <v>66</v>
      </c>
      <c r="B270" s="1">
        <v>45227</v>
      </c>
      <c r="C270" t="s">
        <v>24</v>
      </c>
      <c r="D270" t="s">
        <v>267</v>
      </c>
      <c r="E270" t="s">
        <v>46</v>
      </c>
      <c r="F270" t="s">
        <v>26</v>
      </c>
      <c r="G270">
        <v>3</v>
      </c>
      <c r="H270">
        <f>Table1[[#This Row],[UnitPrice]]*0.7*Table1[[#This Row],[UnitsSold]]</f>
        <v>2322.6549999999988</v>
      </c>
      <c r="I270">
        <v>1106.0261904761899</v>
      </c>
      <c r="J270">
        <v>0.24</v>
      </c>
      <c r="K270" t="s">
        <v>52</v>
      </c>
      <c r="L270" t="s">
        <v>27</v>
      </c>
      <c r="M270" s="3">
        <f t="shared" si="12"/>
        <v>2521.7397142857126</v>
      </c>
      <c r="N270" t="str">
        <f t="shared" si="13"/>
        <v>October</v>
      </c>
      <c r="O270" t="str">
        <f t="shared" si="14"/>
        <v>2023</v>
      </c>
      <c r="P270" s="3">
        <f>Table1[[#This Row],[Revenue]]-Table1[[#This Row],[Cost]]</f>
        <v>199.08471428571374</v>
      </c>
      <c r="Q270" s="6">
        <f>IF(Table1[[#This Row],[UnitsSold]]*Table1[[#This Row],[UnitPrice]]*(1-Table1[[#This Row],[Discount]])=0, 0, ((Table1[[#This Row],[UnitsSold]]*Table1[[#This Row],[UnitPrice]]*(1-Table1[[#This Row],[Discount]])) - (Table1[[#This Row],[UnitsSold]]*Table1[[#This Row],[UnitPrice]]*0.7)) / (Table1[[#This Row],[UnitsSold]]*Table1[[#This Row],[UnitPrice]]*(1-Table1[[#This Row],[Discount]])))</f>
        <v>7.8947368421052655E-2</v>
      </c>
    </row>
    <row r="271" spans="1:17" x14ac:dyDescent="0.2">
      <c r="A271" t="s">
        <v>200</v>
      </c>
      <c r="B271" s="1">
        <v>45163</v>
      </c>
      <c r="C271" t="s">
        <v>12</v>
      </c>
      <c r="D271" t="s">
        <v>19</v>
      </c>
      <c r="E271" t="s">
        <v>44</v>
      </c>
      <c r="F271" t="s">
        <v>26</v>
      </c>
      <c r="G271">
        <v>0</v>
      </c>
      <c r="H271">
        <f>Table1[[#This Row],[UnitPrice]]*0.7*Table1[[#This Row],[UnitsSold]]</f>
        <v>0</v>
      </c>
      <c r="I271">
        <v>1079.5765957446808</v>
      </c>
      <c r="J271">
        <v>0</v>
      </c>
      <c r="K271" t="s">
        <v>16</v>
      </c>
      <c r="L271" t="s">
        <v>249</v>
      </c>
      <c r="M271" s="3">
        <f t="shared" si="12"/>
        <v>0</v>
      </c>
      <c r="N271" t="str">
        <f t="shared" si="13"/>
        <v>August</v>
      </c>
      <c r="O271" t="str">
        <f t="shared" si="14"/>
        <v>2023</v>
      </c>
      <c r="P271" s="3">
        <f>Table1[[#This Row],[Revenue]]-Table1[[#This Row],[Cost]]</f>
        <v>0</v>
      </c>
      <c r="Q27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72" spans="1:17" x14ac:dyDescent="0.2">
      <c r="A272" t="s">
        <v>86</v>
      </c>
      <c r="B272" s="1">
        <v>45070</v>
      </c>
      <c r="C272" t="s">
        <v>57</v>
      </c>
      <c r="D272" t="s">
        <v>19</v>
      </c>
      <c r="E272" t="s">
        <v>46</v>
      </c>
      <c r="F272" t="s">
        <v>26</v>
      </c>
      <c r="G272">
        <v>0</v>
      </c>
      <c r="H272">
        <f>Table1[[#This Row],[UnitPrice]]*0.7*Table1[[#This Row],[UnitsSold]]</f>
        <v>0</v>
      </c>
      <c r="I272">
        <v>1106.0261904761899</v>
      </c>
      <c r="J272">
        <v>0</v>
      </c>
      <c r="K272" t="s">
        <v>42</v>
      </c>
      <c r="L272" t="s">
        <v>27</v>
      </c>
      <c r="M272" s="3">
        <f t="shared" si="12"/>
        <v>0</v>
      </c>
      <c r="N272" t="str">
        <f t="shared" si="13"/>
        <v>May</v>
      </c>
      <c r="O272" t="str">
        <f t="shared" si="14"/>
        <v>2023</v>
      </c>
      <c r="P272" s="3">
        <f>Table1[[#This Row],[Revenue]]-Table1[[#This Row],[Cost]]</f>
        <v>0</v>
      </c>
      <c r="Q27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73" spans="1:17" x14ac:dyDescent="0.2">
      <c r="A273" t="s">
        <v>201</v>
      </c>
      <c r="B273" s="1">
        <v>45070</v>
      </c>
      <c r="C273" t="s">
        <v>57</v>
      </c>
      <c r="D273" t="s">
        <v>19</v>
      </c>
      <c r="E273" t="s">
        <v>38</v>
      </c>
      <c r="F273" t="s">
        <v>34</v>
      </c>
      <c r="G273">
        <v>17</v>
      </c>
      <c r="H273">
        <f>Table1[[#This Row],[UnitPrice]]*0.7*Table1[[#This Row],[UnitsSold]]</f>
        <v>11147.882136363636</v>
      </c>
      <c r="I273">
        <v>936.79681818181825</v>
      </c>
      <c r="J273">
        <v>0</v>
      </c>
      <c r="K273" t="s">
        <v>283</v>
      </c>
      <c r="L273" t="s">
        <v>55</v>
      </c>
      <c r="M273" s="3">
        <f t="shared" si="12"/>
        <v>15925.54590909091</v>
      </c>
      <c r="N273" t="str">
        <f t="shared" si="13"/>
        <v>May</v>
      </c>
      <c r="O273" t="str">
        <f t="shared" si="14"/>
        <v>2023</v>
      </c>
      <c r="P273" s="3">
        <f>Table1[[#This Row],[Revenue]]-Table1[[#This Row],[Cost]]</f>
        <v>4777.6637727272737</v>
      </c>
      <c r="Q273"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74" spans="1:17" x14ac:dyDescent="0.2">
      <c r="A274" t="s">
        <v>161</v>
      </c>
      <c r="B274" s="1">
        <v>45205</v>
      </c>
      <c r="C274" t="s">
        <v>57</v>
      </c>
      <c r="D274" t="s">
        <v>59</v>
      </c>
      <c r="E274" t="s">
        <v>44</v>
      </c>
      <c r="F274" t="s">
        <v>26</v>
      </c>
      <c r="G274">
        <v>0</v>
      </c>
      <c r="H274">
        <f>Table1[[#This Row],[UnitPrice]]*0.7*Table1[[#This Row],[UnitsSold]]</f>
        <v>0</v>
      </c>
      <c r="I274">
        <v>548.16999999999996</v>
      </c>
      <c r="J274">
        <v>0.1</v>
      </c>
      <c r="K274" t="s">
        <v>16</v>
      </c>
      <c r="L274" t="s">
        <v>55</v>
      </c>
      <c r="M274" s="3">
        <f t="shared" si="12"/>
        <v>0</v>
      </c>
      <c r="N274" t="str">
        <f t="shared" si="13"/>
        <v>October</v>
      </c>
      <c r="O274" t="str">
        <f t="shared" si="14"/>
        <v>2023</v>
      </c>
      <c r="P274" s="3">
        <f>Table1[[#This Row],[Revenue]]-Table1[[#This Row],[Cost]]</f>
        <v>0</v>
      </c>
      <c r="Q27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75" spans="1:17" x14ac:dyDescent="0.2">
      <c r="A275" t="s">
        <v>53</v>
      </c>
      <c r="B275" s="1">
        <v>45168</v>
      </c>
      <c r="C275" t="s">
        <v>29</v>
      </c>
      <c r="D275" t="s">
        <v>267</v>
      </c>
      <c r="E275" t="s">
        <v>44</v>
      </c>
      <c r="F275" t="s">
        <v>26</v>
      </c>
      <c r="G275">
        <v>6</v>
      </c>
      <c r="H275">
        <f>Table1[[#This Row],[UnitPrice]]*0.7*Table1[[#This Row],[UnitsSold]]</f>
        <v>2113.6079999999997</v>
      </c>
      <c r="I275">
        <v>503.24</v>
      </c>
      <c r="J275">
        <v>0</v>
      </c>
      <c r="K275" t="s">
        <v>16</v>
      </c>
      <c r="L275" t="s">
        <v>249</v>
      </c>
      <c r="M275" s="3">
        <f t="shared" si="12"/>
        <v>3019.44</v>
      </c>
      <c r="N275" t="str">
        <f t="shared" si="13"/>
        <v>August</v>
      </c>
      <c r="O275" t="str">
        <f t="shared" si="14"/>
        <v>2023</v>
      </c>
      <c r="P275" s="3">
        <f>Table1[[#This Row],[Revenue]]-Table1[[#This Row],[Cost]]</f>
        <v>905.83200000000033</v>
      </c>
      <c r="Q27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276" spans="1:17" x14ac:dyDescent="0.2">
      <c r="A276" t="s">
        <v>76</v>
      </c>
      <c r="B276" s="1">
        <v>45125</v>
      </c>
      <c r="C276" t="s">
        <v>29</v>
      </c>
      <c r="D276" t="s">
        <v>267</v>
      </c>
      <c r="E276" t="s">
        <v>25</v>
      </c>
      <c r="F276" t="s">
        <v>26</v>
      </c>
      <c r="G276">
        <v>6</v>
      </c>
      <c r="H276">
        <f>Table1[[#This Row],[UnitPrice]]*0.7*Table1[[#This Row],[UnitsSold]]</f>
        <v>4036.4377627118638</v>
      </c>
      <c r="I276">
        <v>961.05661016949136</v>
      </c>
      <c r="J276">
        <v>0</v>
      </c>
      <c r="K276" t="s">
        <v>16</v>
      </c>
      <c r="L276" t="s">
        <v>55</v>
      </c>
      <c r="M276" s="3">
        <f t="shared" si="12"/>
        <v>5766.3396610169484</v>
      </c>
      <c r="N276" t="str">
        <f t="shared" si="13"/>
        <v>July</v>
      </c>
      <c r="O276" t="str">
        <f t="shared" si="14"/>
        <v>2023</v>
      </c>
      <c r="P276" s="3">
        <f>Table1[[#This Row],[Revenue]]-Table1[[#This Row],[Cost]]</f>
        <v>1729.9018983050846</v>
      </c>
      <c r="Q276"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277" spans="1:17" x14ac:dyDescent="0.2">
      <c r="A277" t="s">
        <v>146</v>
      </c>
      <c r="B277" s="1">
        <v>45215</v>
      </c>
      <c r="C277" t="s">
        <v>246</v>
      </c>
      <c r="D277" t="s">
        <v>31</v>
      </c>
      <c r="E277" t="s">
        <v>247</v>
      </c>
      <c r="F277" t="s">
        <v>26</v>
      </c>
      <c r="G277">
        <v>0</v>
      </c>
      <c r="H277">
        <f>Table1[[#This Row],[UnitPrice]]*0.7*Table1[[#This Row],[UnitsSold]]</f>
        <v>0</v>
      </c>
      <c r="I277">
        <v>359.36</v>
      </c>
      <c r="J277">
        <v>0.03</v>
      </c>
      <c r="K277" t="s">
        <v>248</v>
      </c>
      <c r="L277" t="s">
        <v>249</v>
      </c>
      <c r="M277" s="3">
        <f t="shared" si="12"/>
        <v>0</v>
      </c>
      <c r="N277" t="str">
        <f t="shared" si="13"/>
        <v>October</v>
      </c>
      <c r="O277" t="str">
        <f t="shared" si="14"/>
        <v>2023</v>
      </c>
      <c r="P277" s="3">
        <f>Table1[[#This Row],[Revenue]]-Table1[[#This Row],[Cost]]</f>
        <v>0</v>
      </c>
      <c r="Q27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78" spans="1:17" x14ac:dyDescent="0.2">
      <c r="A278" t="s">
        <v>202</v>
      </c>
      <c r="B278" s="1">
        <v>45196</v>
      </c>
      <c r="C278" t="s">
        <v>57</v>
      </c>
      <c r="D278" t="s">
        <v>19</v>
      </c>
      <c r="E278" t="s">
        <v>14</v>
      </c>
      <c r="F278" t="s">
        <v>26</v>
      </c>
      <c r="G278">
        <v>7</v>
      </c>
      <c r="H278">
        <f>Table1[[#This Row],[UnitPrice]]*0.7*Table1[[#This Row],[UnitsSold]]</f>
        <v>3371.7389999999996</v>
      </c>
      <c r="I278">
        <v>688.11</v>
      </c>
      <c r="J278">
        <v>0</v>
      </c>
      <c r="K278" t="s">
        <v>16</v>
      </c>
      <c r="L278" t="s">
        <v>27</v>
      </c>
      <c r="M278" s="3">
        <f t="shared" si="12"/>
        <v>4816.7700000000004</v>
      </c>
      <c r="N278" t="str">
        <f t="shared" si="13"/>
        <v>September</v>
      </c>
      <c r="O278" t="str">
        <f t="shared" si="14"/>
        <v>2023</v>
      </c>
      <c r="P278" s="3">
        <f>Table1[[#This Row],[Revenue]]-Table1[[#This Row],[Cost]]</f>
        <v>1445.0310000000009</v>
      </c>
      <c r="Q278"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79" spans="1:17" x14ac:dyDescent="0.2">
      <c r="A279" t="s">
        <v>203</v>
      </c>
      <c r="B279" s="1">
        <v>45227</v>
      </c>
      <c r="C279" t="s">
        <v>246</v>
      </c>
      <c r="D279" t="s">
        <v>267</v>
      </c>
      <c r="E279" t="s">
        <v>46</v>
      </c>
      <c r="F279" t="s">
        <v>26</v>
      </c>
      <c r="G279">
        <v>12</v>
      </c>
      <c r="H279">
        <f>Table1[[#This Row],[UnitPrice]]*0.7*Table1[[#This Row],[UnitsSold]]</f>
        <v>9290.6199999999953</v>
      </c>
      <c r="I279">
        <v>1106.0261904761899</v>
      </c>
      <c r="J279">
        <v>0.12</v>
      </c>
      <c r="K279" t="s">
        <v>52</v>
      </c>
      <c r="L279" t="s">
        <v>55</v>
      </c>
      <c r="M279" s="3">
        <f t="shared" si="12"/>
        <v>11679.636571428564</v>
      </c>
      <c r="N279" t="str">
        <f t="shared" si="13"/>
        <v>October</v>
      </c>
      <c r="O279" t="str">
        <f t="shared" si="14"/>
        <v>2023</v>
      </c>
      <c r="P279" s="3">
        <f>Table1[[#This Row],[Revenue]]-Table1[[#This Row],[Cost]]</f>
        <v>2389.0165714285686</v>
      </c>
      <c r="Q279" s="6">
        <f>IF(Table1[[#This Row],[UnitsSold]]*Table1[[#This Row],[UnitPrice]]*(1-Table1[[#This Row],[Discount]])=0, 0, ((Table1[[#This Row],[UnitsSold]]*Table1[[#This Row],[UnitPrice]]*(1-Table1[[#This Row],[Discount]])) - (Table1[[#This Row],[UnitsSold]]*Table1[[#This Row],[UnitPrice]]*0.7)) / (Table1[[#This Row],[UnitsSold]]*Table1[[#This Row],[UnitPrice]]*(1-Table1[[#This Row],[Discount]])))</f>
        <v>0.20454545454545459</v>
      </c>
    </row>
    <row r="280" spans="1:17" x14ac:dyDescent="0.2">
      <c r="A280" t="s">
        <v>105</v>
      </c>
      <c r="B280" s="1">
        <v>44996</v>
      </c>
      <c r="C280" t="s">
        <v>246</v>
      </c>
      <c r="D280" t="s">
        <v>13</v>
      </c>
      <c r="E280" t="s">
        <v>38</v>
      </c>
      <c r="F280" t="s">
        <v>34</v>
      </c>
      <c r="G280">
        <v>11</v>
      </c>
      <c r="H280">
        <f>Table1[[#This Row],[UnitPrice]]*0.7*Table1[[#This Row],[UnitsSold]]</f>
        <v>7213.3355000000001</v>
      </c>
      <c r="I280">
        <v>936.79681818181825</v>
      </c>
      <c r="J280">
        <v>0</v>
      </c>
      <c r="K280" t="s">
        <v>52</v>
      </c>
      <c r="L280" t="s">
        <v>249</v>
      </c>
      <c r="M280" s="3">
        <f t="shared" si="12"/>
        <v>10304.765000000001</v>
      </c>
      <c r="N280" t="str">
        <f t="shared" si="13"/>
        <v>March</v>
      </c>
      <c r="O280" t="str">
        <f t="shared" si="14"/>
        <v>2023</v>
      </c>
      <c r="P280" s="3">
        <f>Table1[[#This Row],[Revenue]]-Table1[[#This Row],[Cost]]</f>
        <v>3091.4295000000011</v>
      </c>
      <c r="Q28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81" spans="1:17" x14ac:dyDescent="0.2">
      <c r="A281" t="s">
        <v>130</v>
      </c>
      <c r="B281" s="1">
        <v>45228</v>
      </c>
      <c r="C281" t="s">
        <v>246</v>
      </c>
      <c r="D281" t="s">
        <v>83</v>
      </c>
      <c r="E281" t="s">
        <v>14</v>
      </c>
      <c r="F281" t="s">
        <v>26</v>
      </c>
      <c r="G281">
        <v>5</v>
      </c>
      <c r="H281">
        <f>Table1[[#This Row],[UnitPrice]]*0.7*Table1[[#This Row],[UnitsSold]]</f>
        <v>3510.0464893617022</v>
      </c>
      <c r="I281">
        <v>1002.870425531915</v>
      </c>
      <c r="J281">
        <v>0</v>
      </c>
      <c r="K281" t="s">
        <v>248</v>
      </c>
      <c r="L281" t="s">
        <v>27</v>
      </c>
      <c r="M281" s="3">
        <f t="shared" si="12"/>
        <v>5014.3521276595748</v>
      </c>
      <c r="N281" t="str">
        <f t="shared" si="13"/>
        <v>October</v>
      </c>
      <c r="O281" t="str">
        <f t="shared" si="14"/>
        <v>2023</v>
      </c>
      <c r="P281" s="3">
        <f>Table1[[#This Row],[Revenue]]-Table1[[#This Row],[Cost]]</f>
        <v>1504.3056382978725</v>
      </c>
      <c r="Q28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82" spans="1:17" x14ac:dyDescent="0.2">
      <c r="A282" t="s">
        <v>143</v>
      </c>
      <c r="B282" s="1">
        <v>45235</v>
      </c>
      <c r="C282" t="s">
        <v>29</v>
      </c>
      <c r="D282" t="s">
        <v>267</v>
      </c>
      <c r="E282" t="s">
        <v>44</v>
      </c>
      <c r="F282" t="s">
        <v>26</v>
      </c>
      <c r="G282">
        <v>19</v>
      </c>
      <c r="H282">
        <f>Table1[[#This Row],[UnitPrice]]*0.7*Table1[[#This Row],[UnitsSold]]</f>
        <v>24924.332999999999</v>
      </c>
      <c r="I282">
        <v>1874.01</v>
      </c>
      <c r="J282">
        <v>0.1</v>
      </c>
      <c r="K282" t="s">
        <v>16</v>
      </c>
      <c r="L282" t="s">
        <v>55</v>
      </c>
      <c r="M282" s="3">
        <f t="shared" si="12"/>
        <v>32045.571000000004</v>
      </c>
      <c r="N282" t="str">
        <f t="shared" si="13"/>
        <v>November</v>
      </c>
      <c r="O282" t="str">
        <f t="shared" si="14"/>
        <v>2023</v>
      </c>
      <c r="P282" s="3">
        <f>Table1[[#This Row],[Revenue]]-Table1[[#This Row],[Cost]]</f>
        <v>7121.2380000000048</v>
      </c>
      <c r="Q282" s="6">
        <f>IF(Table1[[#This Row],[UnitsSold]]*Table1[[#This Row],[UnitPrice]]*(1-Table1[[#This Row],[Discount]])=0, 0, ((Table1[[#This Row],[UnitsSold]]*Table1[[#This Row],[UnitPrice]]*(1-Table1[[#This Row],[Discount]])) - (Table1[[#This Row],[UnitsSold]]*Table1[[#This Row],[UnitPrice]]*0.7)) / (Table1[[#This Row],[UnitsSold]]*Table1[[#This Row],[UnitPrice]]*(1-Table1[[#This Row],[Discount]])))</f>
        <v>0.22222222222222235</v>
      </c>
    </row>
    <row r="283" spans="1:17" x14ac:dyDescent="0.2">
      <c r="A283" t="s">
        <v>169</v>
      </c>
      <c r="B283" s="1">
        <v>45012</v>
      </c>
      <c r="C283" t="s">
        <v>12</v>
      </c>
      <c r="D283" t="s">
        <v>267</v>
      </c>
      <c r="E283" t="s">
        <v>48</v>
      </c>
      <c r="F283" t="s">
        <v>39</v>
      </c>
      <c r="G283">
        <v>15</v>
      </c>
      <c r="H283">
        <f>Table1[[#This Row],[UnitPrice]]*0.7*Table1[[#This Row],[UnitsSold]]</f>
        <v>5646.5849999999991</v>
      </c>
      <c r="I283">
        <v>537.77</v>
      </c>
      <c r="J283">
        <v>0</v>
      </c>
      <c r="K283" t="s">
        <v>52</v>
      </c>
      <c r="L283" t="s">
        <v>27</v>
      </c>
      <c r="M283" s="3">
        <f t="shared" si="12"/>
        <v>8066.5499999999993</v>
      </c>
      <c r="N283" t="str">
        <f t="shared" si="13"/>
        <v>March</v>
      </c>
      <c r="O283" t="str">
        <f t="shared" si="14"/>
        <v>2023</v>
      </c>
      <c r="P283" s="3">
        <f>Table1[[#This Row],[Revenue]]-Table1[[#This Row],[Cost]]</f>
        <v>2419.9650000000001</v>
      </c>
      <c r="Q283"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84" spans="1:17" x14ac:dyDescent="0.2">
      <c r="A284" t="s">
        <v>135</v>
      </c>
      <c r="B284" s="1">
        <v>44927</v>
      </c>
      <c r="C284" t="s">
        <v>12</v>
      </c>
      <c r="D284" t="s">
        <v>83</v>
      </c>
      <c r="E284" t="s">
        <v>38</v>
      </c>
      <c r="F284" t="s">
        <v>34</v>
      </c>
      <c r="G284">
        <v>0</v>
      </c>
      <c r="H284">
        <f>Table1[[#This Row],[UnitPrice]]*0.7*Table1[[#This Row],[UnitsSold]]</f>
        <v>0</v>
      </c>
      <c r="I284">
        <v>936.79681818181825</v>
      </c>
      <c r="J284">
        <v>0</v>
      </c>
      <c r="K284" t="s">
        <v>16</v>
      </c>
      <c r="L284" t="s">
        <v>22</v>
      </c>
      <c r="M284" s="3">
        <f t="shared" si="12"/>
        <v>0</v>
      </c>
      <c r="N284" t="str">
        <f t="shared" si="13"/>
        <v>January</v>
      </c>
      <c r="O284" t="str">
        <f t="shared" si="14"/>
        <v>2023</v>
      </c>
      <c r="P284" s="3">
        <f>Table1[[#This Row],[Revenue]]-Table1[[#This Row],[Cost]]</f>
        <v>0</v>
      </c>
      <c r="Q28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85" spans="1:17" x14ac:dyDescent="0.2">
      <c r="A285" t="s">
        <v>76</v>
      </c>
      <c r="B285" s="1">
        <v>45260</v>
      </c>
      <c r="C285" t="s">
        <v>37</v>
      </c>
      <c r="D285" t="s">
        <v>19</v>
      </c>
      <c r="E285" t="s">
        <v>38</v>
      </c>
      <c r="F285" t="s">
        <v>34</v>
      </c>
      <c r="G285">
        <v>0</v>
      </c>
      <c r="H285">
        <f>Table1[[#This Row],[UnitPrice]]*0.7*Table1[[#This Row],[UnitsSold]]</f>
        <v>0</v>
      </c>
      <c r="I285">
        <v>936.79681818181825</v>
      </c>
      <c r="J285">
        <v>0.28999999999999998</v>
      </c>
      <c r="K285" t="s">
        <v>52</v>
      </c>
      <c r="L285" t="s">
        <v>249</v>
      </c>
      <c r="M285" s="3">
        <f t="shared" si="12"/>
        <v>0</v>
      </c>
      <c r="N285" t="str">
        <f t="shared" si="13"/>
        <v>November</v>
      </c>
      <c r="O285" t="str">
        <f t="shared" si="14"/>
        <v>2023</v>
      </c>
      <c r="P285" s="3">
        <f>Table1[[#This Row],[Revenue]]-Table1[[#This Row],[Cost]]</f>
        <v>0</v>
      </c>
      <c r="Q28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86" spans="1:17" x14ac:dyDescent="0.2">
      <c r="A286" t="s">
        <v>166</v>
      </c>
      <c r="B286" s="1">
        <v>45009</v>
      </c>
      <c r="C286" t="s">
        <v>12</v>
      </c>
      <c r="D286" t="s">
        <v>31</v>
      </c>
      <c r="E286" t="s">
        <v>46</v>
      </c>
      <c r="F286" t="s">
        <v>26</v>
      </c>
      <c r="G286">
        <v>0</v>
      </c>
      <c r="H286">
        <f>Table1[[#This Row],[UnitPrice]]*0.7*Table1[[#This Row],[UnitsSold]]</f>
        <v>0</v>
      </c>
      <c r="I286">
        <v>1106.0261904761899</v>
      </c>
      <c r="J286">
        <v>0</v>
      </c>
      <c r="K286" t="s">
        <v>16</v>
      </c>
      <c r="L286" t="s">
        <v>17</v>
      </c>
      <c r="M286" s="3">
        <f t="shared" si="12"/>
        <v>0</v>
      </c>
      <c r="N286" t="str">
        <f t="shared" si="13"/>
        <v>March</v>
      </c>
      <c r="O286" t="str">
        <f t="shared" si="14"/>
        <v>2023</v>
      </c>
      <c r="P286" s="3">
        <f>Table1[[#This Row],[Revenue]]-Table1[[#This Row],[Cost]]</f>
        <v>0</v>
      </c>
      <c r="Q28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87" spans="1:17" x14ac:dyDescent="0.2">
      <c r="A287" t="s">
        <v>92</v>
      </c>
      <c r="B287" s="1">
        <v>45007</v>
      </c>
      <c r="C287" t="s">
        <v>12</v>
      </c>
      <c r="D287" t="s">
        <v>19</v>
      </c>
      <c r="E287" t="s">
        <v>14</v>
      </c>
      <c r="F287" t="s">
        <v>26</v>
      </c>
      <c r="G287">
        <v>0</v>
      </c>
      <c r="H287">
        <f>Table1[[#This Row],[UnitPrice]]*0.7*Table1[[#This Row],[UnitsSold]]</f>
        <v>0</v>
      </c>
      <c r="I287">
        <v>1002.870425531915</v>
      </c>
      <c r="J287">
        <v>0</v>
      </c>
      <c r="K287" t="s">
        <v>52</v>
      </c>
      <c r="L287" t="s">
        <v>55</v>
      </c>
      <c r="M287" s="3">
        <f t="shared" si="12"/>
        <v>0</v>
      </c>
      <c r="N287" t="str">
        <f t="shared" si="13"/>
        <v>March</v>
      </c>
      <c r="O287" t="str">
        <f t="shared" si="14"/>
        <v>2023</v>
      </c>
      <c r="P287" s="3">
        <f>Table1[[#This Row],[Revenue]]-Table1[[#This Row],[Cost]]</f>
        <v>0</v>
      </c>
      <c r="Q28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88" spans="1:17" x14ac:dyDescent="0.2">
      <c r="A288" t="s">
        <v>173</v>
      </c>
      <c r="B288" s="1">
        <v>45048</v>
      </c>
      <c r="C288" t="s">
        <v>12</v>
      </c>
      <c r="D288" t="s">
        <v>19</v>
      </c>
      <c r="E288" t="s">
        <v>38</v>
      </c>
      <c r="F288" t="s">
        <v>34</v>
      </c>
      <c r="G288">
        <v>0</v>
      </c>
      <c r="H288">
        <f>Table1[[#This Row],[UnitPrice]]*0.7*Table1[[#This Row],[UnitsSold]]</f>
        <v>0</v>
      </c>
      <c r="I288">
        <v>936.79681818181825</v>
      </c>
      <c r="J288">
        <v>0</v>
      </c>
      <c r="K288" t="s">
        <v>52</v>
      </c>
      <c r="L288" t="s">
        <v>17</v>
      </c>
      <c r="M288" s="3">
        <f t="shared" si="12"/>
        <v>0</v>
      </c>
      <c r="N288" t="str">
        <f t="shared" si="13"/>
        <v>May</v>
      </c>
      <c r="O288" t="str">
        <f t="shared" si="14"/>
        <v>2023</v>
      </c>
      <c r="P288" s="3">
        <f>Table1[[#This Row],[Revenue]]-Table1[[#This Row],[Cost]]</f>
        <v>0</v>
      </c>
      <c r="Q28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89" spans="1:17" x14ac:dyDescent="0.2">
      <c r="A289" t="s">
        <v>161</v>
      </c>
      <c r="B289" s="1">
        <v>45029</v>
      </c>
      <c r="C289" t="s">
        <v>12</v>
      </c>
      <c r="D289" t="s">
        <v>19</v>
      </c>
      <c r="E289" t="s">
        <v>247</v>
      </c>
      <c r="F289" t="s">
        <v>26</v>
      </c>
      <c r="G289">
        <v>10</v>
      </c>
      <c r="H289">
        <f>Table1[[#This Row],[UnitPrice]]*0.7*Table1[[#This Row],[UnitsSold]]</f>
        <v>6666.869999999999</v>
      </c>
      <c r="I289">
        <v>952.41</v>
      </c>
      <c r="J289">
        <v>0</v>
      </c>
      <c r="K289" t="s">
        <v>42</v>
      </c>
      <c r="L289" t="s">
        <v>22</v>
      </c>
      <c r="M289" s="3">
        <f t="shared" si="12"/>
        <v>9524.1</v>
      </c>
      <c r="N289" t="str">
        <f t="shared" si="13"/>
        <v>April</v>
      </c>
      <c r="O289" t="str">
        <f t="shared" si="14"/>
        <v>2023</v>
      </c>
      <c r="P289" s="3">
        <f>Table1[[#This Row],[Revenue]]-Table1[[#This Row],[Cost]]</f>
        <v>2857.2300000000014</v>
      </c>
      <c r="Q28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90" spans="1:17" x14ac:dyDescent="0.2">
      <c r="A290" t="s">
        <v>100</v>
      </c>
      <c r="B290" s="1">
        <v>45062</v>
      </c>
      <c r="C290" t="s">
        <v>12</v>
      </c>
      <c r="D290" t="s">
        <v>13</v>
      </c>
      <c r="E290" t="s">
        <v>44</v>
      </c>
      <c r="F290" t="s">
        <v>26</v>
      </c>
      <c r="G290">
        <v>0</v>
      </c>
      <c r="H290">
        <f>Table1[[#This Row],[UnitPrice]]*0.7*Table1[[#This Row],[UnitsSold]]</f>
        <v>0</v>
      </c>
      <c r="I290">
        <v>1079.5765957446808</v>
      </c>
      <c r="J290">
        <v>0.06</v>
      </c>
      <c r="K290" t="s">
        <v>52</v>
      </c>
      <c r="L290" t="s">
        <v>22</v>
      </c>
      <c r="M290" s="3">
        <f t="shared" si="12"/>
        <v>0</v>
      </c>
      <c r="N290" t="str">
        <f t="shared" si="13"/>
        <v>May</v>
      </c>
      <c r="O290" t="str">
        <f t="shared" si="14"/>
        <v>2023</v>
      </c>
      <c r="P290" s="3">
        <f>Table1[[#This Row],[Revenue]]-Table1[[#This Row],[Cost]]</f>
        <v>0</v>
      </c>
      <c r="Q29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91" spans="1:17" x14ac:dyDescent="0.2">
      <c r="A291" t="s">
        <v>204</v>
      </c>
      <c r="B291" s="1">
        <v>45061</v>
      </c>
      <c r="C291" t="s">
        <v>37</v>
      </c>
      <c r="D291" t="s">
        <v>267</v>
      </c>
      <c r="E291" t="s">
        <v>14</v>
      </c>
      <c r="F291" t="s">
        <v>26</v>
      </c>
      <c r="G291">
        <v>2</v>
      </c>
      <c r="H291">
        <f>Table1[[#This Row],[UnitPrice]]*0.7*Table1[[#This Row],[UnitsSold]]</f>
        <v>1404.0185957446809</v>
      </c>
      <c r="I291">
        <v>1002.870425531915</v>
      </c>
      <c r="J291">
        <v>0</v>
      </c>
      <c r="K291" t="s">
        <v>52</v>
      </c>
      <c r="L291" t="s">
        <v>17</v>
      </c>
      <c r="M291" s="3">
        <f t="shared" si="12"/>
        <v>2005.74085106383</v>
      </c>
      <c r="N291" t="str">
        <f t="shared" si="13"/>
        <v>May</v>
      </c>
      <c r="O291" t="str">
        <f t="shared" si="14"/>
        <v>2023</v>
      </c>
      <c r="P291" s="3">
        <f>Table1[[#This Row],[Revenue]]-Table1[[#This Row],[Cost]]</f>
        <v>601.7222553191491</v>
      </c>
      <c r="Q29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292" spans="1:17" x14ac:dyDescent="0.2">
      <c r="A292" t="s">
        <v>179</v>
      </c>
      <c r="B292" s="1">
        <v>45314</v>
      </c>
      <c r="C292" t="s">
        <v>37</v>
      </c>
      <c r="D292" t="s">
        <v>31</v>
      </c>
      <c r="E292" t="s">
        <v>46</v>
      </c>
      <c r="F292" t="s">
        <v>26</v>
      </c>
      <c r="G292">
        <v>0</v>
      </c>
      <c r="H292">
        <f>Table1[[#This Row],[UnitPrice]]*0.7*Table1[[#This Row],[UnitsSold]]</f>
        <v>0</v>
      </c>
      <c r="I292">
        <v>1106.0261904761899</v>
      </c>
      <c r="J292">
        <v>0</v>
      </c>
      <c r="K292" t="s">
        <v>248</v>
      </c>
      <c r="L292" t="s">
        <v>249</v>
      </c>
      <c r="M292" s="3">
        <f t="shared" si="12"/>
        <v>0</v>
      </c>
      <c r="N292" t="str">
        <f t="shared" si="13"/>
        <v>January</v>
      </c>
      <c r="O292" t="str">
        <f t="shared" si="14"/>
        <v>2024</v>
      </c>
      <c r="P292" s="3">
        <f>Table1[[#This Row],[Revenue]]-Table1[[#This Row],[Cost]]</f>
        <v>0</v>
      </c>
      <c r="Q29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93" spans="1:17" x14ac:dyDescent="0.2">
      <c r="A293" t="s">
        <v>205</v>
      </c>
      <c r="B293" s="1">
        <v>45080</v>
      </c>
      <c r="C293" t="s">
        <v>12</v>
      </c>
      <c r="D293" t="s">
        <v>83</v>
      </c>
      <c r="E293" t="s">
        <v>25</v>
      </c>
      <c r="F293" t="s">
        <v>26</v>
      </c>
      <c r="G293">
        <v>0</v>
      </c>
      <c r="H293">
        <f>Table1[[#This Row],[UnitPrice]]*0.7*Table1[[#This Row],[UnitsSold]]</f>
        <v>0</v>
      </c>
      <c r="I293">
        <v>961.05661016949136</v>
      </c>
      <c r="J293">
        <v>0</v>
      </c>
      <c r="K293" t="s">
        <v>16</v>
      </c>
      <c r="L293" t="s">
        <v>27</v>
      </c>
      <c r="M293" s="3">
        <f t="shared" si="12"/>
        <v>0</v>
      </c>
      <c r="N293" t="str">
        <f t="shared" si="13"/>
        <v>June</v>
      </c>
      <c r="O293" t="str">
        <f t="shared" si="14"/>
        <v>2023</v>
      </c>
      <c r="P293" s="3">
        <f>Table1[[#This Row],[Revenue]]-Table1[[#This Row],[Cost]]</f>
        <v>0</v>
      </c>
      <c r="Q29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94" spans="1:17" x14ac:dyDescent="0.2">
      <c r="A294" t="s">
        <v>162</v>
      </c>
      <c r="B294" s="1">
        <v>45156</v>
      </c>
      <c r="C294" t="s">
        <v>246</v>
      </c>
      <c r="D294" t="s">
        <v>19</v>
      </c>
      <c r="E294" t="s">
        <v>247</v>
      </c>
      <c r="F294" t="s">
        <v>26</v>
      </c>
      <c r="G294">
        <v>5</v>
      </c>
      <c r="H294">
        <f>Table1[[#This Row],[UnitPrice]]*0.7*Table1[[#This Row],[UnitsSold]]</f>
        <v>3434.7607142857141</v>
      </c>
      <c r="I294">
        <v>981.36020408163256</v>
      </c>
      <c r="J294">
        <v>0</v>
      </c>
      <c r="K294" t="s">
        <v>16</v>
      </c>
      <c r="L294" t="s">
        <v>17</v>
      </c>
      <c r="M294" s="3">
        <f t="shared" si="12"/>
        <v>4906.8010204081629</v>
      </c>
      <c r="N294" t="str">
        <f t="shared" si="13"/>
        <v>August</v>
      </c>
      <c r="O294" t="str">
        <f t="shared" si="14"/>
        <v>2023</v>
      </c>
      <c r="P294" s="3">
        <f>Table1[[#This Row],[Revenue]]-Table1[[#This Row],[Cost]]</f>
        <v>1472.0403061224488</v>
      </c>
      <c r="Q294"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295" spans="1:17" x14ac:dyDescent="0.2">
      <c r="A295" t="s">
        <v>206</v>
      </c>
      <c r="B295" s="1">
        <v>45090</v>
      </c>
      <c r="C295" t="s">
        <v>12</v>
      </c>
      <c r="D295" t="s">
        <v>19</v>
      </c>
      <c r="E295" t="s">
        <v>38</v>
      </c>
      <c r="F295" t="s">
        <v>34</v>
      </c>
      <c r="G295">
        <v>0</v>
      </c>
      <c r="H295">
        <f>Table1[[#This Row],[UnitPrice]]*0.7*Table1[[#This Row],[UnitsSold]]</f>
        <v>0</v>
      </c>
      <c r="I295">
        <v>936.79681818181825</v>
      </c>
      <c r="J295">
        <v>0.16</v>
      </c>
      <c r="K295" t="s">
        <v>283</v>
      </c>
      <c r="L295" t="s">
        <v>17</v>
      </c>
      <c r="M295" s="3">
        <f t="shared" si="12"/>
        <v>0</v>
      </c>
      <c r="N295" t="str">
        <f t="shared" si="13"/>
        <v>June</v>
      </c>
      <c r="O295" t="str">
        <f t="shared" si="14"/>
        <v>2023</v>
      </c>
      <c r="P295" s="3">
        <f>Table1[[#This Row],[Revenue]]-Table1[[#This Row],[Cost]]</f>
        <v>0</v>
      </c>
      <c r="Q29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96" spans="1:17" x14ac:dyDescent="0.2">
      <c r="A296" t="s">
        <v>110</v>
      </c>
      <c r="B296" s="1">
        <v>45194</v>
      </c>
      <c r="C296" t="s">
        <v>57</v>
      </c>
      <c r="D296" t="s">
        <v>19</v>
      </c>
      <c r="E296" t="s">
        <v>38</v>
      </c>
      <c r="F296" t="s">
        <v>34</v>
      </c>
      <c r="G296">
        <v>0</v>
      </c>
      <c r="H296">
        <f>Table1[[#This Row],[UnitPrice]]*0.7*Table1[[#This Row],[UnitsSold]]</f>
        <v>0</v>
      </c>
      <c r="I296">
        <v>1179.99</v>
      </c>
      <c r="J296">
        <v>0</v>
      </c>
      <c r="K296" t="s">
        <v>16</v>
      </c>
      <c r="L296" t="s">
        <v>55</v>
      </c>
      <c r="M296" s="3">
        <f t="shared" si="12"/>
        <v>0</v>
      </c>
      <c r="N296" t="str">
        <f t="shared" si="13"/>
        <v>September</v>
      </c>
      <c r="O296" t="str">
        <f t="shared" si="14"/>
        <v>2023</v>
      </c>
      <c r="P296" s="3">
        <f>Table1[[#This Row],[Revenue]]-Table1[[#This Row],[Cost]]</f>
        <v>0</v>
      </c>
      <c r="Q29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97" spans="1:17" x14ac:dyDescent="0.2">
      <c r="A297" t="s">
        <v>160</v>
      </c>
      <c r="B297" s="1">
        <v>45103</v>
      </c>
      <c r="C297" t="s">
        <v>57</v>
      </c>
      <c r="D297" t="s">
        <v>59</v>
      </c>
      <c r="E297" t="s">
        <v>38</v>
      </c>
      <c r="F297" t="s">
        <v>34</v>
      </c>
      <c r="G297">
        <v>0</v>
      </c>
      <c r="H297">
        <f>Table1[[#This Row],[UnitPrice]]*0.7*Table1[[#This Row],[UnitsSold]]</f>
        <v>0</v>
      </c>
      <c r="I297">
        <v>951.36</v>
      </c>
      <c r="J297">
        <v>0.08</v>
      </c>
      <c r="K297" t="s">
        <v>248</v>
      </c>
      <c r="L297" t="s">
        <v>17</v>
      </c>
      <c r="M297" s="3">
        <f t="shared" si="12"/>
        <v>0</v>
      </c>
      <c r="N297" t="str">
        <f t="shared" si="13"/>
        <v>June</v>
      </c>
      <c r="O297" t="str">
        <f t="shared" si="14"/>
        <v>2023</v>
      </c>
      <c r="P297" s="3">
        <f>Table1[[#This Row],[Revenue]]-Table1[[#This Row],[Cost]]</f>
        <v>0</v>
      </c>
      <c r="Q29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298" spans="1:17" x14ac:dyDescent="0.2">
      <c r="A298" t="s">
        <v>115</v>
      </c>
      <c r="B298" s="1">
        <v>45282</v>
      </c>
      <c r="C298" t="s">
        <v>57</v>
      </c>
      <c r="D298" t="s">
        <v>19</v>
      </c>
      <c r="E298" t="s">
        <v>38</v>
      </c>
      <c r="F298" t="s">
        <v>34</v>
      </c>
      <c r="G298">
        <v>8</v>
      </c>
      <c r="H298">
        <f>Table1[[#This Row],[UnitPrice]]*0.7*Table1[[#This Row],[UnitsSold]]</f>
        <v>5246.0621818181817</v>
      </c>
      <c r="I298">
        <v>936.79681818181825</v>
      </c>
      <c r="J298">
        <v>0.27</v>
      </c>
      <c r="K298" t="s">
        <v>52</v>
      </c>
      <c r="L298" t="s">
        <v>55</v>
      </c>
      <c r="M298" s="3">
        <f t="shared" si="12"/>
        <v>5470.8934181818186</v>
      </c>
      <c r="N298" t="str">
        <f t="shared" si="13"/>
        <v>December</v>
      </c>
      <c r="O298" t="str">
        <f t="shared" si="14"/>
        <v>2023</v>
      </c>
      <c r="P298" s="3">
        <f>Table1[[#This Row],[Revenue]]-Table1[[#This Row],[Cost]]</f>
        <v>224.83123636363689</v>
      </c>
      <c r="Q298" s="6">
        <f>IF(Table1[[#This Row],[UnitsSold]]*Table1[[#This Row],[UnitPrice]]*(1-Table1[[#This Row],[Discount]])=0, 0, ((Table1[[#This Row],[UnitsSold]]*Table1[[#This Row],[UnitPrice]]*(1-Table1[[#This Row],[Discount]])) - (Table1[[#This Row],[UnitsSold]]*Table1[[#This Row],[UnitPrice]]*0.7)) / (Table1[[#This Row],[UnitsSold]]*Table1[[#This Row],[UnitPrice]]*(1-Table1[[#This Row],[Discount]])))</f>
        <v>4.1095890410958999E-2</v>
      </c>
    </row>
    <row r="299" spans="1:17" x14ac:dyDescent="0.2">
      <c r="A299" t="s">
        <v>90</v>
      </c>
      <c r="B299" s="1">
        <v>45070</v>
      </c>
      <c r="C299" t="s">
        <v>57</v>
      </c>
      <c r="D299" t="s">
        <v>267</v>
      </c>
      <c r="E299" t="s">
        <v>48</v>
      </c>
      <c r="F299" t="s">
        <v>39</v>
      </c>
      <c r="G299">
        <v>8</v>
      </c>
      <c r="H299">
        <f>Table1[[#This Row],[UnitPrice]]*0.7*Table1[[#This Row],[UnitsSold]]</f>
        <v>5696.9288510638289</v>
      </c>
      <c r="I299">
        <v>1017.3087234042553</v>
      </c>
      <c r="J299">
        <v>0</v>
      </c>
      <c r="K299" t="s">
        <v>52</v>
      </c>
      <c r="L299" t="s">
        <v>22</v>
      </c>
      <c r="M299" s="3">
        <f t="shared" si="12"/>
        <v>8138.4697872340421</v>
      </c>
      <c r="N299" t="str">
        <f t="shared" si="13"/>
        <v>May</v>
      </c>
      <c r="O299" t="str">
        <f t="shared" si="14"/>
        <v>2023</v>
      </c>
      <c r="P299" s="3">
        <f>Table1[[#This Row],[Revenue]]-Table1[[#This Row],[Cost]]</f>
        <v>2441.5409361702132</v>
      </c>
      <c r="Q29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00" spans="1:17" x14ac:dyDescent="0.2">
      <c r="A300" t="s">
        <v>136</v>
      </c>
      <c r="B300" s="1">
        <v>45257</v>
      </c>
      <c r="C300" t="s">
        <v>12</v>
      </c>
      <c r="D300" t="s">
        <v>19</v>
      </c>
      <c r="E300" t="s">
        <v>38</v>
      </c>
      <c r="F300" t="s">
        <v>34</v>
      </c>
      <c r="G300">
        <v>0</v>
      </c>
      <c r="H300">
        <f>Table1[[#This Row],[UnitPrice]]*0.7*Table1[[#This Row],[UnitsSold]]</f>
        <v>0</v>
      </c>
      <c r="I300">
        <v>936.79681818181825</v>
      </c>
      <c r="J300">
        <v>0.26</v>
      </c>
      <c r="K300" t="s">
        <v>248</v>
      </c>
      <c r="L300" t="s">
        <v>249</v>
      </c>
      <c r="M300" s="3">
        <f t="shared" si="12"/>
        <v>0</v>
      </c>
      <c r="N300" t="str">
        <f t="shared" si="13"/>
        <v>November</v>
      </c>
      <c r="O300" t="str">
        <f t="shared" si="14"/>
        <v>2023</v>
      </c>
      <c r="P300" s="3">
        <f>Table1[[#This Row],[Revenue]]-Table1[[#This Row],[Cost]]</f>
        <v>0</v>
      </c>
      <c r="Q30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01" spans="1:17" x14ac:dyDescent="0.2">
      <c r="A301" t="s">
        <v>207</v>
      </c>
      <c r="B301" s="1">
        <v>45086</v>
      </c>
      <c r="C301" t="s">
        <v>57</v>
      </c>
      <c r="D301" t="s">
        <v>19</v>
      </c>
      <c r="E301" t="s">
        <v>25</v>
      </c>
      <c r="F301" t="s">
        <v>26</v>
      </c>
      <c r="G301">
        <v>19</v>
      </c>
      <c r="H301">
        <f>Table1[[#This Row],[UnitPrice]]*0.7*Table1[[#This Row],[UnitsSold]]</f>
        <v>4731.3419999999996</v>
      </c>
      <c r="I301">
        <v>355.74</v>
      </c>
      <c r="J301">
        <v>0.25</v>
      </c>
      <c r="K301" t="s">
        <v>16</v>
      </c>
      <c r="L301" t="s">
        <v>22</v>
      </c>
      <c r="M301" s="3">
        <f t="shared" si="12"/>
        <v>5069.2950000000001</v>
      </c>
      <c r="N301" t="str">
        <f t="shared" si="13"/>
        <v>June</v>
      </c>
      <c r="O301" t="str">
        <f t="shared" si="14"/>
        <v>2023</v>
      </c>
      <c r="P301" s="3">
        <f>Table1[[#This Row],[Revenue]]-Table1[[#This Row],[Cost]]</f>
        <v>337.95300000000043</v>
      </c>
      <c r="Q301" s="6">
        <f>IF(Table1[[#This Row],[UnitsSold]]*Table1[[#This Row],[UnitPrice]]*(1-Table1[[#This Row],[Discount]])=0, 0, ((Table1[[#This Row],[UnitsSold]]*Table1[[#This Row],[UnitPrice]]*(1-Table1[[#This Row],[Discount]])) - (Table1[[#This Row],[UnitsSold]]*Table1[[#This Row],[UnitPrice]]*0.7)) / (Table1[[#This Row],[UnitsSold]]*Table1[[#This Row],[UnitPrice]]*(1-Table1[[#This Row],[Discount]])))</f>
        <v>6.6666666666666749E-2</v>
      </c>
    </row>
    <row r="302" spans="1:17" x14ac:dyDescent="0.2">
      <c r="A302" t="s">
        <v>208</v>
      </c>
      <c r="B302" s="1">
        <v>45111</v>
      </c>
      <c r="C302" t="s">
        <v>37</v>
      </c>
      <c r="D302" t="s">
        <v>59</v>
      </c>
      <c r="E302" t="s">
        <v>14</v>
      </c>
      <c r="F302" t="s">
        <v>26</v>
      </c>
      <c r="G302">
        <v>0</v>
      </c>
      <c r="H302">
        <f>Table1[[#This Row],[UnitPrice]]*0.7*Table1[[#This Row],[UnitsSold]]</f>
        <v>0</v>
      </c>
      <c r="I302">
        <v>1274.47</v>
      </c>
      <c r="J302">
        <v>0.2</v>
      </c>
      <c r="K302" t="s">
        <v>52</v>
      </c>
      <c r="L302" t="s">
        <v>22</v>
      </c>
      <c r="M302" s="3">
        <f t="shared" si="12"/>
        <v>0</v>
      </c>
      <c r="N302" t="str">
        <f t="shared" si="13"/>
        <v>July</v>
      </c>
      <c r="O302" t="str">
        <f t="shared" si="14"/>
        <v>2023</v>
      </c>
      <c r="P302" s="3">
        <f>Table1[[#This Row],[Revenue]]-Table1[[#This Row],[Cost]]</f>
        <v>0</v>
      </c>
      <c r="Q30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03" spans="1:17" x14ac:dyDescent="0.2">
      <c r="A303" t="s">
        <v>180</v>
      </c>
      <c r="B303" s="1">
        <v>45155</v>
      </c>
      <c r="C303" t="s">
        <v>246</v>
      </c>
      <c r="D303" t="s">
        <v>267</v>
      </c>
      <c r="E303" t="s">
        <v>38</v>
      </c>
      <c r="F303" t="s">
        <v>34</v>
      </c>
      <c r="G303">
        <v>0</v>
      </c>
      <c r="H303">
        <f>Table1[[#This Row],[UnitPrice]]*0.7*Table1[[#This Row],[UnitsSold]]</f>
        <v>0</v>
      </c>
      <c r="I303">
        <v>936.79681818181825</v>
      </c>
      <c r="J303">
        <v>0</v>
      </c>
      <c r="K303" t="s">
        <v>16</v>
      </c>
      <c r="L303" t="s">
        <v>55</v>
      </c>
      <c r="M303" s="3">
        <f t="shared" si="12"/>
        <v>0</v>
      </c>
      <c r="N303" t="str">
        <f t="shared" si="13"/>
        <v>August</v>
      </c>
      <c r="O303" t="str">
        <f t="shared" si="14"/>
        <v>2023</v>
      </c>
      <c r="P303" s="3">
        <f>Table1[[#This Row],[Revenue]]-Table1[[#This Row],[Cost]]</f>
        <v>0</v>
      </c>
      <c r="Q30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04" spans="1:17" x14ac:dyDescent="0.2">
      <c r="A304" t="s">
        <v>209</v>
      </c>
      <c r="B304" s="1">
        <v>45124</v>
      </c>
      <c r="C304" t="s">
        <v>12</v>
      </c>
      <c r="D304" t="s">
        <v>19</v>
      </c>
      <c r="E304" t="s">
        <v>25</v>
      </c>
      <c r="F304" t="s">
        <v>26</v>
      </c>
      <c r="G304">
        <v>7</v>
      </c>
      <c r="H304">
        <f>Table1[[#This Row],[UnitPrice]]*0.7*Table1[[#This Row],[UnitsSold]]</f>
        <v>4709.1773898305073</v>
      </c>
      <c r="I304">
        <v>961.05661016949136</v>
      </c>
      <c r="J304">
        <v>0</v>
      </c>
      <c r="K304" t="s">
        <v>42</v>
      </c>
      <c r="L304" t="s">
        <v>17</v>
      </c>
      <c r="M304" s="3">
        <f t="shared" si="12"/>
        <v>6727.3962711864397</v>
      </c>
      <c r="N304" t="str">
        <f t="shared" si="13"/>
        <v>July</v>
      </c>
      <c r="O304" t="str">
        <f t="shared" si="14"/>
        <v>2023</v>
      </c>
      <c r="P304" s="3">
        <f>Table1[[#This Row],[Revenue]]-Table1[[#This Row],[Cost]]</f>
        <v>2018.2188813559324</v>
      </c>
      <c r="Q304"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05" spans="1:17" x14ac:dyDescent="0.2">
      <c r="A305" t="s">
        <v>202</v>
      </c>
      <c r="B305" s="1">
        <v>45326</v>
      </c>
      <c r="C305" t="s">
        <v>12</v>
      </c>
      <c r="D305" t="s">
        <v>83</v>
      </c>
      <c r="E305" t="s">
        <v>247</v>
      </c>
      <c r="F305" t="s">
        <v>26</v>
      </c>
      <c r="G305">
        <v>20</v>
      </c>
      <c r="H305">
        <f>Table1[[#This Row],[UnitPrice]]*0.7*Table1[[#This Row],[UnitsSold]]</f>
        <v>13739.042857142857</v>
      </c>
      <c r="I305">
        <v>981.36020408163256</v>
      </c>
      <c r="J305">
        <v>0</v>
      </c>
      <c r="K305" t="s">
        <v>283</v>
      </c>
      <c r="L305" t="s">
        <v>55</v>
      </c>
      <c r="M305" s="3">
        <f t="shared" si="12"/>
        <v>19627.204081632652</v>
      </c>
      <c r="N305" t="str">
        <f t="shared" si="13"/>
        <v>February</v>
      </c>
      <c r="O305" t="str">
        <f t="shared" si="14"/>
        <v>2024</v>
      </c>
      <c r="P305" s="3">
        <f>Table1[[#This Row],[Revenue]]-Table1[[#This Row],[Cost]]</f>
        <v>5888.1612244897951</v>
      </c>
      <c r="Q30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306" spans="1:17" x14ac:dyDescent="0.2">
      <c r="A306" t="s">
        <v>18</v>
      </c>
      <c r="B306" s="1">
        <v>45119</v>
      </c>
      <c r="C306" t="s">
        <v>29</v>
      </c>
      <c r="D306" t="s">
        <v>83</v>
      </c>
      <c r="E306" t="s">
        <v>14</v>
      </c>
      <c r="F306" t="s">
        <v>26</v>
      </c>
      <c r="G306">
        <v>0</v>
      </c>
      <c r="H306">
        <f>Table1[[#This Row],[UnitPrice]]*0.7*Table1[[#This Row],[UnitsSold]]</f>
        <v>0</v>
      </c>
      <c r="I306">
        <v>1002.870425531915</v>
      </c>
      <c r="J306">
        <v>0.12</v>
      </c>
      <c r="K306" t="s">
        <v>16</v>
      </c>
      <c r="L306" t="s">
        <v>17</v>
      </c>
      <c r="M306" s="3">
        <f t="shared" si="12"/>
        <v>0</v>
      </c>
      <c r="N306" t="str">
        <f t="shared" si="13"/>
        <v>July</v>
      </c>
      <c r="O306" t="str">
        <f t="shared" si="14"/>
        <v>2023</v>
      </c>
      <c r="P306" s="3">
        <f>Table1[[#This Row],[Revenue]]-Table1[[#This Row],[Cost]]</f>
        <v>0</v>
      </c>
      <c r="Q30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07" spans="1:17" x14ac:dyDescent="0.2">
      <c r="A307" t="s">
        <v>100</v>
      </c>
      <c r="B307" s="1">
        <v>45118</v>
      </c>
      <c r="C307" t="s">
        <v>24</v>
      </c>
      <c r="D307" t="s">
        <v>59</v>
      </c>
      <c r="E307" t="s">
        <v>48</v>
      </c>
      <c r="F307" t="s">
        <v>39</v>
      </c>
      <c r="G307">
        <v>16</v>
      </c>
      <c r="H307">
        <f>Table1[[#This Row],[UnitPrice]]*0.7*Table1[[#This Row],[UnitsSold]]</f>
        <v>11393.857702127658</v>
      </c>
      <c r="I307">
        <v>1017.3087234042553</v>
      </c>
      <c r="J307">
        <v>0</v>
      </c>
      <c r="K307" t="s">
        <v>52</v>
      </c>
      <c r="L307" t="s">
        <v>55</v>
      </c>
      <c r="M307" s="3">
        <f t="shared" si="12"/>
        <v>16276.939574468084</v>
      </c>
      <c r="N307" t="str">
        <f t="shared" si="13"/>
        <v>July</v>
      </c>
      <c r="O307" t="str">
        <f t="shared" si="14"/>
        <v>2023</v>
      </c>
      <c r="P307" s="3">
        <f>Table1[[#This Row],[Revenue]]-Table1[[#This Row],[Cost]]</f>
        <v>4883.0818723404263</v>
      </c>
      <c r="Q30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08" spans="1:17" x14ac:dyDescent="0.2">
      <c r="A308" t="s">
        <v>111</v>
      </c>
      <c r="B308" s="1">
        <v>45003</v>
      </c>
      <c r="C308" t="s">
        <v>37</v>
      </c>
      <c r="D308" t="s">
        <v>19</v>
      </c>
      <c r="E308" t="s">
        <v>25</v>
      </c>
      <c r="F308" t="s">
        <v>26</v>
      </c>
      <c r="G308">
        <v>0</v>
      </c>
      <c r="H308">
        <f>Table1[[#This Row],[UnitPrice]]*0.7*Table1[[#This Row],[UnitsSold]]</f>
        <v>0</v>
      </c>
      <c r="I308">
        <v>645.98</v>
      </c>
      <c r="J308">
        <v>0</v>
      </c>
      <c r="K308" t="s">
        <v>42</v>
      </c>
      <c r="L308" t="s">
        <v>55</v>
      </c>
      <c r="M308" s="3">
        <f t="shared" si="12"/>
        <v>0</v>
      </c>
      <c r="N308" t="str">
        <f t="shared" si="13"/>
        <v>March</v>
      </c>
      <c r="O308" t="str">
        <f t="shared" si="14"/>
        <v>2023</v>
      </c>
      <c r="P308" s="3">
        <f>Table1[[#This Row],[Revenue]]-Table1[[#This Row],[Cost]]</f>
        <v>0</v>
      </c>
      <c r="Q30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09" spans="1:17" x14ac:dyDescent="0.2">
      <c r="A309" t="s">
        <v>206</v>
      </c>
      <c r="B309" s="1">
        <v>45141</v>
      </c>
      <c r="C309" t="s">
        <v>57</v>
      </c>
      <c r="D309" t="s">
        <v>83</v>
      </c>
      <c r="E309" t="s">
        <v>48</v>
      </c>
      <c r="F309" t="s">
        <v>39</v>
      </c>
      <c r="G309">
        <v>0</v>
      </c>
      <c r="H309">
        <f>Table1[[#This Row],[UnitPrice]]*0.7*Table1[[#This Row],[UnitsSold]]</f>
        <v>0</v>
      </c>
      <c r="I309">
        <v>1989.56</v>
      </c>
      <c r="J309">
        <v>0</v>
      </c>
      <c r="K309" t="s">
        <v>16</v>
      </c>
      <c r="L309" t="s">
        <v>17</v>
      </c>
      <c r="M309" s="3">
        <f t="shared" si="12"/>
        <v>0</v>
      </c>
      <c r="N309" t="str">
        <f t="shared" si="13"/>
        <v>August</v>
      </c>
      <c r="O309" t="str">
        <f t="shared" si="14"/>
        <v>2023</v>
      </c>
      <c r="P309" s="3">
        <f>Table1[[#This Row],[Revenue]]-Table1[[#This Row],[Cost]]</f>
        <v>0</v>
      </c>
      <c r="Q30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10" spans="1:17" x14ac:dyDescent="0.2">
      <c r="A310" t="s">
        <v>11</v>
      </c>
      <c r="B310" s="1">
        <v>45170</v>
      </c>
      <c r="C310" t="s">
        <v>29</v>
      </c>
      <c r="D310" t="s">
        <v>31</v>
      </c>
      <c r="E310" t="s">
        <v>14</v>
      </c>
      <c r="F310" t="s">
        <v>26</v>
      </c>
      <c r="G310">
        <v>18</v>
      </c>
      <c r="H310">
        <f>Table1[[#This Row],[UnitPrice]]*0.7*Table1[[#This Row],[UnitsSold]]</f>
        <v>12636.167361702128</v>
      </c>
      <c r="I310">
        <v>1002.870425531915</v>
      </c>
      <c r="J310">
        <v>0</v>
      </c>
      <c r="K310" t="s">
        <v>283</v>
      </c>
      <c r="L310" t="s">
        <v>17</v>
      </c>
      <c r="M310" s="3">
        <f t="shared" si="12"/>
        <v>18051.667659574468</v>
      </c>
      <c r="N310" t="str">
        <f t="shared" si="13"/>
        <v>September</v>
      </c>
      <c r="O310" t="str">
        <f t="shared" si="14"/>
        <v>2023</v>
      </c>
      <c r="P310" s="3">
        <f>Table1[[#This Row],[Revenue]]-Table1[[#This Row],[Cost]]</f>
        <v>5415.5002978723405</v>
      </c>
      <c r="Q310"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311" spans="1:17" x14ac:dyDescent="0.2">
      <c r="A311" t="s">
        <v>99</v>
      </c>
      <c r="B311" s="1">
        <v>45020</v>
      </c>
      <c r="C311" t="s">
        <v>29</v>
      </c>
      <c r="D311" t="s">
        <v>13</v>
      </c>
      <c r="E311" t="s">
        <v>46</v>
      </c>
      <c r="F311" t="s">
        <v>26</v>
      </c>
      <c r="G311">
        <v>12</v>
      </c>
      <c r="H311">
        <f>Table1[[#This Row],[UnitPrice]]*0.7*Table1[[#This Row],[UnitsSold]]</f>
        <v>9290.6199999999953</v>
      </c>
      <c r="I311">
        <v>1106.0261904761899</v>
      </c>
      <c r="J311">
        <v>0</v>
      </c>
      <c r="K311" t="s">
        <v>52</v>
      </c>
      <c r="L311" t="s">
        <v>55</v>
      </c>
      <c r="M311" s="3">
        <f t="shared" si="12"/>
        <v>13272.314285714278</v>
      </c>
      <c r="N311" t="str">
        <f t="shared" si="13"/>
        <v>April</v>
      </c>
      <c r="O311" t="str">
        <f t="shared" si="14"/>
        <v>2023</v>
      </c>
      <c r="P311" s="3">
        <f>Table1[[#This Row],[Revenue]]-Table1[[#This Row],[Cost]]</f>
        <v>3981.6942857142822</v>
      </c>
      <c r="Q31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12" spans="1:17" x14ac:dyDescent="0.2">
      <c r="A312" t="s">
        <v>66</v>
      </c>
      <c r="B312" s="1">
        <v>45077</v>
      </c>
      <c r="C312" t="s">
        <v>57</v>
      </c>
      <c r="D312" t="s">
        <v>267</v>
      </c>
      <c r="E312" t="s">
        <v>46</v>
      </c>
      <c r="F312" t="s">
        <v>26</v>
      </c>
      <c r="G312">
        <v>0</v>
      </c>
      <c r="H312">
        <f>Table1[[#This Row],[UnitPrice]]*0.7*Table1[[#This Row],[UnitsSold]]</f>
        <v>0</v>
      </c>
      <c r="I312">
        <v>1106.0261904761899</v>
      </c>
      <c r="J312">
        <v>0.02</v>
      </c>
      <c r="K312" t="s">
        <v>248</v>
      </c>
      <c r="L312" t="s">
        <v>27</v>
      </c>
      <c r="M312" s="3">
        <f t="shared" si="12"/>
        <v>0</v>
      </c>
      <c r="N312" t="str">
        <f t="shared" si="13"/>
        <v>May</v>
      </c>
      <c r="O312" t="str">
        <f t="shared" si="14"/>
        <v>2023</v>
      </c>
      <c r="P312" s="3">
        <f>Table1[[#This Row],[Revenue]]-Table1[[#This Row],[Cost]]</f>
        <v>0</v>
      </c>
      <c r="Q31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13" spans="1:17" x14ac:dyDescent="0.2">
      <c r="A313" t="s">
        <v>115</v>
      </c>
      <c r="B313" s="1">
        <v>45122</v>
      </c>
      <c r="C313" t="s">
        <v>24</v>
      </c>
      <c r="D313" t="s">
        <v>83</v>
      </c>
      <c r="E313" t="s">
        <v>46</v>
      </c>
      <c r="F313" t="s">
        <v>26</v>
      </c>
      <c r="G313">
        <v>5</v>
      </c>
      <c r="H313">
        <f>Table1[[#This Row],[UnitPrice]]*0.7*Table1[[#This Row],[UnitsSold]]</f>
        <v>3871.0916666666644</v>
      </c>
      <c r="I313">
        <v>1106.0261904761899</v>
      </c>
      <c r="J313">
        <v>0</v>
      </c>
      <c r="K313" t="s">
        <v>16</v>
      </c>
      <c r="L313" t="s">
        <v>55</v>
      </c>
      <c r="M313" s="3">
        <f t="shared" si="12"/>
        <v>5530.1309523809496</v>
      </c>
      <c r="N313" t="str">
        <f t="shared" si="13"/>
        <v>July</v>
      </c>
      <c r="O313" t="str">
        <f t="shared" si="14"/>
        <v>2023</v>
      </c>
      <c r="P313" s="3">
        <f>Table1[[#This Row],[Revenue]]-Table1[[#This Row],[Cost]]</f>
        <v>1659.0392857142851</v>
      </c>
      <c r="Q313"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14" spans="1:17" x14ac:dyDescent="0.2">
      <c r="A314" t="s">
        <v>82</v>
      </c>
      <c r="B314" s="1">
        <v>45019</v>
      </c>
      <c r="C314" t="s">
        <v>12</v>
      </c>
      <c r="D314" t="s">
        <v>83</v>
      </c>
      <c r="E314" t="s">
        <v>14</v>
      </c>
      <c r="F314" t="s">
        <v>26</v>
      </c>
      <c r="G314">
        <v>0</v>
      </c>
      <c r="H314">
        <f>Table1[[#This Row],[UnitPrice]]*0.7*Table1[[#This Row],[UnitsSold]]</f>
        <v>0</v>
      </c>
      <c r="I314">
        <v>1002.870425531915</v>
      </c>
      <c r="J314">
        <v>0.08</v>
      </c>
      <c r="K314" t="s">
        <v>248</v>
      </c>
      <c r="L314" t="s">
        <v>249</v>
      </c>
      <c r="M314" s="3">
        <f t="shared" si="12"/>
        <v>0</v>
      </c>
      <c r="N314" t="str">
        <f t="shared" si="13"/>
        <v>April</v>
      </c>
      <c r="O314" t="str">
        <f t="shared" si="14"/>
        <v>2023</v>
      </c>
      <c r="P314" s="3">
        <f>Table1[[#This Row],[Revenue]]-Table1[[#This Row],[Cost]]</f>
        <v>0</v>
      </c>
      <c r="Q31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15" spans="1:17" x14ac:dyDescent="0.2">
      <c r="A315" t="s">
        <v>164</v>
      </c>
      <c r="B315" s="1">
        <v>45317</v>
      </c>
      <c r="C315" t="s">
        <v>12</v>
      </c>
      <c r="D315" t="s">
        <v>19</v>
      </c>
      <c r="E315" t="s">
        <v>44</v>
      </c>
      <c r="F315" t="s">
        <v>26</v>
      </c>
      <c r="G315">
        <v>0</v>
      </c>
      <c r="H315">
        <f>Table1[[#This Row],[UnitPrice]]*0.7*Table1[[#This Row],[UnitsSold]]</f>
        <v>0</v>
      </c>
      <c r="I315">
        <v>1079.5765957446808</v>
      </c>
      <c r="J315">
        <v>0.11</v>
      </c>
      <c r="K315" t="s">
        <v>248</v>
      </c>
      <c r="L315" t="s">
        <v>249</v>
      </c>
      <c r="M315" s="3">
        <f t="shared" si="12"/>
        <v>0</v>
      </c>
      <c r="N315" t="str">
        <f t="shared" si="13"/>
        <v>January</v>
      </c>
      <c r="O315" t="str">
        <f t="shared" si="14"/>
        <v>2024</v>
      </c>
      <c r="P315" s="3">
        <f>Table1[[#This Row],[Revenue]]-Table1[[#This Row],[Cost]]</f>
        <v>0</v>
      </c>
      <c r="Q31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16" spans="1:17" x14ac:dyDescent="0.2">
      <c r="A316" t="s">
        <v>210</v>
      </c>
      <c r="B316" s="1">
        <v>45118</v>
      </c>
      <c r="C316" t="s">
        <v>12</v>
      </c>
      <c r="D316" t="s">
        <v>59</v>
      </c>
      <c r="E316" t="s">
        <v>25</v>
      </c>
      <c r="F316" t="s">
        <v>26</v>
      </c>
      <c r="G316">
        <v>7</v>
      </c>
      <c r="H316">
        <f>Table1[[#This Row],[UnitPrice]]*0.7*Table1[[#This Row],[UnitsSold]]</f>
        <v>4709.1773898305073</v>
      </c>
      <c r="I316">
        <v>961.05661016949136</v>
      </c>
      <c r="J316">
        <v>0.22</v>
      </c>
      <c r="K316" t="s">
        <v>283</v>
      </c>
      <c r="L316" t="s">
        <v>55</v>
      </c>
      <c r="M316" s="3">
        <f t="shared" si="12"/>
        <v>5247.3690915254228</v>
      </c>
      <c r="N316" t="str">
        <f t="shared" si="13"/>
        <v>July</v>
      </c>
      <c r="O316" t="str">
        <f t="shared" si="14"/>
        <v>2023</v>
      </c>
      <c r="P316" s="3">
        <f>Table1[[#This Row],[Revenue]]-Table1[[#This Row],[Cost]]</f>
        <v>538.19170169491554</v>
      </c>
      <c r="Q316" s="6">
        <f>IF(Table1[[#This Row],[UnitsSold]]*Table1[[#This Row],[UnitPrice]]*(1-Table1[[#This Row],[Discount]])=0, 0, ((Table1[[#This Row],[UnitsSold]]*Table1[[#This Row],[UnitPrice]]*(1-Table1[[#This Row],[Discount]])) - (Table1[[#This Row],[UnitsSold]]*Table1[[#This Row],[UnitPrice]]*0.7)) / (Table1[[#This Row],[UnitsSold]]*Table1[[#This Row],[UnitPrice]]*(1-Table1[[#This Row],[Discount]])))</f>
        <v>0.10256410256410263</v>
      </c>
    </row>
    <row r="317" spans="1:17" x14ac:dyDescent="0.2">
      <c r="A317" t="s">
        <v>90</v>
      </c>
      <c r="B317" s="1">
        <v>44993</v>
      </c>
      <c r="C317" t="s">
        <v>12</v>
      </c>
      <c r="D317" t="s">
        <v>83</v>
      </c>
      <c r="E317" t="s">
        <v>44</v>
      </c>
      <c r="F317" t="s">
        <v>26</v>
      </c>
      <c r="G317">
        <v>10</v>
      </c>
      <c r="H317">
        <f>Table1[[#This Row],[UnitPrice]]*0.7*Table1[[#This Row],[UnitsSold]]</f>
        <v>979.43999999999983</v>
      </c>
      <c r="I317">
        <v>139.91999999999999</v>
      </c>
      <c r="J317">
        <v>0</v>
      </c>
      <c r="K317" t="s">
        <v>42</v>
      </c>
      <c r="L317" t="s">
        <v>17</v>
      </c>
      <c r="M317" s="3">
        <f t="shared" si="12"/>
        <v>1399.1999999999998</v>
      </c>
      <c r="N317" t="str">
        <f t="shared" si="13"/>
        <v>March</v>
      </c>
      <c r="O317" t="str">
        <f t="shared" si="14"/>
        <v>2023</v>
      </c>
      <c r="P317" s="3">
        <f>Table1[[#This Row],[Revenue]]-Table1[[#This Row],[Cost]]</f>
        <v>419.76</v>
      </c>
      <c r="Q31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18" spans="1:17" x14ac:dyDescent="0.2">
      <c r="A318" t="s">
        <v>180</v>
      </c>
      <c r="B318" s="1">
        <v>45195</v>
      </c>
      <c r="C318" t="s">
        <v>29</v>
      </c>
      <c r="D318" t="s">
        <v>83</v>
      </c>
      <c r="E318" t="s">
        <v>48</v>
      </c>
      <c r="F318" t="s">
        <v>39</v>
      </c>
      <c r="G318">
        <v>0</v>
      </c>
      <c r="H318">
        <f>Table1[[#This Row],[UnitPrice]]*0.7*Table1[[#This Row],[UnitsSold]]</f>
        <v>0</v>
      </c>
      <c r="I318">
        <v>724.91</v>
      </c>
      <c r="J318">
        <v>0</v>
      </c>
      <c r="K318" t="s">
        <v>16</v>
      </c>
      <c r="L318" t="s">
        <v>249</v>
      </c>
      <c r="M318" s="3">
        <f t="shared" si="12"/>
        <v>0</v>
      </c>
      <c r="N318" t="str">
        <f t="shared" si="13"/>
        <v>September</v>
      </c>
      <c r="O318" t="str">
        <f t="shared" si="14"/>
        <v>2023</v>
      </c>
      <c r="P318" s="3">
        <f>Table1[[#This Row],[Revenue]]-Table1[[#This Row],[Cost]]</f>
        <v>0</v>
      </c>
      <c r="Q31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19" spans="1:17" x14ac:dyDescent="0.2">
      <c r="A319" t="s">
        <v>81</v>
      </c>
      <c r="B319" s="1">
        <v>45299</v>
      </c>
      <c r="C319" t="s">
        <v>246</v>
      </c>
      <c r="D319" t="s">
        <v>19</v>
      </c>
      <c r="E319" t="s">
        <v>48</v>
      </c>
      <c r="F319" t="s">
        <v>39</v>
      </c>
      <c r="G319">
        <v>0</v>
      </c>
      <c r="H319">
        <f>Table1[[#This Row],[UnitPrice]]*0.7*Table1[[#This Row],[UnitsSold]]</f>
        <v>0</v>
      </c>
      <c r="I319">
        <v>1017.3087234042553</v>
      </c>
      <c r="J319">
        <v>0.21</v>
      </c>
      <c r="K319" t="s">
        <v>42</v>
      </c>
      <c r="L319" t="s">
        <v>55</v>
      </c>
      <c r="M319" s="3">
        <f t="shared" si="12"/>
        <v>0</v>
      </c>
      <c r="N319" t="str">
        <f t="shared" si="13"/>
        <v>January</v>
      </c>
      <c r="O319" t="str">
        <f t="shared" si="14"/>
        <v>2024</v>
      </c>
      <c r="P319" s="3">
        <f>Table1[[#This Row],[Revenue]]-Table1[[#This Row],[Cost]]</f>
        <v>0</v>
      </c>
      <c r="Q31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20" spans="1:17" x14ac:dyDescent="0.2">
      <c r="A320" t="s">
        <v>211</v>
      </c>
      <c r="B320" s="1">
        <v>45200</v>
      </c>
      <c r="C320" t="s">
        <v>12</v>
      </c>
      <c r="D320" t="s">
        <v>31</v>
      </c>
      <c r="E320" t="s">
        <v>46</v>
      </c>
      <c r="F320" t="s">
        <v>26</v>
      </c>
      <c r="G320">
        <v>1</v>
      </c>
      <c r="H320">
        <f>Table1[[#This Row],[UnitPrice]]*0.7*Table1[[#This Row],[UnitsSold]]</f>
        <v>774.21833333333291</v>
      </c>
      <c r="I320">
        <v>1106.0261904761899</v>
      </c>
      <c r="J320">
        <v>0.13</v>
      </c>
      <c r="K320" t="s">
        <v>248</v>
      </c>
      <c r="L320" t="s">
        <v>55</v>
      </c>
      <c r="M320" s="3">
        <f t="shared" si="12"/>
        <v>962.24278571428522</v>
      </c>
      <c r="N320" t="str">
        <f t="shared" si="13"/>
        <v>October</v>
      </c>
      <c r="O320" t="str">
        <f t="shared" si="14"/>
        <v>2023</v>
      </c>
      <c r="P320" s="3">
        <f>Table1[[#This Row],[Revenue]]-Table1[[#This Row],[Cost]]</f>
        <v>188.02445238095231</v>
      </c>
      <c r="Q320" s="6">
        <f>IF(Table1[[#This Row],[UnitsSold]]*Table1[[#This Row],[UnitPrice]]*(1-Table1[[#This Row],[Discount]])=0, 0, ((Table1[[#This Row],[UnitsSold]]*Table1[[#This Row],[UnitPrice]]*(1-Table1[[#This Row],[Discount]])) - (Table1[[#This Row],[UnitsSold]]*Table1[[#This Row],[UnitPrice]]*0.7)) / (Table1[[#This Row],[UnitsSold]]*Table1[[#This Row],[UnitPrice]]*(1-Table1[[#This Row],[Discount]])))</f>
        <v>0.19540229885057475</v>
      </c>
    </row>
    <row r="321" spans="1:17" x14ac:dyDescent="0.2">
      <c r="A321" t="s">
        <v>205</v>
      </c>
      <c r="B321" s="1">
        <v>45286</v>
      </c>
      <c r="C321" t="s">
        <v>246</v>
      </c>
      <c r="D321" t="s">
        <v>19</v>
      </c>
      <c r="E321" t="s">
        <v>48</v>
      </c>
      <c r="F321" t="s">
        <v>39</v>
      </c>
      <c r="G321">
        <v>0</v>
      </c>
      <c r="H321">
        <f>Table1[[#This Row],[UnitPrice]]*0.7*Table1[[#This Row],[UnitsSold]]</f>
        <v>0</v>
      </c>
      <c r="I321">
        <v>1017.3087234042553</v>
      </c>
      <c r="J321">
        <v>0</v>
      </c>
      <c r="K321" t="s">
        <v>248</v>
      </c>
      <c r="L321" t="s">
        <v>249</v>
      </c>
      <c r="M321" s="3">
        <f t="shared" si="12"/>
        <v>0</v>
      </c>
      <c r="N321" t="str">
        <f t="shared" si="13"/>
        <v>December</v>
      </c>
      <c r="O321" t="str">
        <f t="shared" si="14"/>
        <v>2023</v>
      </c>
      <c r="P321" s="3">
        <f>Table1[[#This Row],[Revenue]]-Table1[[#This Row],[Cost]]</f>
        <v>0</v>
      </c>
      <c r="Q32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22" spans="1:17" x14ac:dyDescent="0.2">
      <c r="A322" t="s">
        <v>212</v>
      </c>
      <c r="B322" s="1">
        <v>44980</v>
      </c>
      <c r="C322" t="s">
        <v>12</v>
      </c>
      <c r="D322" t="s">
        <v>59</v>
      </c>
      <c r="E322" t="s">
        <v>46</v>
      </c>
      <c r="F322" t="s">
        <v>26</v>
      </c>
      <c r="G322">
        <v>16</v>
      </c>
      <c r="H322">
        <f>Table1[[#This Row],[UnitPrice]]*0.7*Table1[[#This Row],[UnitsSold]]</f>
        <v>12387.493333333327</v>
      </c>
      <c r="I322">
        <v>1106.0261904761899</v>
      </c>
      <c r="J322">
        <v>0.25</v>
      </c>
      <c r="K322" t="s">
        <v>52</v>
      </c>
      <c r="L322" t="s">
        <v>22</v>
      </c>
      <c r="M322" s="3">
        <f t="shared" ref="M322:M385" si="15">G322*I322*(1-J322)</f>
        <v>13272.314285714278</v>
      </c>
      <c r="N322" t="str">
        <f t="shared" ref="N322:N385" si="16">TEXT(B322, "mmmm")</f>
        <v>February</v>
      </c>
      <c r="O322" t="str">
        <f t="shared" ref="O322:O385" si="17">TEXT(B322, "yyyy")</f>
        <v>2023</v>
      </c>
      <c r="P322" s="3">
        <f>Table1[[#This Row],[Revenue]]-Table1[[#This Row],[Cost]]</f>
        <v>884.82095238095098</v>
      </c>
      <c r="Q322" s="6">
        <f>IF(Table1[[#This Row],[UnitsSold]]*Table1[[#This Row],[UnitPrice]]*(1-Table1[[#This Row],[Discount]])=0, 0, ((Table1[[#This Row],[UnitsSold]]*Table1[[#This Row],[UnitPrice]]*(1-Table1[[#This Row],[Discount]])) - (Table1[[#This Row],[UnitsSold]]*Table1[[#This Row],[UnitPrice]]*0.7)) / (Table1[[#This Row],[UnitsSold]]*Table1[[#This Row],[UnitPrice]]*(1-Table1[[#This Row],[Discount]])))</f>
        <v>6.6666666666666596E-2</v>
      </c>
    </row>
    <row r="323" spans="1:17" x14ac:dyDescent="0.2">
      <c r="A323" t="s">
        <v>30</v>
      </c>
      <c r="B323" s="1">
        <v>45009</v>
      </c>
      <c r="C323" t="s">
        <v>12</v>
      </c>
      <c r="D323" t="s">
        <v>31</v>
      </c>
      <c r="E323" t="s">
        <v>38</v>
      </c>
      <c r="F323" t="s">
        <v>34</v>
      </c>
      <c r="G323">
        <v>0</v>
      </c>
      <c r="H323">
        <f>Table1[[#This Row],[UnitPrice]]*0.7*Table1[[#This Row],[UnitsSold]]</f>
        <v>0</v>
      </c>
      <c r="I323">
        <v>476.67</v>
      </c>
      <c r="J323">
        <v>0.2</v>
      </c>
      <c r="K323" t="s">
        <v>248</v>
      </c>
      <c r="L323" t="s">
        <v>22</v>
      </c>
      <c r="M323" s="3">
        <f t="shared" si="15"/>
        <v>0</v>
      </c>
      <c r="N323" t="str">
        <f t="shared" si="16"/>
        <v>March</v>
      </c>
      <c r="O323" t="str">
        <f t="shared" si="17"/>
        <v>2023</v>
      </c>
      <c r="P323" s="3">
        <f>Table1[[#This Row],[Revenue]]-Table1[[#This Row],[Cost]]</f>
        <v>0</v>
      </c>
      <c r="Q32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24" spans="1:17" x14ac:dyDescent="0.2">
      <c r="A324" t="s">
        <v>133</v>
      </c>
      <c r="B324" s="1">
        <v>44973</v>
      </c>
      <c r="C324" t="s">
        <v>12</v>
      </c>
      <c r="D324" t="s">
        <v>13</v>
      </c>
      <c r="E324" t="s">
        <v>48</v>
      </c>
      <c r="F324" t="s">
        <v>39</v>
      </c>
      <c r="G324">
        <v>0</v>
      </c>
      <c r="H324">
        <f>Table1[[#This Row],[UnitPrice]]*0.7*Table1[[#This Row],[UnitsSold]]</f>
        <v>0</v>
      </c>
      <c r="I324">
        <v>1017.3087234042553</v>
      </c>
      <c r="J324">
        <v>0.08</v>
      </c>
      <c r="K324" t="s">
        <v>16</v>
      </c>
      <c r="L324" t="s">
        <v>249</v>
      </c>
      <c r="M324" s="3">
        <f t="shared" si="15"/>
        <v>0</v>
      </c>
      <c r="N324" t="str">
        <f t="shared" si="16"/>
        <v>February</v>
      </c>
      <c r="O324" t="str">
        <f t="shared" si="17"/>
        <v>2023</v>
      </c>
      <c r="P324" s="3">
        <f>Table1[[#This Row],[Revenue]]-Table1[[#This Row],[Cost]]</f>
        <v>0</v>
      </c>
      <c r="Q32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25" spans="1:17" x14ac:dyDescent="0.2">
      <c r="A325" t="s">
        <v>200</v>
      </c>
      <c r="B325" s="1">
        <v>45075</v>
      </c>
      <c r="C325" t="s">
        <v>29</v>
      </c>
      <c r="D325" t="s">
        <v>267</v>
      </c>
      <c r="E325" t="s">
        <v>48</v>
      </c>
      <c r="F325" t="s">
        <v>39</v>
      </c>
      <c r="G325">
        <v>0</v>
      </c>
      <c r="H325">
        <f>Table1[[#This Row],[UnitPrice]]*0.7*Table1[[#This Row],[UnitsSold]]</f>
        <v>0</v>
      </c>
      <c r="I325">
        <v>240.64</v>
      </c>
      <c r="J325">
        <v>0</v>
      </c>
      <c r="K325" t="s">
        <v>283</v>
      </c>
      <c r="L325" t="s">
        <v>249</v>
      </c>
      <c r="M325" s="3">
        <f t="shared" si="15"/>
        <v>0</v>
      </c>
      <c r="N325" t="str">
        <f t="shared" si="16"/>
        <v>May</v>
      </c>
      <c r="O325" t="str">
        <f t="shared" si="17"/>
        <v>2023</v>
      </c>
      <c r="P325" s="3">
        <f>Table1[[#This Row],[Revenue]]-Table1[[#This Row],[Cost]]</f>
        <v>0</v>
      </c>
      <c r="Q32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26" spans="1:17" x14ac:dyDescent="0.2">
      <c r="A326" t="s">
        <v>74</v>
      </c>
      <c r="B326" s="1">
        <v>45110</v>
      </c>
      <c r="C326" t="s">
        <v>57</v>
      </c>
      <c r="D326" t="s">
        <v>31</v>
      </c>
      <c r="E326" t="s">
        <v>14</v>
      </c>
      <c r="F326" t="s">
        <v>26</v>
      </c>
      <c r="G326">
        <v>0</v>
      </c>
      <c r="H326">
        <f>Table1[[#This Row],[UnitPrice]]*0.7*Table1[[#This Row],[UnitsSold]]</f>
        <v>0</v>
      </c>
      <c r="I326">
        <v>1002.870425531915</v>
      </c>
      <c r="J326">
        <v>0</v>
      </c>
      <c r="K326" t="s">
        <v>52</v>
      </c>
      <c r="L326" t="s">
        <v>22</v>
      </c>
      <c r="M326" s="3">
        <f t="shared" si="15"/>
        <v>0</v>
      </c>
      <c r="N326" t="str">
        <f t="shared" si="16"/>
        <v>July</v>
      </c>
      <c r="O326" t="str">
        <f t="shared" si="17"/>
        <v>2023</v>
      </c>
      <c r="P326" s="3">
        <f>Table1[[#This Row],[Revenue]]-Table1[[#This Row],[Cost]]</f>
        <v>0</v>
      </c>
      <c r="Q32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27" spans="1:17" x14ac:dyDescent="0.2">
      <c r="A327" t="s">
        <v>158</v>
      </c>
      <c r="B327" s="1">
        <v>45171</v>
      </c>
      <c r="C327" t="s">
        <v>57</v>
      </c>
      <c r="D327" t="s">
        <v>13</v>
      </c>
      <c r="E327" t="s">
        <v>25</v>
      </c>
      <c r="F327" t="s">
        <v>26</v>
      </c>
      <c r="G327">
        <v>4</v>
      </c>
      <c r="H327">
        <f>Table1[[#This Row],[UnitPrice]]*0.7*Table1[[#This Row],[UnitsSold]]</f>
        <v>3907.0639999999999</v>
      </c>
      <c r="I327">
        <v>1395.38</v>
      </c>
      <c r="J327">
        <v>0.28999999999999998</v>
      </c>
      <c r="K327" t="s">
        <v>16</v>
      </c>
      <c r="L327" t="s">
        <v>22</v>
      </c>
      <c r="M327" s="3">
        <f t="shared" si="15"/>
        <v>3962.8792000000003</v>
      </c>
      <c r="N327" t="str">
        <f t="shared" si="16"/>
        <v>September</v>
      </c>
      <c r="O327" t="str">
        <f t="shared" si="17"/>
        <v>2023</v>
      </c>
      <c r="P327" s="3">
        <f>Table1[[#This Row],[Revenue]]-Table1[[#This Row],[Cost]]</f>
        <v>55.815200000000459</v>
      </c>
      <c r="Q327" s="6">
        <f>IF(Table1[[#This Row],[UnitsSold]]*Table1[[#This Row],[UnitPrice]]*(1-Table1[[#This Row],[Discount]])=0, 0, ((Table1[[#This Row],[UnitsSold]]*Table1[[#This Row],[UnitPrice]]*(1-Table1[[#This Row],[Discount]])) - (Table1[[#This Row],[UnitsSold]]*Table1[[#This Row],[UnitPrice]]*0.7)) / (Table1[[#This Row],[UnitsSold]]*Table1[[#This Row],[UnitPrice]]*(1-Table1[[#This Row],[Discount]])))</f>
        <v>1.4084507042253636E-2</v>
      </c>
    </row>
    <row r="328" spans="1:17" x14ac:dyDescent="0.2">
      <c r="A328" t="s">
        <v>213</v>
      </c>
      <c r="B328" s="1">
        <v>45174</v>
      </c>
      <c r="C328" t="s">
        <v>57</v>
      </c>
      <c r="D328" t="s">
        <v>19</v>
      </c>
      <c r="E328" t="s">
        <v>44</v>
      </c>
      <c r="F328" t="s">
        <v>26</v>
      </c>
      <c r="G328">
        <v>0</v>
      </c>
      <c r="H328">
        <f>Table1[[#This Row],[UnitPrice]]*0.7*Table1[[#This Row],[UnitsSold]]</f>
        <v>0</v>
      </c>
      <c r="I328">
        <v>1079.5765957446808</v>
      </c>
      <c r="J328">
        <v>0</v>
      </c>
      <c r="K328" t="s">
        <v>16</v>
      </c>
      <c r="L328" t="s">
        <v>22</v>
      </c>
      <c r="M328" s="3">
        <f t="shared" si="15"/>
        <v>0</v>
      </c>
      <c r="N328" t="str">
        <f t="shared" si="16"/>
        <v>September</v>
      </c>
      <c r="O328" t="str">
        <f t="shared" si="17"/>
        <v>2023</v>
      </c>
      <c r="P328" s="3">
        <f>Table1[[#This Row],[Revenue]]-Table1[[#This Row],[Cost]]</f>
        <v>0</v>
      </c>
      <c r="Q32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29" spans="1:17" x14ac:dyDescent="0.2">
      <c r="A329" t="s">
        <v>214</v>
      </c>
      <c r="B329" s="1">
        <v>44984</v>
      </c>
      <c r="C329" t="s">
        <v>57</v>
      </c>
      <c r="D329" t="s">
        <v>83</v>
      </c>
      <c r="E329" t="s">
        <v>46</v>
      </c>
      <c r="F329" t="s">
        <v>26</v>
      </c>
      <c r="G329">
        <v>0</v>
      </c>
      <c r="H329">
        <f>Table1[[#This Row],[UnitPrice]]*0.7*Table1[[#This Row],[UnitsSold]]</f>
        <v>0</v>
      </c>
      <c r="I329">
        <v>1106.0261904761899</v>
      </c>
      <c r="J329">
        <v>0</v>
      </c>
      <c r="K329" t="s">
        <v>283</v>
      </c>
      <c r="L329" t="s">
        <v>17</v>
      </c>
      <c r="M329" s="3">
        <f t="shared" si="15"/>
        <v>0</v>
      </c>
      <c r="N329" t="str">
        <f t="shared" si="16"/>
        <v>February</v>
      </c>
      <c r="O329" t="str">
        <f t="shared" si="17"/>
        <v>2023</v>
      </c>
      <c r="P329" s="3">
        <f>Table1[[#This Row],[Revenue]]-Table1[[#This Row],[Cost]]</f>
        <v>0</v>
      </c>
      <c r="Q32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30" spans="1:17" x14ac:dyDescent="0.2">
      <c r="A330" t="s">
        <v>165</v>
      </c>
      <c r="B330" s="1">
        <v>45216</v>
      </c>
      <c r="C330" t="s">
        <v>37</v>
      </c>
      <c r="D330" t="s">
        <v>13</v>
      </c>
      <c r="E330" t="s">
        <v>25</v>
      </c>
      <c r="F330" t="s">
        <v>26</v>
      </c>
      <c r="G330">
        <v>0</v>
      </c>
      <c r="H330">
        <f>Table1[[#This Row],[UnitPrice]]*0.7*Table1[[#This Row],[UnitsSold]]</f>
        <v>0</v>
      </c>
      <c r="I330">
        <v>961.05661016949136</v>
      </c>
      <c r="J330">
        <v>0</v>
      </c>
      <c r="K330" t="s">
        <v>283</v>
      </c>
      <c r="L330" t="s">
        <v>249</v>
      </c>
      <c r="M330" s="3">
        <f t="shared" si="15"/>
        <v>0</v>
      </c>
      <c r="N330" t="str">
        <f t="shared" si="16"/>
        <v>October</v>
      </c>
      <c r="O330" t="str">
        <f t="shared" si="17"/>
        <v>2023</v>
      </c>
      <c r="P330" s="3">
        <f>Table1[[#This Row],[Revenue]]-Table1[[#This Row],[Cost]]</f>
        <v>0</v>
      </c>
      <c r="Q33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31" spans="1:17" x14ac:dyDescent="0.2">
      <c r="A331" t="s">
        <v>215</v>
      </c>
      <c r="B331" s="1">
        <v>45104</v>
      </c>
      <c r="C331" t="s">
        <v>57</v>
      </c>
      <c r="D331" t="s">
        <v>19</v>
      </c>
      <c r="E331" t="s">
        <v>25</v>
      </c>
      <c r="F331" t="s">
        <v>26</v>
      </c>
      <c r="G331">
        <v>20</v>
      </c>
      <c r="H331">
        <f>Table1[[#This Row],[UnitPrice]]*0.7*Table1[[#This Row],[UnitsSold]]</f>
        <v>464.38</v>
      </c>
      <c r="I331">
        <v>33.17</v>
      </c>
      <c r="J331">
        <v>0</v>
      </c>
      <c r="K331" t="s">
        <v>42</v>
      </c>
      <c r="L331" t="s">
        <v>249</v>
      </c>
      <c r="M331" s="3">
        <f t="shared" si="15"/>
        <v>663.40000000000009</v>
      </c>
      <c r="N331" t="str">
        <f t="shared" si="16"/>
        <v>June</v>
      </c>
      <c r="O331" t="str">
        <f t="shared" si="17"/>
        <v>2023</v>
      </c>
      <c r="P331" s="3">
        <f>Table1[[#This Row],[Revenue]]-Table1[[#This Row],[Cost]]</f>
        <v>199.0200000000001</v>
      </c>
      <c r="Q33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32" spans="1:17" x14ac:dyDescent="0.2">
      <c r="A332" t="s">
        <v>112</v>
      </c>
      <c r="B332" s="1">
        <v>45311</v>
      </c>
      <c r="C332" t="s">
        <v>57</v>
      </c>
      <c r="D332" t="s">
        <v>59</v>
      </c>
      <c r="E332" t="s">
        <v>247</v>
      </c>
      <c r="F332" t="s">
        <v>26</v>
      </c>
      <c r="G332">
        <v>9</v>
      </c>
      <c r="H332">
        <f>Table1[[#This Row],[UnitPrice]]*0.7*Table1[[#This Row],[UnitsSold]]</f>
        <v>6182.5692857142849</v>
      </c>
      <c r="I332">
        <v>981.36020408163256</v>
      </c>
      <c r="J332">
        <v>0</v>
      </c>
      <c r="K332" t="s">
        <v>16</v>
      </c>
      <c r="L332" t="s">
        <v>27</v>
      </c>
      <c r="M332" s="3">
        <f t="shared" si="15"/>
        <v>8832.2418367346927</v>
      </c>
      <c r="N332" t="str">
        <f t="shared" si="16"/>
        <v>January</v>
      </c>
      <c r="O332" t="str">
        <f t="shared" si="17"/>
        <v>2024</v>
      </c>
      <c r="P332" s="3">
        <f>Table1[[#This Row],[Revenue]]-Table1[[#This Row],[Cost]]</f>
        <v>2649.6725510204078</v>
      </c>
      <c r="Q332"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333" spans="1:17" x14ac:dyDescent="0.2">
      <c r="A333" t="s">
        <v>167</v>
      </c>
      <c r="B333" s="1">
        <v>45154</v>
      </c>
      <c r="C333" t="s">
        <v>57</v>
      </c>
      <c r="D333" t="s">
        <v>19</v>
      </c>
      <c r="E333" t="s">
        <v>25</v>
      </c>
      <c r="F333" t="s">
        <v>26</v>
      </c>
      <c r="G333">
        <v>0</v>
      </c>
      <c r="H333">
        <f>Table1[[#This Row],[UnitPrice]]*0.7*Table1[[#This Row],[UnitsSold]]</f>
        <v>0</v>
      </c>
      <c r="I333">
        <v>961.05661016949136</v>
      </c>
      <c r="J333">
        <v>0.22</v>
      </c>
      <c r="K333" t="s">
        <v>16</v>
      </c>
      <c r="L333" t="s">
        <v>22</v>
      </c>
      <c r="M333" s="3">
        <f t="shared" si="15"/>
        <v>0</v>
      </c>
      <c r="N333" t="str">
        <f t="shared" si="16"/>
        <v>August</v>
      </c>
      <c r="O333" t="str">
        <f t="shared" si="17"/>
        <v>2023</v>
      </c>
      <c r="P333" s="3">
        <f>Table1[[#This Row],[Revenue]]-Table1[[#This Row],[Cost]]</f>
        <v>0</v>
      </c>
      <c r="Q33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34" spans="1:17" x14ac:dyDescent="0.2">
      <c r="A334" t="s">
        <v>179</v>
      </c>
      <c r="B334" s="1">
        <v>44945</v>
      </c>
      <c r="C334" t="s">
        <v>12</v>
      </c>
      <c r="D334" t="s">
        <v>267</v>
      </c>
      <c r="E334" t="s">
        <v>46</v>
      </c>
      <c r="F334" t="s">
        <v>26</v>
      </c>
      <c r="G334">
        <v>0</v>
      </c>
      <c r="H334">
        <f>Table1[[#This Row],[UnitPrice]]*0.7*Table1[[#This Row],[UnitsSold]]</f>
        <v>0</v>
      </c>
      <c r="I334">
        <v>1106.0261904761899</v>
      </c>
      <c r="J334">
        <v>0</v>
      </c>
      <c r="K334" t="s">
        <v>283</v>
      </c>
      <c r="L334" t="s">
        <v>22</v>
      </c>
      <c r="M334" s="3">
        <f t="shared" si="15"/>
        <v>0</v>
      </c>
      <c r="N334" t="str">
        <f t="shared" si="16"/>
        <v>January</v>
      </c>
      <c r="O334" t="str">
        <f t="shared" si="17"/>
        <v>2023</v>
      </c>
      <c r="P334" s="3">
        <f>Table1[[#This Row],[Revenue]]-Table1[[#This Row],[Cost]]</f>
        <v>0</v>
      </c>
      <c r="Q33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35" spans="1:17" x14ac:dyDescent="0.2">
      <c r="A335" t="s">
        <v>216</v>
      </c>
      <c r="B335" s="1">
        <v>45113</v>
      </c>
      <c r="C335" t="s">
        <v>12</v>
      </c>
      <c r="D335" t="s">
        <v>267</v>
      </c>
      <c r="E335" t="s">
        <v>247</v>
      </c>
      <c r="F335" t="s">
        <v>26</v>
      </c>
      <c r="G335">
        <v>0</v>
      </c>
      <c r="H335">
        <f>Table1[[#This Row],[UnitPrice]]*0.7*Table1[[#This Row],[UnitsSold]]</f>
        <v>0</v>
      </c>
      <c r="I335">
        <v>981.36020408163256</v>
      </c>
      <c r="J335">
        <v>0</v>
      </c>
      <c r="K335" t="s">
        <v>52</v>
      </c>
      <c r="L335" t="s">
        <v>22</v>
      </c>
      <c r="M335" s="3">
        <f t="shared" si="15"/>
        <v>0</v>
      </c>
      <c r="N335" t="str">
        <f t="shared" si="16"/>
        <v>July</v>
      </c>
      <c r="O335" t="str">
        <f t="shared" si="17"/>
        <v>2023</v>
      </c>
      <c r="P335" s="3">
        <f>Table1[[#This Row],[Revenue]]-Table1[[#This Row],[Cost]]</f>
        <v>0</v>
      </c>
      <c r="Q33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36" spans="1:17" x14ac:dyDescent="0.2">
      <c r="A336" t="s">
        <v>118</v>
      </c>
      <c r="B336" s="1">
        <v>44976</v>
      </c>
      <c r="C336" t="s">
        <v>37</v>
      </c>
      <c r="D336" t="s">
        <v>19</v>
      </c>
      <c r="E336" t="s">
        <v>14</v>
      </c>
      <c r="F336" t="s">
        <v>26</v>
      </c>
      <c r="G336">
        <v>0</v>
      </c>
      <c r="H336">
        <f>Table1[[#This Row],[UnitPrice]]*0.7*Table1[[#This Row],[UnitsSold]]</f>
        <v>0</v>
      </c>
      <c r="I336">
        <v>1002.870425531915</v>
      </c>
      <c r="J336">
        <v>0.03</v>
      </c>
      <c r="K336" t="s">
        <v>42</v>
      </c>
      <c r="L336" t="s">
        <v>249</v>
      </c>
      <c r="M336" s="3">
        <f t="shared" si="15"/>
        <v>0</v>
      </c>
      <c r="N336" t="str">
        <f t="shared" si="16"/>
        <v>February</v>
      </c>
      <c r="O336" t="str">
        <f t="shared" si="17"/>
        <v>2023</v>
      </c>
      <c r="P336" s="3">
        <f>Table1[[#This Row],[Revenue]]-Table1[[#This Row],[Cost]]</f>
        <v>0</v>
      </c>
      <c r="Q33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37" spans="1:17" x14ac:dyDescent="0.2">
      <c r="A337" t="s">
        <v>82</v>
      </c>
      <c r="B337" s="1">
        <v>45307</v>
      </c>
      <c r="C337" t="s">
        <v>57</v>
      </c>
      <c r="D337" t="s">
        <v>19</v>
      </c>
      <c r="E337" t="s">
        <v>14</v>
      </c>
      <c r="F337" t="s">
        <v>26</v>
      </c>
      <c r="G337">
        <v>7</v>
      </c>
      <c r="H337">
        <f>Table1[[#This Row],[UnitPrice]]*0.7*Table1[[#This Row],[UnitsSold]]</f>
        <v>4914.0650851063829</v>
      </c>
      <c r="I337">
        <v>1002.870425531915</v>
      </c>
      <c r="J337">
        <v>0.06</v>
      </c>
      <c r="K337" t="s">
        <v>283</v>
      </c>
      <c r="L337" t="s">
        <v>55</v>
      </c>
      <c r="M337" s="3">
        <f t="shared" si="15"/>
        <v>6598.8873999999996</v>
      </c>
      <c r="N337" t="str">
        <f t="shared" si="16"/>
        <v>January</v>
      </c>
      <c r="O337" t="str">
        <f t="shared" si="17"/>
        <v>2024</v>
      </c>
      <c r="P337" s="3">
        <f>Table1[[#This Row],[Revenue]]-Table1[[#This Row],[Cost]]</f>
        <v>1684.8223148936167</v>
      </c>
      <c r="Q337" s="6">
        <f>IF(Table1[[#This Row],[UnitsSold]]*Table1[[#This Row],[UnitPrice]]*(1-Table1[[#This Row],[Discount]])=0, 0, ((Table1[[#This Row],[UnitsSold]]*Table1[[#This Row],[UnitPrice]]*(1-Table1[[#This Row],[Discount]])) - (Table1[[#This Row],[UnitsSold]]*Table1[[#This Row],[UnitPrice]]*0.7)) / (Table1[[#This Row],[UnitsSold]]*Table1[[#This Row],[UnitPrice]]*(1-Table1[[#This Row],[Discount]])))</f>
        <v>0.25531914893617019</v>
      </c>
    </row>
    <row r="338" spans="1:17" x14ac:dyDescent="0.2">
      <c r="A338" t="s">
        <v>199</v>
      </c>
      <c r="B338" s="1">
        <v>45314</v>
      </c>
      <c r="C338" t="s">
        <v>57</v>
      </c>
      <c r="D338" t="s">
        <v>19</v>
      </c>
      <c r="E338" t="s">
        <v>48</v>
      </c>
      <c r="F338" t="s">
        <v>39</v>
      </c>
      <c r="G338">
        <v>0</v>
      </c>
      <c r="H338">
        <f>Table1[[#This Row],[UnitPrice]]*0.7*Table1[[#This Row],[UnitsSold]]</f>
        <v>0</v>
      </c>
      <c r="I338">
        <v>1017.3087234042553</v>
      </c>
      <c r="J338">
        <v>0.28999999999999998</v>
      </c>
      <c r="K338" t="s">
        <v>42</v>
      </c>
      <c r="L338" t="s">
        <v>27</v>
      </c>
      <c r="M338" s="3">
        <f t="shared" si="15"/>
        <v>0</v>
      </c>
      <c r="N338" t="str">
        <f t="shared" si="16"/>
        <v>January</v>
      </c>
      <c r="O338" t="str">
        <f t="shared" si="17"/>
        <v>2024</v>
      </c>
      <c r="P338" s="3">
        <f>Table1[[#This Row],[Revenue]]-Table1[[#This Row],[Cost]]</f>
        <v>0</v>
      </c>
      <c r="Q33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39" spans="1:17" x14ac:dyDescent="0.2">
      <c r="A339" t="s">
        <v>56</v>
      </c>
      <c r="B339" s="1">
        <v>45303</v>
      </c>
      <c r="C339" t="s">
        <v>12</v>
      </c>
      <c r="D339" t="s">
        <v>31</v>
      </c>
      <c r="E339" t="s">
        <v>38</v>
      </c>
      <c r="F339" t="s">
        <v>34</v>
      </c>
      <c r="G339">
        <v>0</v>
      </c>
      <c r="H339">
        <f>Table1[[#This Row],[UnitPrice]]*0.7*Table1[[#This Row],[UnitsSold]]</f>
        <v>0</v>
      </c>
      <c r="I339">
        <v>1564.35</v>
      </c>
      <c r="J339">
        <v>0.21</v>
      </c>
      <c r="K339" t="s">
        <v>283</v>
      </c>
      <c r="L339" t="s">
        <v>249</v>
      </c>
      <c r="M339" s="3">
        <f t="shared" si="15"/>
        <v>0</v>
      </c>
      <c r="N339" t="str">
        <f t="shared" si="16"/>
        <v>January</v>
      </c>
      <c r="O339" t="str">
        <f t="shared" si="17"/>
        <v>2024</v>
      </c>
      <c r="P339" s="3">
        <f>Table1[[#This Row],[Revenue]]-Table1[[#This Row],[Cost]]</f>
        <v>0</v>
      </c>
      <c r="Q33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40" spans="1:17" x14ac:dyDescent="0.2">
      <c r="A340" t="s">
        <v>97</v>
      </c>
      <c r="B340" s="1">
        <v>45125</v>
      </c>
      <c r="C340" t="s">
        <v>29</v>
      </c>
      <c r="D340" t="s">
        <v>31</v>
      </c>
      <c r="E340" t="s">
        <v>38</v>
      </c>
      <c r="F340" t="s">
        <v>34</v>
      </c>
      <c r="G340">
        <v>0</v>
      </c>
      <c r="H340">
        <f>Table1[[#This Row],[UnitPrice]]*0.7*Table1[[#This Row],[UnitsSold]]</f>
        <v>0</v>
      </c>
      <c r="I340">
        <v>936.79681818181825</v>
      </c>
      <c r="J340">
        <v>0</v>
      </c>
      <c r="K340" t="s">
        <v>52</v>
      </c>
      <c r="L340" t="s">
        <v>22</v>
      </c>
      <c r="M340" s="3">
        <f t="shared" si="15"/>
        <v>0</v>
      </c>
      <c r="N340" t="str">
        <f t="shared" si="16"/>
        <v>July</v>
      </c>
      <c r="O340" t="str">
        <f t="shared" si="17"/>
        <v>2023</v>
      </c>
      <c r="P340" s="3">
        <f>Table1[[#This Row],[Revenue]]-Table1[[#This Row],[Cost]]</f>
        <v>0</v>
      </c>
      <c r="Q34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41" spans="1:17" x14ac:dyDescent="0.2">
      <c r="A341" t="s">
        <v>141</v>
      </c>
      <c r="B341" s="1">
        <v>44997</v>
      </c>
      <c r="C341" t="s">
        <v>57</v>
      </c>
      <c r="D341" t="s">
        <v>31</v>
      </c>
      <c r="E341" t="s">
        <v>48</v>
      </c>
      <c r="F341" t="s">
        <v>39</v>
      </c>
      <c r="G341">
        <v>0</v>
      </c>
      <c r="H341">
        <f>Table1[[#This Row],[UnitPrice]]*0.7*Table1[[#This Row],[UnitsSold]]</f>
        <v>0</v>
      </c>
      <c r="I341">
        <v>1017.3087234042553</v>
      </c>
      <c r="J341">
        <v>0</v>
      </c>
      <c r="K341" t="s">
        <v>283</v>
      </c>
      <c r="L341" t="s">
        <v>249</v>
      </c>
      <c r="M341" s="3">
        <f t="shared" si="15"/>
        <v>0</v>
      </c>
      <c r="N341" t="str">
        <f t="shared" si="16"/>
        <v>March</v>
      </c>
      <c r="O341" t="str">
        <f t="shared" si="17"/>
        <v>2023</v>
      </c>
      <c r="P341" s="3">
        <f>Table1[[#This Row],[Revenue]]-Table1[[#This Row],[Cost]]</f>
        <v>0</v>
      </c>
      <c r="Q34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42" spans="1:17" x14ac:dyDescent="0.2">
      <c r="A342" t="s">
        <v>217</v>
      </c>
      <c r="B342" s="1">
        <v>45034</v>
      </c>
      <c r="C342" t="s">
        <v>24</v>
      </c>
      <c r="D342" t="s">
        <v>13</v>
      </c>
      <c r="E342" t="s">
        <v>14</v>
      </c>
      <c r="F342" t="s">
        <v>26</v>
      </c>
      <c r="G342">
        <v>0</v>
      </c>
      <c r="H342">
        <f>Table1[[#This Row],[UnitPrice]]*0.7*Table1[[#This Row],[UnitsSold]]</f>
        <v>0</v>
      </c>
      <c r="I342">
        <v>1002.870425531915</v>
      </c>
      <c r="J342">
        <v>0.1</v>
      </c>
      <c r="K342" t="s">
        <v>52</v>
      </c>
      <c r="L342" t="s">
        <v>17</v>
      </c>
      <c r="M342" s="3">
        <f t="shared" si="15"/>
        <v>0</v>
      </c>
      <c r="N342" t="str">
        <f t="shared" si="16"/>
        <v>April</v>
      </c>
      <c r="O342" t="str">
        <f t="shared" si="17"/>
        <v>2023</v>
      </c>
      <c r="P342" s="3">
        <f>Table1[[#This Row],[Revenue]]-Table1[[#This Row],[Cost]]</f>
        <v>0</v>
      </c>
      <c r="Q34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43" spans="1:17" x14ac:dyDescent="0.2">
      <c r="A343" t="s">
        <v>161</v>
      </c>
      <c r="B343" s="1">
        <v>45225</v>
      </c>
      <c r="C343" t="s">
        <v>57</v>
      </c>
      <c r="D343" t="s">
        <v>13</v>
      </c>
      <c r="E343" t="s">
        <v>48</v>
      </c>
      <c r="F343" t="s">
        <v>39</v>
      </c>
      <c r="G343">
        <v>0</v>
      </c>
      <c r="H343">
        <f>Table1[[#This Row],[UnitPrice]]*0.7*Table1[[#This Row],[UnitsSold]]</f>
        <v>0</v>
      </c>
      <c r="I343">
        <v>1017.3087234042553</v>
      </c>
      <c r="J343">
        <v>0</v>
      </c>
      <c r="K343" t="s">
        <v>16</v>
      </c>
      <c r="L343" t="s">
        <v>27</v>
      </c>
      <c r="M343" s="3">
        <f t="shared" si="15"/>
        <v>0</v>
      </c>
      <c r="N343" t="str">
        <f t="shared" si="16"/>
        <v>October</v>
      </c>
      <c r="O343" t="str">
        <f t="shared" si="17"/>
        <v>2023</v>
      </c>
      <c r="P343" s="3">
        <f>Table1[[#This Row],[Revenue]]-Table1[[#This Row],[Cost]]</f>
        <v>0</v>
      </c>
      <c r="Q34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44" spans="1:17" x14ac:dyDescent="0.2">
      <c r="A344" t="s">
        <v>104</v>
      </c>
      <c r="B344" s="1">
        <v>44955</v>
      </c>
      <c r="C344" t="s">
        <v>37</v>
      </c>
      <c r="D344" t="s">
        <v>59</v>
      </c>
      <c r="E344" t="s">
        <v>25</v>
      </c>
      <c r="F344" t="s">
        <v>26</v>
      </c>
      <c r="G344">
        <v>0</v>
      </c>
      <c r="H344">
        <f>Table1[[#This Row],[UnitPrice]]*0.7*Table1[[#This Row],[UnitsSold]]</f>
        <v>0</v>
      </c>
      <c r="I344">
        <v>508.62</v>
      </c>
      <c r="J344">
        <v>0</v>
      </c>
      <c r="K344" t="s">
        <v>16</v>
      </c>
      <c r="L344" t="s">
        <v>17</v>
      </c>
      <c r="M344" s="3">
        <f t="shared" si="15"/>
        <v>0</v>
      </c>
      <c r="N344" t="str">
        <f t="shared" si="16"/>
        <v>January</v>
      </c>
      <c r="O344" t="str">
        <f t="shared" si="17"/>
        <v>2023</v>
      </c>
      <c r="P344" s="3">
        <f>Table1[[#This Row],[Revenue]]-Table1[[#This Row],[Cost]]</f>
        <v>0</v>
      </c>
      <c r="Q34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45" spans="1:17" x14ac:dyDescent="0.2">
      <c r="A345" t="s">
        <v>168</v>
      </c>
      <c r="B345" s="1">
        <v>45110</v>
      </c>
      <c r="C345" t="s">
        <v>57</v>
      </c>
      <c r="D345" t="s">
        <v>19</v>
      </c>
      <c r="E345" t="s">
        <v>44</v>
      </c>
      <c r="F345" t="s">
        <v>26</v>
      </c>
      <c r="G345">
        <v>0</v>
      </c>
      <c r="H345">
        <f>Table1[[#This Row],[UnitPrice]]*0.7*Table1[[#This Row],[UnitsSold]]</f>
        <v>0</v>
      </c>
      <c r="I345">
        <v>1079.5765957446808</v>
      </c>
      <c r="J345">
        <v>0</v>
      </c>
      <c r="K345" t="s">
        <v>52</v>
      </c>
      <c r="L345" t="s">
        <v>27</v>
      </c>
      <c r="M345" s="3">
        <f t="shared" si="15"/>
        <v>0</v>
      </c>
      <c r="N345" t="str">
        <f t="shared" si="16"/>
        <v>July</v>
      </c>
      <c r="O345" t="str">
        <f t="shared" si="17"/>
        <v>2023</v>
      </c>
      <c r="P345" s="3">
        <f>Table1[[#This Row],[Revenue]]-Table1[[#This Row],[Cost]]</f>
        <v>0</v>
      </c>
      <c r="Q34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46" spans="1:17" x14ac:dyDescent="0.2">
      <c r="A346" t="s">
        <v>28</v>
      </c>
      <c r="B346" s="1">
        <v>45125</v>
      </c>
      <c r="C346" t="s">
        <v>57</v>
      </c>
      <c r="D346" t="s">
        <v>267</v>
      </c>
      <c r="E346" t="s">
        <v>48</v>
      </c>
      <c r="F346" t="s">
        <v>39</v>
      </c>
      <c r="G346">
        <v>18</v>
      </c>
      <c r="H346">
        <f>Table1[[#This Row],[UnitPrice]]*0.7*Table1[[#This Row],[UnitsSold]]</f>
        <v>12818.089914893615</v>
      </c>
      <c r="I346">
        <v>1017.3087234042553</v>
      </c>
      <c r="J346">
        <v>0</v>
      </c>
      <c r="K346" t="s">
        <v>16</v>
      </c>
      <c r="L346" t="s">
        <v>55</v>
      </c>
      <c r="M346" s="3">
        <f t="shared" si="15"/>
        <v>18311.557021276596</v>
      </c>
      <c r="N346" t="str">
        <f t="shared" si="16"/>
        <v>July</v>
      </c>
      <c r="O346" t="str">
        <f t="shared" si="17"/>
        <v>2023</v>
      </c>
      <c r="P346" s="3">
        <f>Table1[[#This Row],[Revenue]]-Table1[[#This Row],[Cost]]</f>
        <v>5493.467106382981</v>
      </c>
      <c r="Q346"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47" spans="1:17" x14ac:dyDescent="0.2">
      <c r="A347" t="s">
        <v>162</v>
      </c>
      <c r="B347" s="1">
        <v>45228</v>
      </c>
      <c r="C347" t="s">
        <v>37</v>
      </c>
      <c r="D347" t="s">
        <v>267</v>
      </c>
      <c r="E347" t="s">
        <v>48</v>
      </c>
      <c r="F347" t="s">
        <v>39</v>
      </c>
      <c r="G347">
        <v>0</v>
      </c>
      <c r="H347">
        <f>Table1[[#This Row],[UnitPrice]]*0.7*Table1[[#This Row],[UnitsSold]]</f>
        <v>0</v>
      </c>
      <c r="I347">
        <v>1017.3087234042553</v>
      </c>
      <c r="J347">
        <v>0.02</v>
      </c>
      <c r="K347" t="s">
        <v>283</v>
      </c>
      <c r="L347" t="s">
        <v>17</v>
      </c>
      <c r="M347" s="3">
        <f t="shared" si="15"/>
        <v>0</v>
      </c>
      <c r="N347" t="str">
        <f t="shared" si="16"/>
        <v>October</v>
      </c>
      <c r="O347" t="str">
        <f t="shared" si="17"/>
        <v>2023</v>
      </c>
      <c r="P347" s="3">
        <f>Table1[[#This Row],[Revenue]]-Table1[[#This Row],[Cost]]</f>
        <v>0</v>
      </c>
      <c r="Q34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48" spans="1:17" x14ac:dyDescent="0.2">
      <c r="A348" t="s">
        <v>131</v>
      </c>
      <c r="B348" s="1">
        <v>45120</v>
      </c>
      <c r="C348" t="s">
        <v>12</v>
      </c>
      <c r="D348" t="s">
        <v>83</v>
      </c>
      <c r="E348" t="s">
        <v>14</v>
      </c>
      <c r="F348" t="s">
        <v>26</v>
      </c>
      <c r="G348">
        <v>9</v>
      </c>
      <c r="H348">
        <f>Table1[[#This Row],[UnitPrice]]*0.7*Table1[[#This Row],[UnitsSold]]</f>
        <v>6318.0836808510639</v>
      </c>
      <c r="I348">
        <v>1002.870425531915</v>
      </c>
      <c r="J348">
        <v>0</v>
      </c>
      <c r="K348" t="s">
        <v>283</v>
      </c>
      <c r="L348" t="s">
        <v>249</v>
      </c>
      <c r="M348" s="3">
        <f t="shared" si="15"/>
        <v>9025.8338297872342</v>
      </c>
      <c r="N348" t="str">
        <f t="shared" si="16"/>
        <v>July</v>
      </c>
      <c r="O348" t="str">
        <f t="shared" si="17"/>
        <v>2023</v>
      </c>
      <c r="P348" s="3">
        <f>Table1[[#This Row],[Revenue]]-Table1[[#This Row],[Cost]]</f>
        <v>2707.7501489361703</v>
      </c>
      <c r="Q348"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349" spans="1:17" x14ac:dyDescent="0.2">
      <c r="A349" t="s">
        <v>200</v>
      </c>
      <c r="B349" s="1">
        <v>45005</v>
      </c>
      <c r="C349" t="s">
        <v>29</v>
      </c>
      <c r="D349" t="s">
        <v>31</v>
      </c>
      <c r="E349" t="s">
        <v>46</v>
      </c>
      <c r="F349" t="s">
        <v>26</v>
      </c>
      <c r="G349">
        <v>0</v>
      </c>
      <c r="H349">
        <f>Table1[[#This Row],[UnitPrice]]*0.7*Table1[[#This Row],[UnitsSold]]</f>
        <v>0</v>
      </c>
      <c r="I349">
        <v>1106.0261904761899</v>
      </c>
      <c r="J349">
        <v>0</v>
      </c>
      <c r="K349" t="s">
        <v>52</v>
      </c>
      <c r="L349" t="s">
        <v>17</v>
      </c>
      <c r="M349" s="3">
        <f t="shared" si="15"/>
        <v>0</v>
      </c>
      <c r="N349" t="str">
        <f t="shared" si="16"/>
        <v>March</v>
      </c>
      <c r="O349" t="str">
        <f t="shared" si="17"/>
        <v>2023</v>
      </c>
      <c r="P349" s="3">
        <f>Table1[[#This Row],[Revenue]]-Table1[[#This Row],[Cost]]</f>
        <v>0</v>
      </c>
      <c r="Q34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50" spans="1:17" x14ac:dyDescent="0.2">
      <c r="A350" t="s">
        <v>23</v>
      </c>
      <c r="B350" s="1">
        <v>45021</v>
      </c>
      <c r="C350" t="s">
        <v>12</v>
      </c>
      <c r="D350" t="s">
        <v>267</v>
      </c>
      <c r="E350" t="s">
        <v>44</v>
      </c>
      <c r="F350" t="s">
        <v>26</v>
      </c>
      <c r="G350">
        <v>0</v>
      </c>
      <c r="H350">
        <f>Table1[[#This Row],[UnitPrice]]*0.7*Table1[[#This Row],[UnitsSold]]</f>
        <v>0</v>
      </c>
      <c r="I350">
        <v>1078.7</v>
      </c>
      <c r="J350">
        <v>0.1</v>
      </c>
      <c r="K350" t="s">
        <v>283</v>
      </c>
      <c r="L350" t="s">
        <v>55</v>
      </c>
      <c r="M350" s="3">
        <f t="shared" si="15"/>
        <v>0</v>
      </c>
      <c r="N350" t="str">
        <f t="shared" si="16"/>
        <v>April</v>
      </c>
      <c r="O350" t="str">
        <f t="shared" si="17"/>
        <v>2023</v>
      </c>
      <c r="P350" s="3">
        <f>Table1[[#This Row],[Revenue]]-Table1[[#This Row],[Cost]]</f>
        <v>0</v>
      </c>
      <c r="Q35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51" spans="1:17" x14ac:dyDescent="0.2">
      <c r="A351" t="s">
        <v>74</v>
      </c>
      <c r="B351" s="1">
        <v>45111</v>
      </c>
      <c r="C351" t="s">
        <v>24</v>
      </c>
      <c r="D351" t="s">
        <v>19</v>
      </c>
      <c r="E351" t="s">
        <v>25</v>
      </c>
      <c r="F351" t="s">
        <v>26</v>
      </c>
      <c r="G351">
        <v>0</v>
      </c>
      <c r="H351">
        <f>Table1[[#This Row],[UnitPrice]]*0.7*Table1[[#This Row],[UnitsSold]]</f>
        <v>0</v>
      </c>
      <c r="I351">
        <v>961.05661016949136</v>
      </c>
      <c r="J351">
        <v>0</v>
      </c>
      <c r="K351" t="s">
        <v>52</v>
      </c>
      <c r="L351" t="s">
        <v>22</v>
      </c>
      <c r="M351" s="3">
        <f t="shared" si="15"/>
        <v>0</v>
      </c>
      <c r="N351" t="str">
        <f t="shared" si="16"/>
        <v>July</v>
      </c>
      <c r="O351" t="str">
        <f t="shared" si="17"/>
        <v>2023</v>
      </c>
      <c r="P351" s="3">
        <f>Table1[[#This Row],[Revenue]]-Table1[[#This Row],[Cost]]</f>
        <v>0</v>
      </c>
      <c r="Q35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52" spans="1:17" x14ac:dyDescent="0.2">
      <c r="A352" t="s">
        <v>172</v>
      </c>
      <c r="B352" s="1">
        <v>45255</v>
      </c>
      <c r="C352" t="s">
        <v>37</v>
      </c>
      <c r="D352" t="s">
        <v>19</v>
      </c>
      <c r="E352" t="s">
        <v>48</v>
      </c>
      <c r="F352" t="s">
        <v>39</v>
      </c>
      <c r="G352">
        <v>13</v>
      </c>
      <c r="H352">
        <f>Table1[[#This Row],[UnitPrice]]*0.7*Table1[[#This Row],[UnitsSold]]</f>
        <v>9257.509382978722</v>
      </c>
      <c r="I352">
        <v>1017.3087234042553</v>
      </c>
      <c r="J352">
        <v>0.22</v>
      </c>
      <c r="K352" t="s">
        <v>248</v>
      </c>
      <c r="L352" t="s">
        <v>55</v>
      </c>
      <c r="M352" s="3">
        <f t="shared" si="15"/>
        <v>10315.510455319149</v>
      </c>
      <c r="N352" t="str">
        <f t="shared" si="16"/>
        <v>November</v>
      </c>
      <c r="O352" t="str">
        <f t="shared" si="17"/>
        <v>2023</v>
      </c>
      <c r="P352" s="3">
        <f>Table1[[#This Row],[Revenue]]-Table1[[#This Row],[Cost]]</f>
        <v>1058.0010723404266</v>
      </c>
      <c r="Q352" s="6">
        <f>IF(Table1[[#This Row],[UnitsSold]]*Table1[[#This Row],[UnitPrice]]*(1-Table1[[#This Row],[Discount]])=0, 0, ((Table1[[#This Row],[UnitsSold]]*Table1[[#This Row],[UnitPrice]]*(1-Table1[[#This Row],[Discount]])) - (Table1[[#This Row],[UnitsSold]]*Table1[[#This Row],[UnitPrice]]*0.7)) / (Table1[[#This Row],[UnitsSold]]*Table1[[#This Row],[UnitPrice]]*(1-Table1[[#This Row],[Discount]])))</f>
        <v>0.10256410256410267</v>
      </c>
    </row>
    <row r="353" spans="1:17" x14ac:dyDescent="0.2">
      <c r="A353" t="s">
        <v>145</v>
      </c>
      <c r="B353" s="1">
        <v>45187</v>
      </c>
      <c r="C353" t="s">
        <v>57</v>
      </c>
      <c r="D353" t="s">
        <v>83</v>
      </c>
      <c r="E353" t="s">
        <v>46</v>
      </c>
      <c r="F353" t="s">
        <v>26</v>
      </c>
      <c r="G353">
        <v>0</v>
      </c>
      <c r="H353">
        <f>Table1[[#This Row],[UnitPrice]]*0.7*Table1[[#This Row],[UnitsSold]]</f>
        <v>0</v>
      </c>
      <c r="I353">
        <v>1032.6500000000001</v>
      </c>
      <c r="J353">
        <v>0</v>
      </c>
      <c r="K353" t="s">
        <v>248</v>
      </c>
      <c r="L353" t="s">
        <v>27</v>
      </c>
      <c r="M353" s="3">
        <f t="shared" si="15"/>
        <v>0</v>
      </c>
      <c r="N353" t="str">
        <f t="shared" si="16"/>
        <v>September</v>
      </c>
      <c r="O353" t="str">
        <f t="shared" si="17"/>
        <v>2023</v>
      </c>
      <c r="P353" s="3">
        <f>Table1[[#This Row],[Revenue]]-Table1[[#This Row],[Cost]]</f>
        <v>0</v>
      </c>
      <c r="Q35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54" spans="1:17" x14ac:dyDescent="0.2">
      <c r="A354" t="s">
        <v>116</v>
      </c>
      <c r="B354" s="1">
        <v>44960</v>
      </c>
      <c r="C354" t="s">
        <v>37</v>
      </c>
      <c r="D354" t="s">
        <v>13</v>
      </c>
      <c r="E354" t="s">
        <v>48</v>
      </c>
      <c r="F354" t="s">
        <v>39</v>
      </c>
      <c r="G354">
        <v>14</v>
      </c>
      <c r="H354">
        <f>Table1[[#This Row],[UnitPrice]]*0.7*Table1[[#This Row],[UnitsSold]]</f>
        <v>9969.6254893617006</v>
      </c>
      <c r="I354">
        <v>1017.3087234042553</v>
      </c>
      <c r="J354">
        <v>0</v>
      </c>
      <c r="K354" t="s">
        <v>42</v>
      </c>
      <c r="L354" t="s">
        <v>27</v>
      </c>
      <c r="M354" s="3">
        <f t="shared" si="15"/>
        <v>14242.322127659574</v>
      </c>
      <c r="N354" t="str">
        <f t="shared" si="16"/>
        <v>February</v>
      </c>
      <c r="O354" t="str">
        <f t="shared" si="17"/>
        <v>2023</v>
      </c>
      <c r="P354" s="3">
        <f>Table1[[#This Row],[Revenue]]-Table1[[#This Row],[Cost]]</f>
        <v>4272.6966382978735</v>
      </c>
      <c r="Q354"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355" spans="1:17" x14ac:dyDescent="0.2">
      <c r="A355" t="s">
        <v>89</v>
      </c>
      <c r="B355" s="1">
        <v>45278</v>
      </c>
      <c r="C355" t="s">
        <v>246</v>
      </c>
      <c r="D355" t="s">
        <v>19</v>
      </c>
      <c r="E355" t="s">
        <v>38</v>
      </c>
      <c r="F355" t="s">
        <v>34</v>
      </c>
      <c r="G355">
        <v>2</v>
      </c>
      <c r="H355">
        <f>Table1[[#This Row],[UnitPrice]]*0.7*Table1[[#This Row],[UnitsSold]]</f>
        <v>218.06399999999996</v>
      </c>
      <c r="I355">
        <v>155.76</v>
      </c>
      <c r="J355">
        <v>0</v>
      </c>
      <c r="K355" t="s">
        <v>16</v>
      </c>
      <c r="L355" t="s">
        <v>17</v>
      </c>
      <c r="M355" s="3">
        <f t="shared" si="15"/>
        <v>311.52</v>
      </c>
      <c r="N355" t="str">
        <f t="shared" si="16"/>
        <v>December</v>
      </c>
      <c r="O355" t="str">
        <f t="shared" si="17"/>
        <v>2023</v>
      </c>
      <c r="P355" s="3">
        <f>Table1[[#This Row],[Revenue]]-Table1[[#This Row],[Cost]]</f>
        <v>93.456000000000017</v>
      </c>
      <c r="Q35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356" spans="1:17" x14ac:dyDescent="0.2">
      <c r="A356" t="s">
        <v>96</v>
      </c>
      <c r="B356" s="1">
        <v>45059</v>
      </c>
      <c r="C356" t="s">
        <v>57</v>
      </c>
      <c r="D356" t="s">
        <v>83</v>
      </c>
      <c r="E356" t="s">
        <v>38</v>
      </c>
      <c r="F356" t="s">
        <v>34</v>
      </c>
      <c r="G356">
        <v>0</v>
      </c>
      <c r="H356">
        <f>Table1[[#This Row],[UnitPrice]]*0.7*Table1[[#This Row],[UnitsSold]]</f>
        <v>0</v>
      </c>
      <c r="I356">
        <v>936.79681818181825</v>
      </c>
      <c r="J356">
        <v>0.04</v>
      </c>
      <c r="K356" t="s">
        <v>283</v>
      </c>
      <c r="L356" t="s">
        <v>17</v>
      </c>
      <c r="M356" s="3">
        <f t="shared" si="15"/>
        <v>0</v>
      </c>
      <c r="N356" t="str">
        <f t="shared" si="16"/>
        <v>May</v>
      </c>
      <c r="O356" t="str">
        <f t="shared" si="17"/>
        <v>2023</v>
      </c>
      <c r="P356" s="3">
        <f>Table1[[#This Row],[Revenue]]-Table1[[#This Row],[Cost]]</f>
        <v>0</v>
      </c>
      <c r="Q35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57" spans="1:17" x14ac:dyDescent="0.2">
      <c r="A357" t="s">
        <v>207</v>
      </c>
      <c r="B357" s="1">
        <v>45314</v>
      </c>
      <c r="C357" t="s">
        <v>12</v>
      </c>
      <c r="D357" t="s">
        <v>13</v>
      </c>
      <c r="E357" t="s">
        <v>25</v>
      </c>
      <c r="F357" t="s">
        <v>26</v>
      </c>
      <c r="G357">
        <v>0</v>
      </c>
      <c r="H357">
        <f>Table1[[#This Row],[UnitPrice]]*0.7*Table1[[#This Row],[UnitsSold]]</f>
        <v>0</v>
      </c>
      <c r="I357">
        <v>961.05661016949136</v>
      </c>
      <c r="J357">
        <v>0.09</v>
      </c>
      <c r="K357" t="s">
        <v>52</v>
      </c>
      <c r="L357" t="s">
        <v>22</v>
      </c>
      <c r="M357" s="3">
        <f t="shared" si="15"/>
        <v>0</v>
      </c>
      <c r="N357" t="str">
        <f t="shared" si="16"/>
        <v>January</v>
      </c>
      <c r="O357" t="str">
        <f t="shared" si="17"/>
        <v>2024</v>
      </c>
      <c r="P357" s="3">
        <f>Table1[[#This Row],[Revenue]]-Table1[[#This Row],[Cost]]</f>
        <v>0</v>
      </c>
      <c r="Q35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58" spans="1:17" x14ac:dyDescent="0.2">
      <c r="A358" t="s">
        <v>28</v>
      </c>
      <c r="B358" s="1">
        <v>45129</v>
      </c>
      <c r="C358" t="s">
        <v>12</v>
      </c>
      <c r="D358" t="s">
        <v>83</v>
      </c>
      <c r="E358" t="s">
        <v>247</v>
      </c>
      <c r="F358" t="s">
        <v>26</v>
      </c>
      <c r="G358">
        <v>8</v>
      </c>
      <c r="H358">
        <f>Table1[[#This Row],[UnitPrice]]*0.7*Table1[[#This Row],[UnitsSold]]</f>
        <v>5495.6171428571424</v>
      </c>
      <c r="I358">
        <v>981.36020408163256</v>
      </c>
      <c r="J358">
        <v>0</v>
      </c>
      <c r="K358" t="s">
        <v>16</v>
      </c>
      <c r="L358" t="s">
        <v>55</v>
      </c>
      <c r="M358" s="3">
        <f t="shared" si="15"/>
        <v>7850.8816326530605</v>
      </c>
      <c r="N358" t="str">
        <f t="shared" si="16"/>
        <v>July</v>
      </c>
      <c r="O358" t="str">
        <f t="shared" si="17"/>
        <v>2023</v>
      </c>
      <c r="P358" s="3">
        <f>Table1[[#This Row],[Revenue]]-Table1[[#This Row],[Cost]]</f>
        <v>2355.2644897959181</v>
      </c>
      <c r="Q358"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359" spans="1:17" x14ac:dyDescent="0.2">
      <c r="A359" t="s">
        <v>218</v>
      </c>
      <c r="B359" s="1">
        <v>45300</v>
      </c>
      <c r="C359" t="s">
        <v>29</v>
      </c>
      <c r="D359" t="s">
        <v>19</v>
      </c>
      <c r="E359" t="s">
        <v>44</v>
      </c>
      <c r="F359" t="s">
        <v>26</v>
      </c>
      <c r="G359">
        <v>5</v>
      </c>
      <c r="H359">
        <f>Table1[[#This Row],[UnitPrice]]*0.7*Table1[[#This Row],[UnitsSold]]</f>
        <v>3778.5180851063824</v>
      </c>
      <c r="I359">
        <v>1079.5765957446808</v>
      </c>
      <c r="J359">
        <v>0</v>
      </c>
      <c r="K359" t="s">
        <v>248</v>
      </c>
      <c r="L359" t="s">
        <v>27</v>
      </c>
      <c r="M359" s="3">
        <f t="shared" si="15"/>
        <v>5397.8829787234044</v>
      </c>
      <c r="N359" t="str">
        <f t="shared" si="16"/>
        <v>January</v>
      </c>
      <c r="O359" t="str">
        <f t="shared" si="17"/>
        <v>2024</v>
      </c>
      <c r="P359" s="3">
        <f>Table1[[#This Row],[Revenue]]-Table1[[#This Row],[Cost]]</f>
        <v>1619.3648936170221</v>
      </c>
      <c r="Q35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60" spans="1:17" x14ac:dyDescent="0.2">
      <c r="A360" t="s">
        <v>71</v>
      </c>
      <c r="B360" s="1">
        <v>45034</v>
      </c>
      <c r="C360" t="s">
        <v>29</v>
      </c>
      <c r="D360" t="s">
        <v>19</v>
      </c>
      <c r="E360" t="s">
        <v>38</v>
      </c>
      <c r="F360" t="s">
        <v>34</v>
      </c>
      <c r="G360">
        <v>5</v>
      </c>
      <c r="H360">
        <f>Table1[[#This Row],[UnitPrice]]*0.7*Table1[[#This Row],[UnitsSold]]</f>
        <v>3278.7888636363637</v>
      </c>
      <c r="I360">
        <v>936.79681818181825</v>
      </c>
      <c r="J360">
        <v>0.25</v>
      </c>
      <c r="K360" t="s">
        <v>16</v>
      </c>
      <c r="L360" t="s">
        <v>249</v>
      </c>
      <c r="M360" s="3">
        <f t="shared" si="15"/>
        <v>3512.9880681818181</v>
      </c>
      <c r="N360" t="str">
        <f t="shared" si="16"/>
        <v>April</v>
      </c>
      <c r="O360" t="str">
        <f t="shared" si="17"/>
        <v>2023</v>
      </c>
      <c r="P360" s="3">
        <f>Table1[[#This Row],[Revenue]]-Table1[[#This Row],[Cost]]</f>
        <v>234.19920454545445</v>
      </c>
      <c r="Q360" s="6">
        <f>IF(Table1[[#This Row],[UnitsSold]]*Table1[[#This Row],[UnitPrice]]*(1-Table1[[#This Row],[Discount]])=0, 0, ((Table1[[#This Row],[UnitsSold]]*Table1[[#This Row],[UnitPrice]]*(1-Table1[[#This Row],[Discount]])) - (Table1[[#This Row],[UnitsSold]]*Table1[[#This Row],[UnitPrice]]*0.7)) / (Table1[[#This Row],[UnitsSold]]*Table1[[#This Row],[UnitPrice]]*(1-Table1[[#This Row],[Discount]])))</f>
        <v>6.6666666666666777E-2</v>
      </c>
    </row>
    <row r="361" spans="1:17" x14ac:dyDescent="0.2">
      <c r="A361" t="s">
        <v>104</v>
      </c>
      <c r="B361" s="1">
        <v>45217</v>
      </c>
      <c r="C361" t="s">
        <v>12</v>
      </c>
      <c r="D361" t="s">
        <v>267</v>
      </c>
      <c r="E361" t="s">
        <v>25</v>
      </c>
      <c r="F361" t="s">
        <v>26</v>
      </c>
      <c r="G361">
        <v>0</v>
      </c>
      <c r="H361">
        <f>Table1[[#This Row],[UnitPrice]]*0.7*Table1[[#This Row],[UnitsSold]]</f>
        <v>0</v>
      </c>
      <c r="I361">
        <v>961.05661016949136</v>
      </c>
      <c r="J361">
        <v>0</v>
      </c>
      <c r="K361" t="s">
        <v>16</v>
      </c>
      <c r="L361" t="s">
        <v>249</v>
      </c>
      <c r="M361" s="3">
        <f t="shared" si="15"/>
        <v>0</v>
      </c>
      <c r="N361" t="str">
        <f t="shared" si="16"/>
        <v>October</v>
      </c>
      <c r="O361" t="str">
        <f t="shared" si="17"/>
        <v>2023</v>
      </c>
      <c r="P361" s="3">
        <f>Table1[[#This Row],[Revenue]]-Table1[[#This Row],[Cost]]</f>
        <v>0</v>
      </c>
      <c r="Q36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62" spans="1:17" x14ac:dyDescent="0.2">
      <c r="A362" t="s">
        <v>165</v>
      </c>
      <c r="B362" s="1">
        <v>45224</v>
      </c>
      <c r="C362" t="s">
        <v>57</v>
      </c>
      <c r="D362" t="s">
        <v>59</v>
      </c>
      <c r="E362" t="s">
        <v>14</v>
      </c>
      <c r="F362" t="s">
        <v>26</v>
      </c>
      <c r="G362">
        <v>8</v>
      </c>
      <c r="H362">
        <f>Table1[[#This Row],[UnitPrice]]*0.7*Table1[[#This Row],[UnitsSold]]</f>
        <v>3233.5519999999997</v>
      </c>
      <c r="I362">
        <v>577.41999999999996</v>
      </c>
      <c r="J362">
        <v>0</v>
      </c>
      <c r="K362" t="s">
        <v>42</v>
      </c>
      <c r="L362" t="s">
        <v>22</v>
      </c>
      <c r="M362" s="3">
        <f t="shared" si="15"/>
        <v>4619.3599999999997</v>
      </c>
      <c r="N362" t="str">
        <f t="shared" si="16"/>
        <v>October</v>
      </c>
      <c r="O362" t="str">
        <f t="shared" si="17"/>
        <v>2023</v>
      </c>
      <c r="P362" s="3">
        <f>Table1[[#This Row],[Revenue]]-Table1[[#This Row],[Cost]]</f>
        <v>1385.808</v>
      </c>
      <c r="Q36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63" spans="1:17" x14ac:dyDescent="0.2">
      <c r="A363" t="s">
        <v>74</v>
      </c>
      <c r="B363" s="1">
        <v>45242</v>
      </c>
      <c r="C363" t="s">
        <v>24</v>
      </c>
      <c r="D363" t="s">
        <v>13</v>
      </c>
      <c r="E363" t="s">
        <v>44</v>
      </c>
      <c r="F363" t="s">
        <v>26</v>
      </c>
      <c r="G363">
        <v>0</v>
      </c>
      <c r="H363">
        <f>Table1[[#This Row],[UnitPrice]]*0.7*Table1[[#This Row],[UnitsSold]]</f>
        <v>0</v>
      </c>
      <c r="I363">
        <v>1079.5765957446808</v>
      </c>
      <c r="J363">
        <v>0.28999999999999998</v>
      </c>
      <c r="K363" t="s">
        <v>16</v>
      </c>
      <c r="L363" t="s">
        <v>55</v>
      </c>
      <c r="M363" s="3">
        <f t="shared" si="15"/>
        <v>0</v>
      </c>
      <c r="N363" t="str">
        <f t="shared" si="16"/>
        <v>November</v>
      </c>
      <c r="O363" t="str">
        <f t="shared" si="17"/>
        <v>2023</v>
      </c>
      <c r="P363" s="3">
        <f>Table1[[#This Row],[Revenue]]-Table1[[#This Row],[Cost]]</f>
        <v>0</v>
      </c>
      <c r="Q36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64" spans="1:17" x14ac:dyDescent="0.2">
      <c r="A364" t="s">
        <v>58</v>
      </c>
      <c r="B364" s="1">
        <v>45040</v>
      </c>
      <c r="C364" t="s">
        <v>57</v>
      </c>
      <c r="D364" t="s">
        <v>59</v>
      </c>
      <c r="E364" t="s">
        <v>25</v>
      </c>
      <c r="F364" t="s">
        <v>26</v>
      </c>
      <c r="G364">
        <v>0</v>
      </c>
      <c r="H364">
        <f>Table1[[#This Row],[UnitPrice]]*0.7*Table1[[#This Row],[UnitsSold]]</f>
        <v>0</v>
      </c>
      <c r="I364">
        <v>961.05661016949136</v>
      </c>
      <c r="J364">
        <v>0</v>
      </c>
      <c r="K364" t="s">
        <v>52</v>
      </c>
      <c r="L364" t="s">
        <v>22</v>
      </c>
      <c r="M364" s="3">
        <f t="shared" si="15"/>
        <v>0</v>
      </c>
      <c r="N364" t="str">
        <f t="shared" si="16"/>
        <v>April</v>
      </c>
      <c r="O364" t="str">
        <f t="shared" si="17"/>
        <v>2023</v>
      </c>
      <c r="P364" s="3">
        <f>Table1[[#This Row],[Revenue]]-Table1[[#This Row],[Cost]]</f>
        <v>0</v>
      </c>
      <c r="Q36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65" spans="1:17" x14ac:dyDescent="0.2">
      <c r="A365" t="s">
        <v>219</v>
      </c>
      <c r="B365" s="1">
        <v>44982</v>
      </c>
      <c r="C365" t="s">
        <v>246</v>
      </c>
      <c r="D365" t="s">
        <v>13</v>
      </c>
      <c r="E365" t="s">
        <v>44</v>
      </c>
      <c r="F365" t="s">
        <v>26</v>
      </c>
      <c r="G365">
        <v>9</v>
      </c>
      <c r="H365">
        <f>Table1[[#This Row],[UnitPrice]]*0.7*Table1[[#This Row],[UnitsSold]]</f>
        <v>11237.184000000001</v>
      </c>
      <c r="I365">
        <v>1783.68</v>
      </c>
      <c r="J365">
        <v>0</v>
      </c>
      <c r="K365" t="s">
        <v>16</v>
      </c>
      <c r="L365" t="s">
        <v>27</v>
      </c>
      <c r="M365" s="3">
        <f t="shared" si="15"/>
        <v>16053.12</v>
      </c>
      <c r="N365" t="str">
        <f t="shared" si="16"/>
        <v>February</v>
      </c>
      <c r="O365" t="str">
        <f t="shared" si="17"/>
        <v>2023</v>
      </c>
      <c r="P365" s="3">
        <f>Table1[[#This Row],[Revenue]]-Table1[[#This Row],[Cost]]</f>
        <v>4815.9359999999997</v>
      </c>
      <c r="Q36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366" spans="1:17" x14ac:dyDescent="0.2">
      <c r="A366" t="s">
        <v>156</v>
      </c>
      <c r="B366" s="1">
        <v>45186</v>
      </c>
      <c r="C366" t="s">
        <v>12</v>
      </c>
      <c r="D366" t="s">
        <v>267</v>
      </c>
      <c r="E366" t="s">
        <v>44</v>
      </c>
      <c r="F366" t="s">
        <v>26</v>
      </c>
      <c r="G366">
        <v>0</v>
      </c>
      <c r="H366">
        <f>Table1[[#This Row],[UnitPrice]]*0.7*Table1[[#This Row],[UnitsSold]]</f>
        <v>0</v>
      </c>
      <c r="I366">
        <v>433.39</v>
      </c>
      <c r="J366">
        <v>0</v>
      </c>
      <c r="K366" t="s">
        <v>248</v>
      </c>
      <c r="L366" t="s">
        <v>22</v>
      </c>
      <c r="M366" s="3">
        <f t="shared" si="15"/>
        <v>0</v>
      </c>
      <c r="N366" t="str">
        <f t="shared" si="16"/>
        <v>September</v>
      </c>
      <c r="O366" t="str">
        <f t="shared" si="17"/>
        <v>2023</v>
      </c>
      <c r="P366" s="3">
        <f>Table1[[#This Row],[Revenue]]-Table1[[#This Row],[Cost]]</f>
        <v>0</v>
      </c>
      <c r="Q36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67" spans="1:17" x14ac:dyDescent="0.2">
      <c r="A367" t="s">
        <v>188</v>
      </c>
      <c r="B367" s="1">
        <v>45323</v>
      </c>
      <c r="C367" t="s">
        <v>246</v>
      </c>
      <c r="D367" t="s">
        <v>59</v>
      </c>
      <c r="E367" t="s">
        <v>38</v>
      </c>
      <c r="F367" t="s">
        <v>34</v>
      </c>
      <c r="G367">
        <v>0</v>
      </c>
      <c r="H367">
        <f>Table1[[#This Row],[UnitPrice]]*0.7*Table1[[#This Row],[UnitsSold]]</f>
        <v>0</v>
      </c>
      <c r="I367">
        <v>1715.76</v>
      </c>
      <c r="J367">
        <v>0</v>
      </c>
      <c r="K367" t="s">
        <v>16</v>
      </c>
      <c r="L367" t="s">
        <v>22</v>
      </c>
      <c r="M367" s="3">
        <f t="shared" si="15"/>
        <v>0</v>
      </c>
      <c r="N367" t="str">
        <f t="shared" si="16"/>
        <v>February</v>
      </c>
      <c r="O367" t="str">
        <f t="shared" si="17"/>
        <v>2024</v>
      </c>
      <c r="P367" s="3">
        <f>Table1[[#This Row],[Revenue]]-Table1[[#This Row],[Cost]]</f>
        <v>0</v>
      </c>
      <c r="Q36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68" spans="1:17" x14ac:dyDescent="0.2">
      <c r="A368" t="s">
        <v>77</v>
      </c>
      <c r="B368" s="1">
        <v>45184</v>
      </c>
      <c r="C368" t="s">
        <v>12</v>
      </c>
      <c r="D368" t="s">
        <v>13</v>
      </c>
      <c r="E368" t="s">
        <v>247</v>
      </c>
      <c r="F368" t="s">
        <v>26</v>
      </c>
      <c r="G368">
        <v>0</v>
      </c>
      <c r="H368">
        <f>Table1[[#This Row],[UnitPrice]]*0.7*Table1[[#This Row],[UnitsSold]]</f>
        <v>0</v>
      </c>
      <c r="I368">
        <v>289.33999999999997</v>
      </c>
      <c r="J368">
        <v>0</v>
      </c>
      <c r="K368" t="s">
        <v>283</v>
      </c>
      <c r="L368" t="s">
        <v>249</v>
      </c>
      <c r="M368" s="3">
        <f t="shared" si="15"/>
        <v>0</v>
      </c>
      <c r="N368" t="str">
        <f t="shared" si="16"/>
        <v>September</v>
      </c>
      <c r="O368" t="str">
        <f t="shared" si="17"/>
        <v>2023</v>
      </c>
      <c r="P368" s="3">
        <f>Table1[[#This Row],[Revenue]]-Table1[[#This Row],[Cost]]</f>
        <v>0</v>
      </c>
      <c r="Q36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69" spans="1:17" x14ac:dyDescent="0.2">
      <c r="A369" t="s">
        <v>102</v>
      </c>
      <c r="B369" s="1">
        <v>45301</v>
      </c>
      <c r="C369" t="s">
        <v>57</v>
      </c>
      <c r="D369" t="s">
        <v>59</v>
      </c>
      <c r="E369" t="s">
        <v>46</v>
      </c>
      <c r="F369" t="s">
        <v>26</v>
      </c>
      <c r="G369">
        <v>16</v>
      </c>
      <c r="H369">
        <f>Table1[[#This Row],[UnitPrice]]*0.7*Table1[[#This Row],[UnitsSold]]</f>
        <v>12387.493333333327</v>
      </c>
      <c r="I369">
        <v>1106.0261904761899</v>
      </c>
      <c r="J369">
        <v>0</v>
      </c>
      <c r="K369" t="s">
        <v>16</v>
      </c>
      <c r="L369" t="s">
        <v>17</v>
      </c>
      <c r="M369" s="3">
        <f t="shared" si="15"/>
        <v>17696.419047619038</v>
      </c>
      <c r="N369" t="str">
        <f t="shared" si="16"/>
        <v>January</v>
      </c>
      <c r="O369" t="str">
        <f t="shared" si="17"/>
        <v>2024</v>
      </c>
      <c r="P369" s="3">
        <f>Table1[[#This Row],[Revenue]]-Table1[[#This Row],[Cost]]</f>
        <v>5308.9257142857114</v>
      </c>
      <c r="Q369"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370" spans="1:17" x14ac:dyDescent="0.2">
      <c r="A370" t="s">
        <v>148</v>
      </c>
      <c r="B370" s="1">
        <v>45125</v>
      </c>
      <c r="C370" t="s">
        <v>57</v>
      </c>
      <c r="D370" t="s">
        <v>83</v>
      </c>
      <c r="E370" t="s">
        <v>46</v>
      </c>
      <c r="F370" t="s">
        <v>26</v>
      </c>
      <c r="G370">
        <v>11</v>
      </c>
      <c r="H370">
        <f>Table1[[#This Row],[UnitPrice]]*0.7*Table1[[#This Row],[UnitsSold]]</f>
        <v>8516.4016666666612</v>
      </c>
      <c r="I370">
        <v>1106.0261904761899</v>
      </c>
      <c r="J370">
        <v>0</v>
      </c>
      <c r="K370" t="s">
        <v>283</v>
      </c>
      <c r="L370" t="s">
        <v>55</v>
      </c>
      <c r="M370" s="3">
        <f t="shared" si="15"/>
        <v>12166.288095238089</v>
      </c>
      <c r="N370" t="str">
        <f t="shared" si="16"/>
        <v>July</v>
      </c>
      <c r="O370" t="str">
        <f t="shared" si="17"/>
        <v>2023</v>
      </c>
      <c r="P370" s="3">
        <f>Table1[[#This Row],[Revenue]]-Table1[[#This Row],[Cost]]</f>
        <v>3649.886428571428</v>
      </c>
      <c r="Q37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371" spans="1:17" x14ac:dyDescent="0.2">
      <c r="A371" t="s">
        <v>220</v>
      </c>
      <c r="B371" s="1">
        <v>45205</v>
      </c>
      <c r="C371" t="s">
        <v>246</v>
      </c>
      <c r="D371" t="s">
        <v>83</v>
      </c>
      <c r="E371" t="s">
        <v>48</v>
      </c>
      <c r="F371" t="s">
        <v>39</v>
      </c>
      <c r="G371">
        <v>0</v>
      </c>
      <c r="H371">
        <f>Table1[[#This Row],[UnitPrice]]*0.7*Table1[[#This Row],[UnitsSold]]</f>
        <v>0</v>
      </c>
      <c r="I371">
        <v>1310.1400000000001</v>
      </c>
      <c r="J371">
        <v>0</v>
      </c>
      <c r="K371" t="s">
        <v>16</v>
      </c>
      <c r="L371" t="s">
        <v>17</v>
      </c>
      <c r="M371" s="3">
        <f t="shared" si="15"/>
        <v>0</v>
      </c>
      <c r="N371" t="str">
        <f t="shared" si="16"/>
        <v>October</v>
      </c>
      <c r="O371" t="str">
        <f t="shared" si="17"/>
        <v>2023</v>
      </c>
      <c r="P371" s="3">
        <f>Table1[[#This Row],[Revenue]]-Table1[[#This Row],[Cost]]</f>
        <v>0</v>
      </c>
      <c r="Q37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72" spans="1:17" x14ac:dyDescent="0.2">
      <c r="A372" t="s">
        <v>221</v>
      </c>
      <c r="B372" s="1">
        <v>45107</v>
      </c>
      <c r="C372" t="s">
        <v>29</v>
      </c>
      <c r="D372" t="s">
        <v>83</v>
      </c>
      <c r="E372" t="s">
        <v>25</v>
      </c>
      <c r="F372" t="s">
        <v>26</v>
      </c>
      <c r="G372">
        <v>20</v>
      </c>
      <c r="H372">
        <f>Table1[[#This Row],[UnitPrice]]*0.7*Table1[[#This Row],[UnitsSold]]</f>
        <v>14121.239999999998</v>
      </c>
      <c r="I372">
        <v>1008.66</v>
      </c>
      <c r="J372">
        <v>0.13</v>
      </c>
      <c r="K372" t="s">
        <v>16</v>
      </c>
      <c r="L372" t="s">
        <v>17</v>
      </c>
      <c r="M372" s="3">
        <f t="shared" si="15"/>
        <v>17550.684000000001</v>
      </c>
      <c r="N372" t="str">
        <f t="shared" si="16"/>
        <v>June</v>
      </c>
      <c r="O372" t="str">
        <f t="shared" si="17"/>
        <v>2023</v>
      </c>
      <c r="P372" s="3">
        <f>Table1[[#This Row],[Revenue]]-Table1[[#This Row],[Cost]]</f>
        <v>3429.4440000000031</v>
      </c>
      <c r="Q372" s="6">
        <f>IF(Table1[[#This Row],[UnitsSold]]*Table1[[#This Row],[UnitPrice]]*(1-Table1[[#This Row],[Discount]])=0, 0, ((Table1[[#This Row],[UnitsSold]]*Table1[[#This Row],[UnitPrice]]*(1-Table1[[#This Row],[Discount]])) - (Table1[[#This Row],[UnitsSold]]*Table1[[#This Row],[UnitPrice]]*0.7)) / (Table1[[#This Row],[UnitsSold]]*Table1[[#This Row],[UnitPrice]]*(1-Table1[[#This Row],[Discount]])))</f>
        <v>0.19540229885057478</v>
      </c>
    </row>
    <row r="373" spans="1:17" x14ac:dyDescent="0.2">
      <c r="A373" t="s">
        <v>222</v>
      </c>
      <c r="B373" s="1">
        <v>45070</v>
      </c>
      <c r="C373" t="s">
        <v>37</v>
      </c>
      <c r="D373" t="s">
        <v>19</v>
      </c>
      <c r="E373" t="s">
        <v>247</v>
      </c>
      <c r="F373" t="s">
        <v>26</v>
      </c>
      <c r="G373">
        <v>0</v>
      </c>
      <c r="H373">
        <f>Table1[[#This Row],[UnitPrice]]*0.7*Table1[[#This Row],[UnitsSold]]</f>
        <v>0</v>
      </c>
      <c r="I373">
        <v>1437.43</v>
      </c>
      <c r="J373">
        <v>0</v>
      </c>
      <c r="K373" t="s">
        <v>52</v>
      </c>
      <c r="L373" t="s">
        <v>27</v>
      </c>
      <c r="M373" s="3">
        <f t="shared" si="15"/>
        <v>0</v>
      </c>
      <c r="N373" t="str">
        <f t="shared" si="16"/>
        <v>May</v>
      </c>
      <c r="O373" t="str">
        <f t="shared" si="17"/>
        <v>2023</v>
      </c>
      <c r="P373" s="3">
        <f>Table1[[#This Row],[Revenue]]-Table1[[#This Row],[Cost]]</f>
        <v>0</v>
      </c>
      <c r="Q37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74" spans="1:17" x14ac:dyDescent="0.2">
      <c r="A374" t="s">
        <v>215</v>
      </c>
      <c r="B374" s="1">
        <v>45272</v>
      </c>
      <c r="C374" t="s">
        <v>57</v>
      </c>
      <c r="D374" t="s">
        <v>83</v>
      </c>
      <c r="E374" t="s">
        <v>247</v>
      </c>
      <c r="F374" t="s">
        <v>26</v>
      </c>
      <c r="G374">
        <v>0</v>
      </c>
      <c r="H374">
        <f>Table1[[#This Row],[UnitPrice]]*0.7*Table1[[#This Row],[UnitsSold]]</f>
        <v>0</v>
      </c>
      <c r="I374">
        <v>1668.4</v>
      </c>
      <c r="J374">
        <v>7.0000000000000007E-2</v>
      </c>
      <c r="K374" t="s">
        <v>248</v>
      </c>
      <c r="L374" t="s">
        <v>17</v>
      </c>
      <c r="M374" s="3">
        <f t="shared" si="15"/>
        <v>0</v>
      </c>
      <c r="N374" t="str">
        <f t="shared" si="16"/>
        <v>December</v>
      </c>
      <c r="O374" t="str">
        <f t="shared" si="17"/>
        <v>2023</v>
      </c>
      <c r="P374" s="3">
        <f>Table1[[#This Row],[Revenue]]-Table1[[#This Row],[Cost]]</f>
        <v>0</v>
      </c>
      <c r="Q37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75" spans="1:17" x14ac:dyDescent="0.2">
      <c r="A375" t="s">
        <v>72</v>
      </c>
      <c r="B375" s="1">
        <v>44995</v>
      </c>
      <c r="C375" t="s">
        <v>12</v>
      </c>
      <c r="D375" t="s">
        <v>31</v>
      </c>
      <c r="E375" t="s">
        <v>247</v>
      </c>
      <c r="F375" t="s">
        <v>26</v>
      </c>
      <c r="G375">
        <v>0</v>
      </c>
      <c r="H375">
        <f>Table1[[#This Row],[UnitPrice]]*0.7*Table1[[#This Row],[UnitsSold]]</f>
        <v>0</v>
      </c>
      <c r="I375">
        <v>981.36020408163256</v>
      </c>
      <c r="J375">
        <v>0</v>
      </c>
      <c r="K375" t="s">
        <v>248</v>
      </c>
      <c r="L375" t="s">
        <v>27</v>
      </c>
      <c r="M375" s="3">
        <f t="shared" si="15"/>
        <v>0</v>
      </c>
      <c r="N375" t="str">
        <f t="shared" si="16"/>
        <v>March</v>
      </c>
      <c r="O375" t="str">
        <f t="shared" si="17"/>
        <v>2023</v>
      </c>
      <c r="P375" s="3">
        <f>Table1[[#This Row],[Revenue]]-Table1[[#This Row],[Cost]]</f>
        <v>0</v>
      </c>
      <c r="Q37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76" spans="1:17" x14ac:dyDescent="0.2">
      <c r="A376" t="s">
        <v>135</v>
      </c>
      <c r="B376" s="1">
        <v>45299</v>
      </c>
      <c r="C376" t="s">
        <v>24</v>
      </c>
      <c r="D376" t="s">
        <v>19</v>
      </c>
      <c r="E376" t="s">
        <v>247</v>
      </c>
      <c r="F376" t="s">
        <v>26</v>
      </c>
      <c r="G376">
        <v>0</v>
      </c>
      <c r="H376">
        <f>Table1[[#This Row],[UnitPrice]]*0.7*Table1[[#This Row],[UnitsSold]]</f>
        <v>0</v>
      </c>
      <c r="I376">
        <v>1735.93</v>
      </c>
      <c r="J376">
        <v>0</v>
      </c>
      <c r="K376" t="s">
        <v>248</v>
      </c>
      <c r="L376" t="s">
        <v>249</v>
      </c>
      <c r="M376" s="3">
        <f t="shared" si="15"/>
        <v>0</v>
      </c>
      <c r="N376" t="str">
        <f t="shared" si="16"/>
        <v>January</v>
      </c>
      <c r="O376" t="str">
        <f t="shared" si="17"/>
        <v>2024</v>
      </c>
      <c r="P376" s="3">
        <f>Table1[[#This Row],[Revenue]]-Table1[[#This Row],[Cost]]</f>
        <v>0</v>
      </c>
      <c r="Q37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77" spans="1:17" x14ac:dyDescent="0.2">
      <c r="A377" t="s">
        <v>66</v>
      </c>
      <c r="B377" s="1">
        <v>45319</v>
      </c>
      <c r="C377" t="s">
        <v>246</v>
      </c>
      <c r="D377" t="s">
        <v>31</v>
      </c>
      <c r="E377" t="s">
        <v>48</v>
      </c>
      <c r="F377" t="s">
        <v>39</v>
      </c>
      <c r="G377">
        <v>9</v>
      </c>
      <c r="H377">
        <f>Table1[[#This Row],[UnitPrice]]*0.7*Table1[[#This Row],[UnitsSold]]</f>
        <v>6409.0449574468075</v>
      </c>
      <c r="I377">
        <v>1017.3087234042553</v>
      </c>
      <c r="J377">
        <v>0</v>
      </c>
      <c r="K377" t="s">
        <v>248</v>
      </c>
      <c r="L377" t="s">
        <v>27</v>
      </c>
      <c r="M377" s="3">
        <f t="shared" si="15"/>
        <v>9155.778510638298</v>
      </c>
      <c r="N377" t="str">
        <f t="shared" si="16"/>
        <v>January</v>
      </c>
      <c r="O377" t="str">
        <f t="shared" si="17"/>
        <v>2024</v>
      </c>
      <c r="P377" s="3">
        <f>Table1[[#This Row],[Revenue]]-Table1[[#This Row],[Cost]]</f>
        <v>2746.7335531914905</v>
      </c>
      <c r="Q37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78" spans="1:17" x14ac:dyDescent="0.2">
      <c r="A378" t="s">
        <v>96</v>
      </c>
      <c r="B378" s="1">
        <v>45120</v>
      </c>
      <c r="C378" t="s">
        <v>57</v>
      </c>
      <c r="D378" t="s">
        <v>19</v>
      </c>
      <c r="E378" t="s">
        <v>46</v>
      </c>
      <c r="F378" t="s">
        <v>26</v>
      </c>
      <c r="G378">
        <v>0</v>
      </c>
      <c r="H378">
        <f>Table1[[#This Row],[UnitPrice]]*0.7*Table1[[#This Row],[UnitsSold]]</f>
        <v>0</v>
      </c>
      <c r="I378">
        <v>1106.0261904761899</v>
      </c>
      <c r="J378">
        <v>0.21</v>
      </c>
      <c r="K378" t="s">
        <v>248</v>
      </c>
      <c r="L378" t="s">
        <v>27</v>
      </c>
      <c r="M378" s="3">
        <f t="shared" si="15"/>
        <v>0</v>
      </c>
      <c r="N378" t="str">
        <f t="shared" si="16"/>
        <v>July</v>
      </c>
      <c r="O378" t="str">
        <f t="shared" si="17"/>
        <v>2023</v>
      </c>
      <c r="P378" s="3">
        <f>Table1[[#This Row],[Revenue]]-Table1[[#This Row],[Cost]]</f>
        <v>0</v>
      </c>
      <c r="Q37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79" spans="1:17" x14ac:dyDescent="0.2">
      <c r="A379" t="s">
        <v>75</v>
      </c>
      <c r="B379" s="1">
        <v>45170</v>
      </c>
      <c r="C379" t="s">
        <v>12</v>
      </c>
      <c r="D379" t="s">
        <v>267</v>
      </c>
      <c r="E379" t="s">
        <v>44</v>
      </c>
      <c r="F379" t="s">
        <v>26</v>
      </c>
      <c r="G379">
        <v>4</v>
      </c>
      <c r="H379">
        <f>Table1[[#This Row],[UnitPrice]]*0.7*Table1[[#This Row],[UnitsSold]]</f>
        <v>2715.0479999999998</v>
      </c>
      <c r="I379">
        <v>969.66</v>
      </c>
      <c r="J379">
        <v>0</v>
      </c>
      <c r="K379" t="s">
        <v>16</v>
      </c>
      <c r="L379" t="s">
        <v>22</v>
      </c>
      <c r="M379" s="3">
        <f t="shared" si="15"/>
        <v>3878.64</v>
      </c>
      <c r="N379" t="str">
        <f t="shared" si="16"/>
        <v>September</v>
      </c>
      <c r="O379" t="str">
        <f t="shared" si="17"/>
        <v>2023</v>
      </c>
      <c r="P379" s="3">
        <f>Table1[[#This Row],[Revenue]]-Table1[[#This Row],[Cost]]</f>
        <v>1163.5920000000001</v>
      </c>
      <c r="Q37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80" spans="1:17" x14ac:dyDescent="0.2">
      <c r="A380" t="s">
        <v>223</v>
      </c>
      <c r="B380" s="1">
        <v>45142</v>
      </c>
      <c r="C380" t="s">
        <v>29</v>
      </c>
      <c r="D380" t="s">
        <v>267</v>
      </c>
      <c r="E380" t="s">
        <v>46</v>
      </c>
      <c r="F380" t="s">
        <v>26</v>
      </c>
      <c r="G380">
        <v>14</v>
      </c>
      <c r="H380">
        <f>Table1[[#This Row],[UnitPrice]]*0.7*Table1[[#This Row],[UnitsSold]]</f>
        <v>10839.05666666666</v>
      </c>
      <c r="I380">
        <v>1106.0261904761899</v>
      </c>
      <c r="J380">
        <v>0</v>
      </c>
      <c r="K380" t="s">
        <v>52</v>
      </c>
      <c r="L380" t="s">
        <v>17</v>
      </c>
      <c r="M380" s="3">
        <f t="shared" si="15"/>
        <v>15484.366666666658</v>
      </c>
      <c r="N380" t="str">
        <f t="shared" si="16"/>
        <v>August</v>
      </c>
      <c r="O380" t="str">
        <f t="shared" si="17"/>
        <v>2023</v>
      </c>
      <c r="P380" s="3">
        <f>Table1[[#This Row],[Revenue]]-Table1[[#This Row],[Cost]]</f>
        <v>4645.3099999999977</v>
      </c>
      <c r="Q38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81" spans="1:17" x14ac:dyDescent="0.2">
      <c r="A381" t="s">
        <v>177</v>
      </c>
      <c r="B381" s="1">
        <v>45316</v>
      </c>
      <c r="C381" t="s">
        <v>12</v>
      </c>
      <c r="D381" t="s">
        <v>83</v>
      </c>
      <c r="E381" t="s">
        <v>247</v>
      </c>
      <c r="F381" t="s">
        <v>26</v>
      </c>
      <c r="G381">
        <v>16</v>
      </c>
      <c r="H381">
        <f>Table1[[#This Row],[UnitPrice]]*0.7*Table1[[#This Row],[UnitsSold]]</f>
        <v>20395.983999999997</v>
      </c>
      <c r="I381">
        <v>1821.07</v>
      </c>
      <c r="J381">
        <v>0</v>
      </c>
      <c r="K381" t="s">
        <v>42</v>
      </c>
      <c r="L381" t="s">
        <v>55</v>
      </c>
      <c r="M381" s="3">
        <f t="shared" si="15"/>
        <v>29137.119999999999</v>
      </c>
      <c r="N381" t="str">
        <f t="shared" si="16"/>
        <v>January</v>
      </c>
      <c r="O381" t="str">
        <f t="shared" si="17"/>
        <v>2024</v>
      </c>
      <c r="P381" s="3">
        <f>Table1[[#This Row],[Revenue]]-Table1[[#This Row],[Cost]]</f>
        <v>8741.1360000000022</v>
      </c>
      <c r="Q38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382" spans="1:17" x14ac:dyDescent="0.2">
      <c r="A382" t="s">
        <v>111</v>
      </c>
      <c r="B382" s="1">
        <v>44929</v>
      </c>
      <c r="C382" t="s">
        <v>12</v>
      </c>
      <c r="D382" t="s">
        <v>31</v>
      </c>
      <c r="E382" t="s">
        <v>44</v>
      </c>
      <c r="F382" t="s">
        <v>26</v>
      </c>
      <c r="G382">
        <v>17</v>
      </c>
      <c r="H382">
        <f>Table1[[#This Row],[UnitPrice]]*0.7*Table1[[#This Row],[UnitsSold]]</f>
        <v>9000.0889999999981</v>
      </c>
      <c r="I382">
        <v>756.31</v>
      </c>
      <c r="J382">
        <v>0</v>
      </c>
      <c r="K382" t="s">
        <v>42</v>
      </c>
      <c r="L382" t="s">
        <v>55</v>
      </c>
      <c r="M382" s="3">
        <f t="shared" si="15"/>
        <v>12857.269999999999</v>
      </c>
      <c r="N382" t="str">
        <f t="shared" si="16"/>
        <v>January</v>
      </c>
      <c r="O382" t="str">
        <f t="shared" si="17"/>
        <v>2023</v>
      </c>
      <c r="P382" s="3">
        <f>Table1[[#This Row],[Revenue]]-Table1[[#This Row],[Cost]]</f>
        <v>3857.1810000000005</v>
      </c>
      <c r="Q38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83" spans="1:17" x14ac:dyDescent="0.2">
      <c r="A383" t="s">
        <v>199</v>
      </c>
      <c r="B383" s="1">
        <v>45006</v>
      </c>
      <c r="C383" t="s">
        <v>57</v>
      </c>
      <c r="D383" t="s">
        <v>13</v>
      </c>
      <c r="E383" t="s">
        <v>44</v>
      </c>
      <c r="F383" t="s">
        <v>26</v>
      </c>
      <c r="G383">
        <v>0</v>
      </c>
      <c r="H383">
        <f>Table1[[#This Row],[UnitPrice]]*0.7*Table1[[#This Row],[UnitsSold]]</f>
        <v>0</v>
      </c>
      <c r="I383">
        <v>1079.5765957446808</v>
      </c>
      <c r="J383">
        <v>0</v>
      </c>
      <c r="K383" t="s">
        <v>42</v>
      </c>
      <c r="L383" t="s">
        <v>249</v>
      </c>
      <c r="M383" s="3">
        <f t="shared" si="15"/>
        <v>0</v>
      </c>
      <c r="N383" t="str">
        <f t="shared" si="16"/>
        <v>March</v>
      </c>
      <c r="O383" t="str">
        <f t="shared" si="17"/>
        <v>2023</v>
      </c>
      <c r="P383" s="3">
        <f>Table1[[#This Row],[Revenue]]-Table1[[#This Row],[Cost]]</f>
        <v>0</v>
      </c>
      <c r="Q38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84" spans="1:17" x14ac:dyDescent="0.2">
      <c r="A384" t="s">
        <v>179</v>
      </c>
      <c r="B384" s="1">
        <v>45209</v>
      </c>
      <c r="C384" t="s">
        <v>57</v>
      </c>
      <c r="D384" t="s">
        <v>19</v>
      </c>
      <c r="E384" t="s">
        <v>14</v>
      </c>
      <c r="F384" t="s">
        <v>26</v>
      </c>
      <c r="G384">
        <v>0</v>
      </c>
      <c r="H384">
        <f>Table1[[#This Row],[UnitPrice]]*0.7*Table1[[#This Row],[UnitsSold]]</f>
        <v>0</v>
      </c>
      <c r="I384">
        <v>1002.870425531915</v>
      </c>
      <c r="J384">
        <v>0</v>
      </c>
      <c r="K384" t="s">
        <v>42</v>
      </c>
      <c r="L384" t="s">
        <v>249</v>
      </c>
      <c r="M384" s="3">
        <f t="shared" si="15"/>
        <v>0</v>
      </c>
      <c r="N384" t="str">
        <f t="shared" si="16"/>
        <v>October</v>
      </c>
      <c r="O384" t="str">
        <f t="shared" si="17"/>
        <v>2023</v>
      </c>
      <c r="P384" s="3">
        <f>Table1[[#This Row],[Revenue]]-Table1[[#This Row],[Cost]]</f>
        <v>0</v>
      </c>
      <c r="Q38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85" spans="1:17" x14ac:dyDescent="0.2">
      <c r="A385" t="s">
        <v>224</v>
      </c>
      <c r="B385" s="1">
        <v>44987</v>
      </c>
      <c r="C385" t="s">
        <v>37</v>
      </c>
      <c r="D385" t="s">
        <v>83</v>
      </c>
      <c r="E385" t="s">
        <v>25</v>
      </c>
      <c r="F385" t="s">
        <v>26</v>
      </c>
      <c r="G385">
        <v>4</v>
      </c>
      <c r="H385">
        <f>Table1[[#This Row],[UnitPrice]]*0.7*Table1[[#This Row],[UnitsSold]]</f>
        <v>2690.9585084745759</v>
      </c>
      <c r="I385">
        <v>961.05661016949136</v>
      </c>
      <c r="J385">
        <v>0</v>
      </c>
      <c r="K385" t="s">
        <v>283</v>
      </c>
      <c r="L385" t="s">
        <v>27</v>
      </c>
      <c r="M385" s="3">
        <f t="shared" si="15"/>
        <v>3844.2264406779655</v>
      </c>
      <c r="N385" t="str">
        <f t="shared" si="16"/>
        <v>March</v>
      </c>
      <c r="O385" t="str">
        <f t="shared" si="17"/>
        <v>2023</v>
      </c>
      <c r="P385" s="3">
        <f>Table1[[#This Row],[Revenue]]-Table1[[#This Row],[Cost]]</f>
        <v>1153.2679322033896</v>
      </c>
      <c r="Q385"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386" spans="1:17" x14ac:dyDescent="0.2">
      <c r="A386" t="s">
        <v>72</v>
      </c>
      <c r="B386" s="1">
        <v>45126</v>
      </c>
      <c r="C386" t="s">
        <v>12</v>
      </c>
      <c r="D386" t="s">
        <v>267</v>
      </c>
      <c r="E386" t="s">
        <v>46</v>
      </c>
      <c r="F386" t="s">
        <v>26</v>
      </c>
      <c r="G386">
        <v>0</v>
      </c>
      <c r="H386">
        <f>Table1[[#This Row],[UnitPrice]]*0.7*Table1[[#This Row],[UnitsSold]]</f>
        <v>0</v>
      </c>
      <c r="I386">
        <v>876.4</v>
      </c>
      <c r="J386">
        <v>0</v>
      </c>
      <c r="K386" t="s">
        <v>16</v>
      </c>
      <c r="L386" t="s">
        <v>17</v>
      </c>
      <c r="M386" s="3">
        <f t="shared" ref="M386:M449" si="18">G386*I386*(1-J386)</f>
        <v>0</v>
      </c>
      <c r="N386" t="str">
        <f t="shared" ref="N386:N449" si="19">TEXT(B386, "mmmm")</f>
        <v>July</v>
      </c>
      <c r="O386" t="str">
        <f t="shared" ref="O386:O449" si="20">TEXT(B386, "yyyy")</f>
        <v>2023</v>
      </c>
      <c r="P386" s="3">
        <f>Table1[[#This Row],[Revenue]]-Table1[[#This Row],[Cost]]</f>
        <v>0</v>
      </c>
      <c r="Q38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87" spans="1:17" x14ac:dyDescent="0.2">
      <c r="A387" t="s">
        <v>73</v>
      </c>
      <c r="B387" s="1">
        <v>45297</v>
      </c>
      <c r="C387" t="s">
        <v>57</v>
      </c>
      <c r="D387" t="s">
        <v>83</v>
      </c>
      <c r="E387" t="s">
        <v>44</v>
      </c>
      <c r="F387" t="s">
        <v>26</v>
      </c>
      <c r="G387">
        <v>0</v>
      </c>
      <c r="H387">
        <f>Table1[[#This Row],[UnitPrice]]*0.7*Table1[[#This Row],[UnitsSold]]</f>
        <v>0</v>
      </c>
      <c r="I387">
        <v>1927.42</v>
      </c>
      <c r="J387">
        <v>0.28000000000000003</v>
      </c>
      <c r="K387" t="s">
        <v>283</v>
      </c>
      <c r="L387" t="s">
        <v>22</v>
      </c>
      <c r="M387" s="3">
        <f t="shared" si="18"/>
        <v>0</v>
      </c>
      <c r="N387" t="str">
        <f t="shared" si="19"/>
        <v>January</v>
      </c>
      <c r="O387" t="str">
        <f t="shared" si="20"/>
        <v>2024</v>
      </c>
      <c r="P387" s="3">
        <f>Table1[[#This Row],[Revenue]]-Table1[[#This Row],[Cost]]</f>
        <v>0</v>
      </c>
      <c r="Q38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88" spans="1:17" x14ac:dyDescent="0.2">
      <c r="A388" t="s">
        <v>183</v>
      </c>
      <c r="B388" s="1">
        <v>44932</v>
      </c>
      <c r="C388" t="s">
        <v>37</v>
      </c>
      <c r="D388" t="s">
        <v>267</v>
      </c>
      <c r="E388" t="s">
        <v>48</v>
      </c>
      <c r="F388" t="s">
        <v>39</v>
      </c>
      <c r="G388">
        <v>10</v>
      </c>
      <c r="H388">
        <f>Table1[[#This Row],[UnitPrice]]*0.7*Table1[[#This Row],[UnitsSold]]</f>
        <v>7121.1610638297861</v>
      </c>
      <c r="I388">
        <v>1017.3087234042553</v>
      </c>
      <c r="J388">
        <v>0</v>
      </c>
      <c r="K388" t="s">
        <v>16</v>
      </c>
      <c r="L388" t="s">
        <v>17</v>
      </c>
      <c r="M388" s="3">
        <f t="shared" si="18"/>
        <v>10173.087234042552</v>
      </c>
      <c r="N388" t="str">
        <f t="shared" si="19"/>
        <v>January</v>
      </c>
      <c r="O388" t="str">
        <f t="shared" si="20"/>
        <v>2023</v>
      </c>
      <c r="P388" s="3">
        <f>Table1[[#This Row],[Revenue]]-Table1[[#This Row],[Cost]]</f>
        <v>3051.926170212766</v>
      </c>
      <c r="Q388"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389" spans="1:17" x14ac:dyDescent="0.2">
      <c r="A389" t="s">
        <v>187</v>
      </c>
      <c r="B389" s="1">
        <v>45272</v>
      </c>
      <c r="C389" t="s">
        <v>12</v>
      </c>
      <c r="D389" t="s">
        <v>59</v>
      </c>
      <c r="E389" t="s">
        <v>247</v>
      </c>
      <c r="F389" t="s">
        <v>26</v>
      </c>
      <c r="G389">
        <v>6</v>
      </c>
      <c r="H389">
        <f>Table1[[#This Row],[UnitPrice]]*0.7*Table1[[#This Row],[UnitsSold]]</f>
        <v>4121.7128571428566</v>
      </c>
      <c r="I389">
        <v>981.36020408163256</v>
      </c>
      <c r="J389">
        <v>0</v>
      </c>
      <c r="K389" t="s">
        <v>42</v>
      </c>
      <c r="L389" t="s">
        <v>17</v>
      </c>
      <c r="M389" s="3">
        <f t="shared" si="18"/>
        <v>5888.1612244897951</v>
      </c>
      <c r="N389" t="str">
        <f t="shared" si="19"/>
        <v>December</v>
      </c>
      <c r="O389" t="str">
        <f t="shared" si="20"/>
        <v>2023</v>
      </c>
      <c r="P389" s="3">
        <f>Table1[[#This Row],[Revenue]]-Table1[[#This Row],[Cost]]</f>
        <v>1766.4483673469385</v>
      </c>
      <c r="Q389"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390" spans="1:17" x14ac:dyDescent="0.2">
      <c r="A390" t="s">
        <v>217</v>
      </c>
      <c r="B390" s="1">
        <v>45192</v>
      </c>
      <c r="C390" t="s">
        <v>12</v>
      </c>
      <c r="D390" t="s">
        <v>13</v>
      </c>
      <c r="E390" t="s">
        <v>48</v>
      </c>
      <c r="F390" t="s">
        <v>39</v>
      </c>
      <c r="G390">
        <v>0</v>
      </c>
      <c r="H390">
        <f>Table1[[#This Row],[UnitPrice]]*0.7*Table1[[#This Row],[UnitsSold]]</f>
        <v>0</v>
      </c>
      <c r="I390">
        <v>1017.3087234042553</v>
      </c>
      <c r="J390">
        <v>0</v>
      </c>
      <c r="K390" t="s">
        <v>52</v>
      </c>
      <c r="L390" t="s">
        <v>55</v>
      </c>
      <c r="M390" s="3">
        <f t="shared" si="18"/>
        <v>0</v>
      </c>
      <c r="N390" t="str">
        <f t="shared" si="19"/>
        <v>September</v>
      </c>
      <c r="O390" t="str">
        <f t="shared" si="20"/>
        <v>2023</v>
      </c>
      <c r="P390" s="3">
        <f>Table1[[#This Row],[Revenue]]-Table1[[#This Row],[Cost]]</f>
        <v>0</v>
      </c>
      <c r="Q39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91" spans="1:17" x14ac:dyDescent="0.2">
      <c r="A391" t="s">
        <v>81</v>
      </c>
      <c r="B391" s="1">
        <v>45237</v>
      </c>
      <c r="C391" t="s">
        <v>37</v>
      </c>
      <c r="D391" t="s">
        <v>83</v>
      </c>
      <c r="E391" t="s">
        <v>38</v>
      </c>
      <c r="F391" t="s">
        <v>34</v>
      </c>
      <c r="G391">
        <v>0</v>
      </c>
      <c r="H391">
        <f>Table1[[#This Row],[UnitPrice]]*0.7*Table1[[#This Row],[UnitsSold]]</f>
        <v>0</v>
      </c>
      <c r="I391">
        <v>936.79681818181825</v>
      </c>
      <c r="J391">
        <v>0.03</v>
      </c>
      <c r="K391" t="s">
        <v>248</v>
      </c>
      <c r="L391" t="s">
        <v>55</v>
      </c>
      <c r="M391" s="3">
        <f t="shared" si="18"/>
        <v>0</v>
      </c>
      <c r="N391" t="str">
        <f t="shared" si="19"/>
        <v>November</v>
      </c>
      <c r="O391" t="str">
        <f t="shared" si="20"/>
        <v>2023</v>
      </c>
      <c r="P391" s="3">
        <f>Table1[[#This Row],[Revenue]]-Table1[[#This Row],[Cost]]</f>
        <v>0</v>
      </c>
      <c r="Q39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92" spans="1:17" x14ac:dyDescent="0.2">
      <c r="A392" t="s">
        <v>216</v>
      </c>
      <c r="B392" s="1">
        <v>44986</v>
      </c>
      <c r="C392" t="s">
        <v>24</v>
      </c>
      <c r="D392" t="s">
        <v>31</v>
      </c>
      <c r="E392" t="s">
        <v>25</v>
      </c>
      <c r="F392" t="s">
        <v>26</v>
      </c>
      <c r="G392">
        <v>0</v>
      </c>
      <c r="H392">
        <f>Table1[[#This Row],[UnitPrice]]*0.7*Table1[[#This Row],[UnitsSold]]</f>
        <v>0</v>
      </c>
      <c r="I392">
        <v>961.05661016949136</v>
      </c>
      <c r="J392">
        <v>0.17</v>
      </c>
      <c r="K392" t="s">
        <v>52</v>
      </c>
      <c r="L392" t="s">
        <v>22</v>
      </c>
      <c r="M392" s="3">
        <f t="shared" si="18"/>
        <v>0</v>
      </c>
      <c r="N392" t="str">
        <f t="shared" si="19"/>
        <v>March</v>
      </c>
      <c r="O392" t="str">
        <f t="shared" si="20"/>
        <v>2023</v>
      </c>
      <c r="P392" s="3">
        <f>Table1[[#This Row],[Revenue]]-Table1[[#This Row],[Cost]]</f>
        <v>0</v>
      </c>
      <c r="Q39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93" spans="1:17" x14ac:dyDescent="0.2">
      <c r="A393" t="s">
        <v>115</v>
      </c>
      <c r="B393" s="1">
        <v>45162</v>
      </c>
      <c r="C393" t="s">
        <v>12</v>
      </c>
      <c r="D393" t="s">
        <v>83</v>
      </c>
      <c r="E393" t="s">
        <v>46</v>
      </c>
      <c r="F393" t="s">
        <v>26</v>
      </c>
      <c r="G393">
        <v>0</v>
      </c>
      <c r="H393">
        <f>Table1[[#This Row],[UnitPrice]]*0.7*Table1[[#This Row],[UnitsSold]]</f>
        <v>0</v>
      </c>
      <c r="I393">
        <v>1270.99</v>
      </c>
      <c r="J393">
        <v>0.2</v>
      </c>
      <c r="K393" t="s">
        <v>52</v>
      </c>
      <c r="L393" t="s">
        <v>22</v>
      </c>
      <c r="M393" s="3">
        <f t="shared" si="18"/>
        <v>0</v>
      </c>
      <c r="N393" t="str">
        <f t="shared" si="19"/>
        <v>August</v>
      </c>
      <c r="O393" t="str">
        <f t="shared" si="20"/>
        <v>2023</v>
      </c>
      <c r="P393" s="3">
        <f>Table1[[#This Row],[Revenue]]-Table1[[#This Row],[Cost]]</f>
        <v>0</v>
      </c>
      <c r="Q39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94" spans="1:17" x14ac:dyDescent="0.2">
      <c r="A394" t="s">
        <v>127</v>
      </c>
      <c r="B394" s="1">
        <v>45191</v>
      </c>
      <c r="C394" t="s">
        <v>12</v>
      </c>
      <c r="D394" t="s">
        <v>13</v>
      </c>
      <c r="E394" t="s">
        <v>25</v>
      </c>
      <c r="F394" t="s">
        <v>26</v>
      </c>
      <c r="G394">
        <v>0</v>
      </c>
      <c r="H394">
        <f>Table1[[#This Row],[UnitPrice]]*0.7*Table1[[#This Row],[UnitsSold]]</f>
        <v>0</v>
      </c>
      <c r="I394">
        <v>961.05661016949136</v>
      </c>
      <c r="J394">
        <v>0</v>
      </c>
      <c r="K394" t="s">
        <v>16</v>
      </c>
      <c r="L394" t="s">
        <v>17</v>
      </c>
      <c r="M394" s="3">
        <f t="shared" si="18"/>
        <v>0</v>
      </c>
      <c r="N394" t="str">
        <f t="shared" si="19"/>
        <v>September</v>
      </c>
      <c r="O394" t="str">
        <f t="shared" si="20"/>
        <v>2023</v>
      </c>
      <c r="P394" s="3">
        <f>Table1[[#This Row],[Revenue]]-Table1[[#This Row],[Cost]]</f>
        <v>0</v>
      </c>
      <c r="Q39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95" spans="1:17" x14ac:dyDescent="0.2">
      <c r="A395" t="s">
        <v>75</v>
      </c>
      <c r="B395" s="1">
        <v>45170</v>
      </c>
      <c r="C395" t="s">
        <v>29</v>
      </c>
      <c r="D395" t="s">
        <v>59</v>
      </c>
      <c r="E395" t="s">
        <v>247</v>
      </c>
      <c r="F395" t="s">
        <v>26</v>
      </c>
      <c r="G395">
        <v>9</v>
      </c>
      <c r="H395">
        <f>Table1[[#This Row],[UnitPrice]]*0.7*Table1[[#This Row],[UnitsSold]]</f>
        <v>6182.5692857142849</v>
      </c>
      <c r="I395">
        <v>981.36020408163256</v>
      </c>
      <c r="J395">
        <v>0.28000000000000003</v>
      </c>
      <c r="K395" t="s">
        <v>42</v>
      </c>
      <c r="L395" t="s">
        <v>249</v>
      </c>
      <c r="M395" s="3">
        <f t="shared" si="18"/>
        <v>6359.2141224489787</v>
      </c>
      <c r="N395" t="str">
        <f t="shared" si="19"/>
        <v>September</v>
      </c>
      <c r="O395" t="str">
        <f t="shared" si="20"/>
        <v>2023</v>
      </c>
      <c r="P395" s="3">
        <f>Table1[[#This Row],[Revenue]]-Table1[[#This Row],[Cost]]</f>
        <v>176.64483673469385</v>
      </c>
      <c r="Q395" s="6">
        <f>IF(Table1[[#This Row],[UnitsSold]]*Table1[[#This Row],[UnitPrice]]*(1-Table1[[#This Row],[Discount]])=0, 0, ((Table1[[#This Row],[UnitsSold]]*Table1[[#This Row],[UnitPrice]]*(1-Table1[[#This Row],[Discount]])) - (Table1[[#This Row],[UnitsSold]]*Table1[[#This Row],[UnitPrice]]*0.7)) / (Table1[[#This Row],[UnitsSold]]*Table1[[#This Row],[UnitPrice]]*(1-Table1[[#This Row],[Discount]])))</f>
        <v>2.7777777777777776E-2</v>
      </c>
    </row>
    <row r="396" spans="1:17" x14ac:dyDescent="0.2">
      <c r="A396" t="s">
        <v>198</v>
      </c>
      <c r="B396" s="1">
        <v>45303</v>
      </c>
      <c r="C396" t="s">
        <v>37</v>
      </c>
      <c r="D396" t="s">
        <v>267</v>
      </c>
      <c r="E396" t="s">
        <v>14</v>
      </c>
      <c r="F396" t="s">
        <v>26</v>
      </c>
      <c r="G396">
        <v>8</v>
      </c>
      <c r="H396">
        <f>Table1[[#This Row],[UnitPrice]]*0.7*Table1[[#This Row],[UnitsSold]]</f>
        <v>5616.0743829787234</v>
      </c>
      <c r="I396">
        <v>1002.870425531915</v>
      </c>
      <c r="J396">
        <v>0.11</v>
      </c>
      <c r="K396" t="s">
        <v>16</v>
      </c>
      <c r="L396" t="s">
        <v>27</v>
      </c>
      <c r="M396" s="3">
        <f t="shared" si="18"/>
        <v>7140.4374297872346</v>
      </c>
      <c r="N396" t="str">
        <f t="shared" si="19"/>
        <v>January</v>
      </c>
      <c r="O396" t="str">
        <f t="shared" si="20"/>
        <v>2024</v>
      </c>
      <c r="P396" s="3">
        <f>Table1[[#This Row],[Revenue]]-Table1[[#This Row],[Cost]]</f>
        <v>1524.3630468085112</v>
      </c>
      <c r="Q396" s="6">
        <f>IF(Table1[[#This Row],[UnitsSold]]*Table1[[#This Row],[UnitPrice]]*(1-Table1[[#This Row],[Discount]])=0, 0, ((Table1[[#This Row],[UnitsSold]]*Table1[[#This Row],[UnitPrice]]*(1-Table1[[#This Row],[Discount]])) - (Table1[[#This Row],[UnitsSold]]*Table1[[#This Row],[UnitPrice]]*0.7)) / (Table1[[#This Row],[UnitsSold]]*Table1[[#This Row],[UnitPrice]]*(1-Table1[[#This Row],[Discount]])))</f>
        <v>0.21348314606741578</v>
      </c>
    </row>
    <row r="397" spans="1:17" x14ac:dyDescent="0.2">
      <c r="A397" t="s">
        <v>218</v>
      </c>
      <c r="B397" s="1">
        <v>45266</v>
      </c>
      <c r="C397" t="s">
        <v>57</v>
      </c>
      <c r="D397" t="s">
        <v>31</v>
      </c>
      <c r="E397" t="s">
        <v>46</v>
      </c>
      <c r="F397" t="s">
        <v>26</v>
      </c>
      <c r="G397">
        <v>0</v>
      </c>
      <c r="H397">
        <f>Table1[[#This Row],[UnitPrice]]*0.7*Table1[[#This Row],[UnitsSold]]</f>
        <v>0</v>
      </c>
      <c r="I397">
        <v>1106.0261904761899</v>
      </c>
      <c r="J397">
        <v>0</v>
      </c>
      <c r="K397" t="s">
        <v>52</v>
      </c>
      <c r="L397" t="s">
        <v>22</v>
      </c>
      <c r="M397" s="3">
        <f t="shared" si="18"/>
        <v>0</v>
      </c>
      <c r="N397" t="str">
        <f t="shared" si="19"/>
        <v>December</v>
      </c>
      <c r="O397" t="str">
        <f t="shared" si="20"/>
        <v>2023</v>
      </c>
      <c r="P397" s="3">
        <f>Table1[[#This Row],[Revenue]]-Table1[[#This Row],[Cost]]</f>
        <v>0</v>
      </c>
      <c r="Q39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398" spans="1:17" x14ac:dyDescent="0.2">
      <c r="A398" t="s">
        <v>143</v>
      </c>
      <c r="B398" s="1">
        <v>45318</v>
      </c>
      <c r="C398" t="s">
        <v>24</v>
      </c>
      <c r="D398" t="s">
        <v>83</v>
      </c>
      <c r="E398" t="s">
        <v>247</v>
      </c>
      <c r="F398" t="s">
        <v>26</v>
      </c>
      <c r="G398">
        <v>5</v>
      </c>
      <c r="H398">
        <f>Table1[[#This Row],[UnitPrice]]*0.7*Table1[[#This Row],[UnitsSold]]</f>
        <v>3434.7607142857141</v>
      </c>
      <c r="I398">
        <v>981.36020408163256</v>
      </c>
      <c r="J398">
        <v>0</v>
      </c>
      <c r="K398" t="s">
        <v>16</v>
      </c>
      <c r="L398" t="s">
        <v>17</v>
      </c>
      <c r="M398" s="3">
        <f t="shared" si="18"/>
        <v>4906.8010204081629</v>
      </c>
      <c r="N398" t="str">
        <f t="shared" si="19"/>
        <v>January</v>
      </c>
      <c r="O398" t="str">
        <f t="shared" si="20"/>
        <v>2024</v>
      </c>
      <c r="P398" s="3">
        <f>Table1[[#This Row],[Revenue]]-Table1[[#This Row],[Cost]]</f>
        <v>1472.0403061224488</v>
      </c>
      <c r="Q398"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399" spans="1:17" x14ac:dyDescent="0.2">
      <c r="A399" t="s">
        <v>159</v>
      </c>
      <c r="B399" s="1">
        <v>45128</v>
      </c>
      <c r="C399" t="s">
        <v>246</v>
      </c>
      <c r="D399" t="s">
        <v>83</v>
      </c>
      <c r="E399" t="s">
        <v>46</v>
      </c>
      <c r="F399" t="s">
        <v>26</v>
      </c>
      <c r="G399">
        <v>0</v>
      </c>
      <c r="H399">
        <f>Table1[[#This Row],[UnitPrice]]*0.7*Table1[[#This Row],[UnitsSold]]</f>
        <v>0</v>
      </c>
      <c r="I399">
        <v>1381.53</v>
      </c>
      <c r="J399">
        <v>0</v>
      </c>
      <c r="K399" t="s">
        <v>248</v>
      </c>
      <c r="L399" t="s">
        <v>27</v>
      </c>
      <c r="M399" s="3">
        <f t="shared" si="18"/>
        <v>0</v>
      </c>
      <c r="N399" t="str">
        <f t="shared" si="19"/>
        <v>July</v>
      </c>
      <c r="O399" t="str">
        <f t="shared" si="20"/>
        <v>2023</v>
      </c>
      <c r="P399" s="3">
        <f>Table1[[#This Row],[Revenue]]-Table1[[#This Row],[Cost]]</f>
        <v>0</v>
      </c>
      <c r="Q39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00" spans="1:17" x14ac:dyDescent="0.2">
      <c r="A400" t="s">
        <v>78</v>
      </c>
      <c r="B400" s="1">
        <v>45112</v>
      </c>
      <c r="C400" t="s">
        <v>24</v>
      </c>
      <c r="D400" t="s">
        <v>19</v>
      </c>
      <c r="E400" t="s">
        <v>44</v>
      </c>
      <c r="F400" t="s">
        <v>26</v>
      </c>
      <c r="G400">
        <v>0</v>
      </c>
      <c r="H400">
        <f>Table1[[#This Row],[UnitPrice]]*0.7*Table1[[#This Row],[UnitsSold]]</f>
        <v>0</v>
      </c>
      <c r="I400">
        <v>1079.5765957446808</v>
      </c>
      <c r="J400">
        <v>0.1</v>
      </c>
      <c r="K400" t="s">
        <v>42</v>
      </c>
      <c r="L400" t="s">
        <v>22</v>
      </c>
      <c r="M400" s="3">
        <f t="shared" si="18"/>
        <v>0</v>
      </c>
      <c r="N400" t="str">
        <f t="shared" si="19"/>
        <v>July</v>
      </c>
      <c r="O400" t="str">
        <f t="shared" si="20"/>
        <v>2023</v>
      </c>
      <c r="P400" s="3">
        <f>Table1[[#This Row],[Revenue]]-Table1[[#This Row],[Cost]]</f>
        <v>0</v>
      </c>
      <c r="Q40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01" spans="1:17" x14ac:dyDescent="0.2">
      <c r="A401" t="s">
        <v>225</v>
      </c>
      <c r="B401" s="1">
        <v>45141</v>
      </c>
      <c r="C401" t="s">
        <v>29</v>
      </c>
      <c r="D401" t="s">
        <v>59</v>
      </c>
      <c r="E401" t="s">
        <v>25</v>
      </c>
      <c r="F401" t="s">
        <v>26</v>
      </c>
      <c r="G401">
        <v>0</v>
      </c>
      <c r="H401">
        <f>Table1[[#This Row],[UnitPrice]]*0.7*Table1[[#This Row],[UnitsSold]]</f>
        <v>0</v>
      </c>
      <c r="I401">
        <v>367.98</v>
      </c>
      <c r="J401">
        <v>0</v>
      </c>
      <c r="K401" t="s">
        <v>16</v>
      </c>
      <c r="L401" t="s">
        <v>27</v>
      </c>
      <c r="M401" s="3">
        <f t="shared" si="18"/>
        <v>0</v>
      </c>
      <c r="N401" t="str">
        <f t="shared" si="19"/>
        <v>August</v>
      </c>
      <c r="O401" t="str">
        <f t="shared" si="20"/>
        <v>2023</v>
      </c>
      <c r="P401" s="3">
        <f>Table1[[#This Row],[Revenue]]-Table1[[#This Row],[Cost]]</f>
        <v>0</v>
      </c>
      <c r="Q40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02" spans="1:17" x14ac:dyDescent="0.2">
      <c r="A402" t="s">
        <v>135</v>
      </c>
      <c r="B402" s="1">
        <v>45065</v>
      </c>
      <c r="C402" t="s">
        <v>37</v>
      </c>
      <c r="D402" t="s">
        <v>31</v>
      </c>
      <c r="E402" t="s">
        <v>38</v>
      </c>
      <c r="F402" t="s">
        <v>34</v>
      </c>
      <c r="G402">
        <v>7</v>
      </c>
      <c r="H402">
        <f>Table1[[#This Row],[UnitPrice]]*0.7*Table1[[#This Row],[UnitsSold]]</f>
        <v>4590.3044090909088</v>
      </c>
      <c r="I402">
        <v>936.79681818181825</v>
      </c>
      <c r="J402">
        <v>0.04</v>
      </c>
      <c r="K402" t="s">
        <v>16</v>
      </c>
      <c r="L402" t="s">
        <v>22</v>
      </c>
      <c r="M402" s="3">
        <f t="shared" si="18"/>
        <v>6295.2746181818193</v>
      </c>
      <c r="N402" t="str">
        <f t="shared" si="19"/>
        <v>May</v>
      </c>
      <c r="O402" t="str">
        <f t="shared" si="20"/>
        <v>2023</v>
      </c>
      <c r="P402" s="3">
        <f>Table1[[#This Row],[Revenue]]-Table1[[#This Row],[Cost]]</f>
        <v>1704.9702090909104</v>
      </c>
      <c r="Q402" s="6">
        <f>IF(Table1[[#This Row],[UnitsSold]]*Table1[[#This Row],[UnitPrice]]*(1-Table1[[#This Row],[Discount]])=0, 0, ((Table1[[#This Row],[UnitsSold]]*Table1[[#This Row],[UnitPrice]]*(1-Table1[[#This Row],[Discount]])) - (Table1[[#This Row],[UnitsSold]]*Table1[[#This Row],[UnitPrice]]*0.7)) / (Table1[[#This Row],[UnitsSold]]*Table1[[#This Row],[UnitPrice]]*(1-Table1[[#This Row],[Discount]])))</f>
        <v>0.27083333333333337</v>
      </c>
    </row>
    <row r="403" spans="1:17" x14ac:dyDescent="0.2">
      <c r="A403" t="s">
        <v>108</v>
      </c>
      <c r="B403" s="1">
        <v>44995</v>
      </c>
      <c r="C403" t="s">
        <v>29</v>
      </c>
      <c r="D403" t="s">
        <v>267</v>
      </c>
      <c r="E403" t="s">
        <v>38</v>
      </c>
      <c r="F403" t="s">
        <v>34</v>
      </c>
      <c r="G403">
        <v>0</v>
      </c>
      <c r="H403">
        <f>Table1[[#This Row],[UnitPrice]]*0.7*Table1[[#This Row],[UnitsSold]]</f>
        <v>0</v>
      </c>
      <c r="I403">
        <v>1718.42</v>
      </c>
      <c r="J403">
        <v>0</v>
      </c>
      <c r="K403" t="s">
        <v>16</v>
      </c>
      <c r="L403" t="s">
        <v>27</v>
      </c>
      <c r="M403" s="3">
        <f t="shared" si="18"/>
        <v>0</v>
      </c>
      <c r="N403" t="str">
        <f t="shared" si="19"/>
        <v>March</v>
      </c>
      <c r="O403" t="str">
        <f t="shared" si="20"/>
        <v>2023</v>
      </c>
      <c r="P403" s="3">
        <f>Table1[[#This Row],[Revenue]]-Table1[[#This Row],[Cost]]</f>
        <v>0</v>
      </c>
      <c r="Q40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04" spans="1:17" x14ac:dyDescent="0.2">
      <c r="A404" t="s">
        <v>121</v>
      </c>
      <c r="B404" s="1">
        <v>45057</v>
      </c>
      <c r="C404" t="s">
        <v>57</v>
      </c>
      <c r="D404" t="s">
        <v>267</v>
      </c>
      <c r="E404" t="s">
        <v>48</v>
      </c>
      <c r="F404" t="s">
        <v>39</v>
      </c>
      <c r="G404">
        <v>0</v>
      </c>
      <c r="H404">
        <f>Table1[[#This Row],[UnitPrice]]*0.7*Table1[[#This Row],[UnitsSold]]</f>
        <v>0</v>
      </c>
      <c r="I404">
        <v>1017.3087234042553</v>
      </c>
      <c r="J404">
        <v>0</v>
      </c>
      <c r="K404" t="s">
        <v>52</v>
      </c>
      <c r="L404" t="s">
        <v>55</v>
      </c>
      <c r="M404" s="3">
        <f t="shared" si="18"/>
        <v>0</v>
      </c>
      <c r="N404" t="str">
        <f t="shared" si="19"/>
        <v>May</v>
      </c>
      <c r="O404" t="str">
        <f t="shared" si="20"/>
        <v>2023</v>
      </c>
      <c r="P404" s="3">
        <f>Table1[[#This Row],[Revenue]]-Table1[[#This Row],[Cost]]</f>
        <v>0</v>
      </c>
      <c r="Q40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05" spans="1:17" x14ac:dyDescent="0.2">
      <c r="A405" t="s">
        <v>202</v>
      </c>
      <c r="B405" s="1">
        <v>45137</v>
      </c>
      <c r="C405" t="s">
        <v>12</v>
      </c>
      <c r="D405" t="s">
        <v>59</v>
      </c>
      <c r="E405" t="s">
        <v>25</v>
      </c>
      <c r="F405" t="s">
        <v>26</v>
      </c>
      <c r="G405">
        <v>0</v>
      </c>
      <c r="H405">
        <f>Table1[[#This Row],[UnitPrice]]*0.7*Table1[[#This Row],[UnitsSold]]</f>
        <v>0</v>
      </c>
      <c r="I405">
        <v>961.05661016949136</v>
      </c>
      <c r="J405">
        <v>0</v>
      </c>
      <c r="K405" t="s">
        <v>52</v>
      </c>
      <c r="L405" t="s">
        <v>55</v>
      </c>
      <c r="M405" s="3">
        <f t="shared" si="18"/>
        <v>0</v>
      </c>
      <c r="N405" t="str">
        <f t="shared" si="19"/>
        <v>July</v>
      </c>
      <c r="O405" t="str">
        <f t="shared" si="20"/>
        <v>2023</v>
      </c>
      <c r="P405" s="3">
        <f>Table1[[#This Row],[Revenue]]-Table1[[#This Row],[Cost]]</f>
        <v>0</v>
      </c>
      <c r="Q40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06" spans="1:17" x14ac:dyDescent="0.2">
      <c r="A406" t="s">
        <v>155</v>
      </c>
      <c r="B406" s="1">
        <v>45188</v>
      </c>
      <c r="C406" t="s">
        <v>57</v>
      </c>
      <c r="D406" t="s">
        <v>267</v>
      </c>
      <c r="E406" t="s">
        <v>48</v>
      </c>
      <c r="F406" t="s">
        <v>39</v>
      </c>
      <c r="G406">
        <v>0</v>
      </c>
      <c r="H406">
        <f>Table1[[#This Row],[UnitPrice]]*0.7*Table1[[#This Row],[UnitsSold]]</f>
        <v>0</v>
      </c>
      <c r="I406">
        <v>1017.3087234042553</v>
      </c>
      <c r="J406">
        <v>0.19</v>
      </c>
      <c r="K406" t="s">
        <v>16</v>
      </c>
      <c r="L406" t="s">
        <v>55</v>
      </c>
      <c r="M406" s="3">
        <f t="shared" si="18"/>
        <v>0</v>
      </c>
      <c r="N406" t="str">
        <f t="shared" si="19"/>
        <v>September</v>
      </c>
      <c r="O406" t="str">
        <f t="shared" si="20"/>
        <v>2023</v>
      </c>
      <c r="P406" s="3">
        <f>Table1[[#This Row],[Revenue]]-Table1[[#This Row],[Cost]]</f>
        <v>0</v>
      </c>
      <c r="Q40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07" spans="1:17" x14ac:dyDescent="0.2">
      <c r="A407" t="s">
        <v>212</v>
      </c>
      <c r="B407" s="1">
        <v>45250</v>
      </c>
      <c r="C407" t="s">
        <v>57</v>
      </c>
      <c r="D407" t="s">
        <v>267</v>
      </c>
      <c r="E407" t="s">
        <v>46</v>
      </c>
      <c r="F407" t="s">
        <v>26</v>
      </c>
      <c r="G407">
        <v>0</v>
      </c>
      <c r="H407">
        <f>Table1[[#This Row],[UnitPrice]]*0.7*Table1[[#This Row],[UnitsSold]]</f>
        <v>0</v>
      </c>
      <c r="I407">
        <v>1106.0261904761899</v>
      </c>
      <c r="J407">
        <v>0</v>
      </c>
      <c r="K407" t="s">
        <v>52</v>
      </c>
      <c r="L407" t="s">
        <v>17</v>
      </c>
      <c r="M407" s="3">
        <f t="shared" si="18"/>
        <v>0</v>
      </c>
      <c r="N407" t="str">
        <f t="shared" si="19"/>
        <v>November</v>
      </c>
      <c r="O407" t="str">
        <f t="shared" si="20"/>
        <v>2023</v>
      </c>
      <c r="P407" s="3">
        <f>Table1[[#This Row],[Revenue]]-Table1[[#This Row],[Cost]]</f>
        <v>0</v>
      </c>
      <c r="Q40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08" spans="1:17" x14ac:dyDescent="0.2">
      <c r="A408" t="s">
        <v>226</v>
      </c>
      <c r="B408" s="1">
        <v>45129</v>
      </c>
      <c r="C408" t="s">
        <v>24</v>
      </c>
      <c r="D408" t="s">
        <v>83</v>
      </c>
      <c r="E408" t="s">
        <v>25</v>
      </c>
      <c r="F408" t="s">
        <v>26</v>
      </c>
      <c r="G408">
        <v>0</v>
      </c>
      <c r="H408">
        <f>Table1[[#This Row],[UnitPrice]]*0.7*Table1[[#This Row],[UnitsSold]]</f>
        <v>0</v>
      </c>
      <c r="I408">
        <v>961.05661016949136</v>
      </c>
      <c r="J408">
        <v>0.05</v>
      </c>
      <c r="K408" t="s">
        <v>16</v>
      </c>
      <c r="L408" t="s">
        <v>249</v>
      </c>
      <c r="M408" s="3">
        <f t="shared" si="18"/>
        <v>0</v>
      </c>
      <c r="N408" t="str">
        <f t="shared" si="19"/>
        <v>July</v>
      </c>
      <c r="O408" t="str">
        <f t="shared" si="20"/>
        <v>2023</v>
      </c>
      <c r="P408" s="3">
        <f>Table1[[#This Row],[Revenue]]-Table1[[#This Row],[Cost]]</f>
        <v>0</v>
      </c>
      <c r="Q40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09" spans="1:17" x14ac:dyDescent="0.2">
      <c r="A409" t="s">
        <v>100</v>
      </c>
      <c r="B409" s="1">
        <v>45055</v>
      </c>
      <c r="C409" t="s">
        <v>12</v>
      </c>
      <c r="D409" t="s">
        <v>19</v>
      </c>
      <c r="E409" t="s">
        <v>247</v>
      </c>
      <c r="F409" t="s">
        <v>26</v>
      </c>
      <c r="G409">
        <v>4</v>
      </c>
      <c r="H409">
        <f>Table1[[#This Row],[UnitPrice]]*0.7*Table1[[#This Row],[UnitsSold]]</f>
        <v>2747.8085714285712</v>
      </c>
      <c r="I409">
        <v>981.36020408163256</v>
      </c>
      <c r="J409">
        <v>0.16</v>
      </c>
      <c r="K409" t="s">
        <v>42</v>
      </c>
      <c r="L409" t="s">
        <v>17</v>
      </c>
      <c r="M409" s="3">
        <f t="shared" si="18"/>
        <v>3297.3702857142853</v>
      </c>
      <c r="N409" t="str">
        <f t="shared" si="19"/>
        <v>May</v>
      </c>
      <c r="O409" t="str">
        <f t="shared" si="20"/>
        <v>2023</v>
      </c>
      <c r="P409" s="3">
        <f>Table1[[#This Row],[Revenue]]-Table1[[#This Row],[Cost]]</f>
        <v>549.56171428571406</v>
      </c>
      <c r="Q409" s="6">
        <f>IF(Table1[[#This Row],[UnitsSold]]*Table1[[#This Row],[UnitPrice]]*(1-Table1[[#This Row],[Discount]])=0, 0, ((Table1[[#This Row],[UnitsSold]]*Table1[[#This Row],[UnitPrice]]*(1-Table1[[#This Row],[Discount]])) - (Table1[[#This Row],[UnitsSold]]*Table1[[#This Row],[UnitPrice]]*0.7)) / (Table1[[#This Row],[UnitsSold]]*Table1[[#This Row],[UnitPrice]]*(1-Table1[[#This Row],[Discount]])))</f>
        <v>0.16666666666666663</v>
      </c>
    </row>
    <row r="410" spans="1:17" x14ac:dyDescent="0.2">
      <c r="A410" t="s">
        <v>99</v>
      </c>
      <c r="B410" s="1">
        <v>44969</v>
      </c>
      <c r="C410" t="s">
        <v>12</v>
      </c>
      <c r="D410" t="s">
        <v>59</v>
      </c>
      <c r="E410" t="s">
        <v>44</v>
      </c>
      <c r="F410" t="s">
        <v>26</v>
      </c>
      <c r="G410">
        <v>0</v>
      </c>
      <c r="H410">
        <f>Table1[[#This Row],[UnitPrice]]*0.7*Table1[[#This Row],[UnitsSold]]</f>
        <v>0</v>
      </c>
      <c r="I410">
        <v>1079.5765957446808</v>
      </c>
      <c r="J410">
        <v>0.09</v>
      </c>
      <c r="K410" t="s">
        <v>283</v>
      </c>
      <c r="L410" t="s">
        <v>55</v>
      </c>
      <c r="M410" s="3">
        <f t="shared" si="18"/>
        <v>0</v>
      </c>
      <c r="N410" t="str">
        <f t="shared" si="19"/>
        <v>February</v>
      </c>
      <c r="O410" t="str">
        <f t="shared" si="20"/>
        <v>2023</v>
      </c>
      <c r="P410" s="3">
        <f>Table1[[#This Row],[Revenue]]-Table1[[#This Row],[Cost]]</f>
        <v>0</v>
      </c>
      <c r="Q41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11" spans="1:17" x14ac:dyDescent="0.2">
      <c r="A411" t="s">
        <v>120</v>
      </c>
      <c r="B411" s="1">
        <v>45247</v>
      </c>
      <c r="C411" t="s">
        <v>246</v>
      </c>
      <c r="D411" t="s">
        <v>19</v>
      </c>
      <c r="E411" t="s">
        <v>44</v>
      </c>
      <c r="F411" t="s">
        <v>26</v>
      </c>
      <c r="G411">
        <v>1</v>
      </c>
      <c r="H411">
        <f>Table1[[#This Row],[UnitPrice]]*0.7*Table1[[#This Row],[UnitsSold]]</f>
        <v>755.7036170212765</v>
      </c>
      <c r="I411">
        <v>1079.5765957446808</v>
      </c>
      <c r="J411">
        <v>0</v>
      </c>
      <c r="K411" t="s">
        <v>248</v>
      </c>
      <c r="L411" t="s">
        <v>55</v>
      </c>
      <c r="M411" s="3">
        <f t="shared" si="18"/>
        <v>1079.5765957446808</v>
      </c>
      <c r="N411" t="str">
        <f t="shared" si="19"/>
        <v>November</v>
      </c>
      <c r="O411" t="str">
        <f t="shared" si="20"/>
        <v>2023</v>
      </c>
      <c r="P411" s="3">
        <f>Table1[[#This Row],[Revenue]]-Table1[[#This Row],[Cost]]</f>
        <v>323.87297872340434</v>
      </c>
      <c r="Q41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412" spans="1:17" x14ac:dyDescent="0.2">
      <c r="A412" t="s">
        <v>163</v>
      </c>
      <c r="B412" s="1">
        <v>45154</v>
      </c>
      <c r="C412" t="s">
        <v>246</v>
      </c>
      <c r="D412" t="s">
        <v>13</v>
      </c>
      <c r="E412" t="s">
        <v>44</v>
      </c>
      <c r="F412" t="s">
        <v>26</v>
      </c>
      <c r="G412">
        <v>0</v>
      </c>
      <c r="H412">
        <f>Table1[[#This Row],[UnitPrice]]*0.7*Table1[[#This Row],[UnitsSold]]</f>
        <v>0</v>
      </c>
      <c r="I412">
        <v>1079.5765957446808</v>
      </c>
      <c r="J412">
        <v>0</v>
      </c>
      <c r="K412" t="s">
        <v>42</v>
      </c>
      <c r="L412" t="s">
        <v>17</v>
      </c>
      <c r="M412" s="3">
        <f t="shared" si="18"/>
        <v>0</v>
      </c>
      <c r="N412" t="str">
        <f t="shared" si="19"/>
        <v>August</v>
      </c>
      <c r="O412" t="str">
        <f t="shared" si="20"/>
        <v>2023</v>
      </c>
      <c r="P412" s="3">
        <f>Table1[[#This Row],[Revenue]]-Table1[[#This Row],[Cost]]</f>
        <v>0</v>
      </c>
      <c r="Q41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13" spans="1:17" x14ac:dyDescent="0.2">
      <c r="A413" t="s">
        <v>11</v>
      </c>
      <c r="B413" s="1">
        <v>45254</v>
      </c>
      <c r="C413" t="s">
        <v>24</v>
      </c>
      <c r="D413" t="s">
        <v>59</v>
      </c>
      <c r="E413" t="s">
        <v>38</v>
      </c>
      <c r="F413" t="s">
        <v>34</v>
      </c>
      <c r="G413">
        <v>8</v>
      </c>
      <c r="H413">
        <f>Table1[[#This Row],[UnitPrice]]*0.7*Table1[[#This Row],[UnitsSold]]</f>
        <v>5246.0621818181817</v>
      </c>
      <c r="I413">
        <v>936.79681818181825</v>
      </c>
      <c r="J413">
        <v>0.12</v>
      </c>
      <c r="K413" t="s">
        <v>52</v>
      </c>
      <c r="L413" t="s">
        <v>27</v>
      </c>
      <c r="M413" s="3">
        <f t="shared" si="18"/>
        <v>6595.0496000000003</v>
      </c>
      <c r="N413" t="str">
        <f t="shared" si="19"/>
        <v>November</v>
      </c>
      <c r="O413" t="str">
        <f t="shared" si="20"/>
        <v>2023</v>
      </c>
      <c r="P413" s="3">
        <f>Table1[[#This Row],[Revenue]]-Table1[[#This Row],[Cost]]</f>
        <v>1348.9874181818186</v>
      </c>
      <c r="Q413" s="6">
        <f>IF(Table1[[#This Row],[UnitsSold]]*Table1[[#This Row],[UnitPrice]]*(1-Table1[[#This Row],[Discount]])=0, 0, ((Table1[[#This Row],[UnitsSold]]*Table1[[#This Row],[UnitPrice]]*(1-Table1[[#This Row],[Discount]])) - (Table1[[#This Row],[UnitsSold]]*Table1[[#This Row],[UnitPrice]]*0.7)) / (Table1[[#This Row],[UnitsSold]]*Table1[[#This Row],[UnitPrice]]*(1-Table1[[#This Row],[Discount]])))</f>
        <v>0.20454545454545461</v>
      </c>
    </row>
    <row r="414" spans="1:17" x14ac:dyDescent="0.2">
      <c r="A414" t="s">
        <v>49</v>
      </c>
      <c r="B414" s="1">
        <v>45194</v>
      </c>
      <c r="C414" t="s">
        <v>246</v>
      </c>
      <c r="D414" t="s">
        <v>59</v>
      </c>
      <c r="E414" t="s">
        <v>14</v>
      </c>
      <c r="F414" t="s">
        <v>26</v>
      </c>
      <c r="G414">
        <v>18</v>
      </c>
      <c r="H414">
        <f>Table1[[#This Row],[UnitPrice]]*0.7*Table1[[#This Row],[UnitsSold]]</f>
        <v>12636.167361702128</v>
      </c>
      <c r="I414">
        <v>1002.870425531915</v>
      </c>
      <c r="J414">
        <v>0</v>
      </c>
      <c r="K414" t="s">
        <v>52</v>
      </c>
      <c r="L414" t="s">
        <v>27</v>
      </c>
      <c r="M414" s="3">
        <f t="shared" si="18"/>
        <v>18051.667659574468</v>
      </c>
      <c r="N414" t="str">
        <f t="shared" si="19"/>
        <v>September</v>
      </c>
      <c r="O414" t="str">
        <f t="shared" si="20"/>
        <v>2023</v>
      </c>
      <c r="P414" s="3">
        <f>Table1[[#This Row],[Revenue]]-Table1[[#This Row],[Cost]]</f>
        <v>5415.5002978723405</v>
      </c>
      <c r="Q414"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415" spans="1:17" x14ac:dyDescent="0.2">
      <c r="A415" t="s">
        <v>227</v>
      </c>
      <c r="B415" s="1">
        <v>45147</v>
      </c>
      <c r="C415" t="s">
        <v>24</v>
      </c>
      <c r="D415" t="s">
        <v>31</v>
      </c>
      <c r="E415" t="s">
        <v>247</v>
      </c>
      <c r="F415" t="s">
        <v>26</v>
      </c>
      <c r="G415">
        <v>0</v>
      </c>
      <c r="H415">
        <f>Table1[[#This Row],[UnitPrice]]*0.7*Table1[[#This Row],[UnitsSold]]</f>
        <v>0</v>
      </c>
      <c r="I415">
        <v>981.36020408163256</v>
      </c>
      <c r="J415">
        <v>0.13</v>
      </c>
      <c r="K415" t="s">
        <v>16</v>
      </c>
      <c r="L415" t="s">
        <v>22</v>
      </c>
      <c r="M415" s="3">
        <f t="shared" si="18"/>
        <v>0</v>
      </c>
      <c r="N415" t="str">
        <f t="shared" si="19"/>
        <v>August</v>
      </c>
      <c r="O415" t="str">
        <f t="shared" si="20"/>
        <v>2023</v>
      </c>
      <c r="P415" s="3">
        <f>Table1[[#This Row],[Revenue]]-Table1[[#This Row],[Cost]]</f>
        <v>0</v>
      </c>
      <c r="Q41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16" spans="1:17" x14ac:dyDescent="0.2">
      <c r="A416" t="s">
        <v>166</v>
      </c>
      <c r="B416" s="1">
        <v>45039</v>
      </c>
      <c r="C416" t="s">
        <v>24</v>
      </c>
      <c r="D416" t="s">
        <v>19</v>
      </c>
      <c r="E416" t="s">
        <v>38</v>
      </c>
      <c r="F416" t="s">
        <v>34</v>
      </c>
      <c r="G416">
        <v>0</v>
      </c>
      <c r="H416">
        <f>Table1[[#This Row],[UnitPrice]]*0.7*Table1[[#This Row],[UnitsSold]]</f>
        <v>0</v>
      </c>
      <c r="I416">
        <v>936.79681818181825</v>
      </c>
      <c r="J416">
        <v>0</v>
      </c>
      <c r="K416" t="s">
        <v>283</v>
      </c>
      <c r="L416" t="s">
        <v>17</v>
      </c>
      <c r="M416" s="3">
        <f t="shared" si="18"/>
        <v>0</v>
      </c>
      <c r="N416" t="str">
        <f t="shared" si="19"/>
        <v>April</v>
      </c>
      <c r="O416" t="str">
        <f t="shared" si="20"/>
        <v>2023</v>
      </c>
      <c r="P416" s="3">
        <f>Table1[[#This Row],[Revenue]]-Table1[[#This Row],[Cost]]</f>
        <v>0</v>
      </c>
      <c r="Q41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17" spans="1:17" x14ac:dyDescent="0.2">
      <c r="A417" t="s">
        <v>186</v>
      </c>
      <c r="B417" s="1">
        <v>45138</v>
      </c>
      <c r="C417" t="s">
        <v>37</v>
      </c>
      <c r="D417" t="s">
        <v>267</v>
      </c>
      <c r="E417" t="s">
        <v>46</v>
      </c>
      <c r="F417" t="s">
        <v>26</v>
      </c>
      <c r="G417">
        <v>0</v>
      </c>
      <c r="H417">
        <f>Table1[[#This Row],[UnitPrice]]*0.7*Table1[[#This Row],[UnitsSold]]</f>
        <v>0</v>
      </c>
      <c r="I417">
        <v>1106.0261904761899</v>
      </c>
      <c r="J417">
        <v>0</v>
      </c>
      <c r="K417" t="s">
        <v>283</v>
      </c>
      <c r="L417" t="s">
        <v>17</v>
      </c>
      <c r="M417" s="3">
        <f t="shared" si="18"/>
        <v>0</v>
      </c>
      <c r="N417" t="str">
        <f t="shared" si="19"/>
        <v>July</v>
      </c>
      <c r="O417" t="str">
        <f t="shared" si="20"/>
        <v>2023</v>
      </c>
      <c r="P417" s="3">
        <f>Table1[[#This Row],[Revenue]]-Table1[[#This Row],[Cost]]</f>
        <v>0</v>
      </c>
      <c r="Q41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18" spans="1:17" x14ac:dyDescent="0.2">
      <c r="A418" t="s">
        <v>164</v>
      </c>
      <c r="B418" s="1">
        <v>45023</v>
      </c>
      <c r="C418" t="s">
        <v>29</v>
      </c>
      <c r="D418" t="s">
        <v>19</v>
      </c>
      <c r="E418" t="s">
        <v>247</v>
      </c>
      <c r="F418" t="s">
        <v>26</v>
      </c>
      <c r="G418">
        <v>18</v>
      </c>
      <c r="H418">
        <f>Table1[[#This Row],[UnitPrice]]*0.7*Table1[[#This Row],[UnitsSold]]</f>
        <v>4788.2519999999995</v>
      </c>
      <c r="I418">
        <v>380.02</v>
      </c>
      <c r="J418">
        <v>0.08</v>
      </c>
      <c r="K418" t="s">
        <v>283</v>
      </c>
      <c r="L418" t="s">
        <v>22</v>
      </c>
      <c r="M418" s="3">
        <f t="shared" si="18"/>
        <v>6293.1311999999998</v>
      </c>
      <c r="N418" t="str">
        <f t="shared" si="19"/>
        <v>April</v>
      </c>
      <c r="O418" t="str">
        <f t="shared" si="20"/>
        <v>2023</v>
      </c>
      <c r="P418" s="3">
        <f>Table1[[#This Row],[Revenue]]-Table1[[#This Row],[Cost]]</f>
        <v>1504.8792000000003</v>
      </c>
      <c r="Q418" s="6">
        <f>IF(Table1[[#This Row],[UnitsSold]]*Table1[[#This Row],[UnitPrice]]*(1-Table1[[#This Row],[Discount]])=0, 0, ((Table1[[#This Row],[UnitsSold]]*Table1[[#This Row],[UnitPrice]]*(1-Table1[[#This Row],[Discount]])) - (Table1[[#This Row],[UnitsSold]]*Table1[[#This Row],[UnitPrice]]*0.7)) / (Table1[[#This Row],[UnitsSold]]*Table1[[#This Row],[UnitPrice]]*(1-Table1[[#This Row],[Discount]])))</f>
        <v>0.23913043478260876</v>
      </c>
    </row>
    <row r="419" spans="1:17" x14ac:dyDescent="0.2">
      <c r="A419" t="s">
        <v>139</v>
      </c>
      <c r="B419" s="1">
        <v>44931</v>
      </c>
      <c r="C419" t="s">
        <v>37</v>
      </c>
      <c r="D419" t="s">
        <v>19</v>
      </c>
      <c r="E419" t="s">
        <v>247</v>
      </c>
      <c r="F419" t="s">
        <v>26</v>
      </c>
      <c r="G419">
        <v>16</v>
      </c>
      <c r="H419">
        <f>Table1[[#This Row],[UnitPrice]]*0.7*Table1[[#This Row],[UnitsSold]]</f>
        <v>10991.234285714285</v>
      </c>
      <c r="I419">
        <v>981.36020408163256</v>
      </c>
      <c r="J419">
        <v>0</v>
      </c>
      <c r="K419" t="s">
        <v>52</v>
      </c>
      <c r="L419" t="s">
        <v>22</v>
      </c>
      <c r="M419" s="3">
        <f t="shared" si="18"/>
        <v>15701.763265306121</v>
      </c>
      <c r="N419" t="str">
        <f t="shared" si="19"/>
        <v>January</v>
      </c>
      <c r="O419" t="str">
        <f t="shared" si="20"/>
        <v>2023</v>
      </c>
      <c r="P419" s="3">
        <f>Table1[[#This Row],[Revenue]]-Table1[[#This Row],[Cost]]</f>
        <v>4710.5289795918361</v>
      </c>
      <c r="Q419"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420" spans="1:17" x14ac:dyDescent="0.2">
      <c r="A420" t="s">
        <v>65</v>
      </c>
      <c r="B420" s="1">
        <v>44943</v>
      </c>
      <c r="C420" t="s">
        <v>29</v>
      </c>
      <c r="D420" t="s">
        <v>19</v>
      </c>
      <c r="E420" t="s">
        <v>25</v>
      </c>
      <c r="F420" t="s">
        <v>26</v>
      </c>
      <c r="G420">
        <v>0</v>
      </c>
      <c r="H420">
        <f>Table1[[#This Row],[UnitPrice]]*0.7*Table1[[#This Row],[UnitsSold]]</f>
        <v>0</v>
      </c>
      <c r="I420">
        <v>1553.55</v>
      </c>
      <c r="J420">
        <v>0.16</v>
      </c>
      <c r="K420" t="s">
        <v>16</v>
      </c>
      <c r="L420" t="s">
        <v>55</v>
      </c>
      <c r="M420" s="3">
        <f t="shared" si="18"/>
        <v>0</v>
      </c>
      <c r="N420" t="str">
        <f t="shared" si="19"/>
        <v>January</v>
      </c>
      <c r="O420" t="str">
        <f t="shared" si="20"/>
        <v>2023</v>
      </c>
      <c r="P420" s="3">
        <f>Table1[[#This Row],[Revenue]]-Table1[[#This Row],[Cost]]</f>
        <v>0</v>
      </c>
      <c r="Q42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21" spans="1:17" x14ac:dyDescent="0.2">
      <c r="A421" t="s">
        <v>28</v>
      </c>
      <c r="B421" s="1">
        <v>44933</v>
      </c>
      <c r="C421" t="s">
        <v>12</v>
      </c>
      <c r="D421" t="s">
        <v>267</v>
      </c>
      <c r="E421" t="s">
        <v>48</v>
      </c>
      <c r="F421" t="s">
        <v>39</v>
      </c>
      <c r="G421">
        <v>0</v>
      </c>
      <c r="H421">
        <f>Table1[[#This Row],[UnitPrice]]*0.7*Table1[[#This Row],[UnitsSold]]</f>
        <v>0</v>
      </c>
      <c r="I421">
        <v>501.85</v>
      </c>
      <c r="J421">
        <v>0</v>
      </c>
      <c r="K421" t="s">
        <v>16</v>
      </c>
      <c r="L421" t="s">
        <v>17</v>
      </c>
      <c r="M421" s="3">
        <f t="shared" si="18"/>
        <v>0</v>
      </c>
      <c r="N421" t="str">
        <f t="shared" si="19"/>
        <v>January</v>
      </c>
      <c r="O421" t="str">
        <f t="shared" si="20"/>
        <v>2023</v>
      </c>
      <c r="P421" s="3">
        <f>Table1[[#This Row],[Revenue]]-Table1[[#This Row],[Cost]]</f>
        <v>0</v>
      </c>
      <c r="Q42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22" spans="1:17" x14ac:dyDescent="0.2">
      <c r="A422" t="s">
        <v>130</v>
      </c>
      <c r="B422" s="1">
        <v>45033</v>
      </c>
      <c r="C422" t="s">
        <v>57</v>
      </c>
      <c r="D422" t="s">
        <v>83</v>
      </c>
      <c r="E422" t="s">
        <v>48</v>
      </c>
      <c r="F422" t="s">
        <v>39</v>
      </c>
      <c r="G422">
        <v>11</v>
      </c>
      <c r="H422">
        <f>Table1[[#This Row],[UnitPrice]]*0.7*Table1[[#This Row],[UnitsSold]]</f>
        <v>9717.7079999999987</v>
      </c>
      <c r="I422">
        <v>1262.04</v>
      </c>
      <c r="J422">
        <v>0</v>
      </c>
      <c r="K422" t="s">
        <v>248</v>
      </c>
      <c r="L422" t="s">
        <v>27</v>
      </c>
      <c r="M422" s="3">
        <f t="shared" si="18"/>
        <v>13882.439999999999</v>
      </c>
      <c r="N422" t="str">
        <f t="shared" si="19"/>
        <v>April</v>
      </c>
      <c r="O422" t="str">
        <f t="shared" si="20"/>
        <v>2023</v>
      </c>
      <c r="P422" s="3">
        <f>Table1[[#This Row],[Revenue]]-Table1[[#This Row],[Cost]]</f>
        <v>4164.732</v>
      </c>
      <c r="Q42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423" spans="1:17" x14ac:dyDescent="0.2">
      <c r="A423" t="s">
        <v>47</v>
      </c>
      <c r="B423" s="1">
        <v>45173</v>
      </c>
      <c r="C423" t="s">
        <v>24</v>
      </c>
      <c r="D423" t="s">
        <v>19</v>
      </c>
      <c r="E423" t="s">
        <v>14</v>
      </c>
      <c r="F423" t="s">
        <v>26</v>
      </c>
      <c r="G423">
        <v>7</v>
      </c>
      <c r="H423">
        <f>Table1[[#This Row],[UnitPrice]]*0.7*Table1[[#This Row],[UnitsSold]]</f>
        <v>4914.0650851063829</v>
      </c>
      <c r="I423">
        <v>1002.870425531915</v>
      </c>
      <c r="J423">
        <v>0.1</v>
      </c>
      <c r="K423" t="s">
        <v>52</v>
      </c>
      <c r="L423" t="s">
        <v>17</v>
      </c>
      <c r="M423" s="3">
        <f t="shared" si="18"/>
        <v>6318.0836808510639</v>
      </c>
      <c r="N423" t="str">
        <f t="shared" si="19"/>
        <v>September</v>
      </c>
      <c r="O423" t="str">
        <f t="shared" si="20"/>
        <v>2023</v>
      </c>
      <c r="P423" s="3">
        <f>Table1[[#This Row],[Revenue]]-Table1[[#This Row],[Cost]]</f>
        <v>1404.0185957446811</v>
      </c>
      <c r="Q423" s="6">
        <f>IF(Table1[[#This Row],[UnitsSold]]*Table1[[#This Row],[UnitPrice]]*(1-Table1[[#This Row],[Discount]])=0, 0, ((Table1[[#This Row],[UnitsSold]]*Table1[[#This Row],[UnitPrice]]*(1-Table1[[#This Row],[Discount]])) - (Table1[[#This Row],[UnitsSold]]*Table1[[#This Row],[UnitPrice]]*0.7)) / (Table1[[#This Row],[UnitsSold]]*Table1[[#This Row],[UnitPrice]]*(1-Table1[[#This Row],[Discount]])))</f>
        <v>0.22222222222222227</v>
      </c>
    </row>
    <row r="424" spans="1:17" x14ac:dyDescent="0.2">
      <c r="A424" t="s">
        <v>131</v>
      </c>
      <c r="B424" s="1">
        <v>45129</v>
      </c>
      <c r="C424" t="s">
        <v>37</v>
      </c>
      <c r="D424" t="s">
        <v>19</v>
      </c>
      <c r="E424" t="s">
        <v>46</v>
      </c>
      <c r="F424" t="s">
        <v>26</v>
      </c>
      <c r="G424">
        <v>0</v>
      </c>
      <c r="H424">
        <f>Table1[[#This Row],[UnitPrice]]*0.7*Table1[[#This Row],[UnitsSold]]</f>
        <v>0</v>
      </c>
      <c r="I424">
        <v>1106.0261904761899</v>
      </c>
      <c r="J424">
        <v>0.23</v>
      </c>
      <c r="K424" t="s">
        <v>16</v>
      </c>
      <c r="L424" t="s">
        <v>22</v>
      </c>
      <c r="M424" s="3">
        <f t="shared" si="18"/>
        <v>0</v>
      </c>
      <c r="N424" t="str">
        <f t="shared" si="19"/>
        <v>July</v>
      </c>
      <c r="O424" t="str">
        <f t="shared" si="20"/>
        <v>2023</v>
      </c>
      <c r="P424" s="3">
        <f>Table1[[#This Row],[Revenue]]-Table1[[#This Row],[Cost]]</f>
        <v>0</v>
      </c>
      <c r="Q42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25" spans="1:17" x14ac:dyDescent="0.2">
      <c r="A425" t="s">
        <v>126</v>
      </c>
      <c r="B425" s="1">
        <v>45278</v>
      </c>
      <c r="C425" t="s">
        <v>29</v>
      </c>
      <c r="D425" t="s">
        <v>267</v>
      </c>
      <c r="E425" t="s">
        <v>48</v>
      </c>
      <c r="F425" t="s">
        <v>39</v>
      </c>
      <c r="G425">
        <v>0</v>
      </c>
      <c r="H425">
        <f>Table1[[#This Row],[UnitPrice]]*0.7*Table1[[#This Row],[UnitsSold]]</f>
        <v>0</v>
      </c>
      <c r="I425">
        <v>1017.3087234042553</v>
      </c>
      <c r="J425">
        <v>0.16</v>
      </c>
      <c r="K425" t="s">
        <v>16</v>
      </c>
      <c r="L425" t="s">
        <v>22</v>
      </c>
      <c r="M425" s="3">
        <f t="shared" si="18"/>
        <v>0</v>
      </c>
      <c r="N425" t="str">
        <f t="shared" si="19"/>
        <v>December</v>
      </c>
      <c r="O425" t="str">
        <f t="shared" si="20"/>
        <v>2023</v>
      </c>
      <c r="P425" s="3">
        <f>Table1[[#This Row],[Revenue]]-Table1[[#This Row],[Cost]]</f>
        <v>0</v>
      </c>
      <c r="Q42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26" spans="1:17" x14ac:dyDescent="0.2">
      <c r="A426" t="s">
        <v>228</v>
      </c>
      <c r="B426" s="1">
        <v>45089</v>
      </c>
      <c r="C426" t="s">
        <v>29</v>
      </c>
      <c r="D426" t="s">
        <v>267</v>
      </c>
      <c r="E426" t="s">
        <v>38</v>
      </c>
      <c r="F426" t="s">
        <v>34</v>
      </c>
      <c r="G426">
        <v>0</v>
      </c>
      <c r="H426">
        <f>Table1[[#This Row],[UnitPrice]]*0.7*Table1[[#This Row],[UnitsSold]]</f>
        <v>0</v>
      </c>
      <c r="I426">
        <v>936.79681818181825</v>
      </c>
      <c r="J426">
        <v>0.04</v>
      </c>
      <c r="K426" t="s">
        <v>42</v>
      </c>
      <c r="L426" t="s">
        <v>22</v>
      </c>
      <c r="M426" s="3">
        <f t="shared" si="18"/>
        <v>0</v>
      </c>
      <c r="N426" t="str">
        <f t="shared" si="19"/>
        <v>June</v>
      </c>
      <c r="O426" t="str">
        <f t="shared" si="20"/>
        <v>2023</v>
      </c>
      <c r="P426" s="3">
        <f>Table1[[#This Row],[Revenue]]-Table1[[#This Row],[Cost]]</f>
        <v>0</v>
      </c>
      <c r="Q42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27" spans="1:17" x14ac:dyDescent="0.2">
      <c r="A427" t="s">
        <v>70</v>
      </c>
      <c r="B427" s="1">
        <v>45077</v>
      </c>
      <c r="C427" t="s">
        <v>57</v>
      </c>
      <c r="D427" t="s">
        <v>19</v>
      </c>
      <c r="E427" t="s">
        <v>44</v>
      </c>
      <c r="F427" t="s">
        <v>26</v>
      </c>
      <c r="G427">
        <v>0</v>
      </c>
      <c r="H427">
        <f>Table1[[#This Row],[UnitPrice]]*0.7*Table1[[#This Row],[UnitsSold]]</f>
        <v>0</v>
      </c>
      <c r="I427">
        <v>1079.5765957446808</v>
      </c>
      <c r="J427">
        <v>0</v>
      </c>
      <c r="K427" t="s">
        <v>248</v>
      </c>
      <c r="L427" t="s">
        <v>249</v>
      </c>
      <c r="M427" s="3">
        <f t="shared" si="18"/>
        <v>0</v>
      </c>
      <c r="N427" t="str">
        <f t="shared" si="19"/>
        <v>May</v>
      </c>
      <c r="O427" t="str">
        <f t="shared" si="20"/>
        <v>2023</v>
      </c>
      <c r="P427" s="3">
        <f>Table1[[#This Row],[Revenue]]-Table1[[#This Row],[Cost]]</f>
        <v>0</v>
      </c>
      <c r="Q42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28" spans="1:17" x14ac:dyDescent="0.2">
      <c r="A428" t="s">
        <v>60</v>
      </c>
      <c r="B428" s="1">
        <v>45198</v>
      </c>
      <c r="C428" t="s">
        <v>246</v>
      </c>
      <c r="D428" t="s">
        <v>83</v>
      </c>
      <c r="E428" t="s">
        <v>14</v>
      </c>
      <c r="F428" t="s">
        <v>26</v>
      </c>
      <c r="G428">
        <v>0</v>
      </c>
      <c r="H428">
        <f>Table1[[#This Row],[UnitPrice]]*0.7*Table1[[#This Row],[UnitsSold]]</f>
        <v>0</v>
      </c>
      <c r="I428">
        <v>1002.870425531915</v>
      </c>
      <c r="J428">
        <v>0</v>
      </c>
      <c r="K428" t="s">
        <v>16</v>
      </c>
      <c r="L428" t="s">
        <v>27</v>
      </c>
      <c r="M428" s="3">
        <f t="shared" si="18"/>
        <v>0</v>
      </c>
      <c r="N428" t="str">
        <f t="shared" si="19"/>
        <v>September</v>
      </c>
      <c r="O428" t="str">
        <f t="shared" si="20"/>
        <v>2023</v>
      </c>
      <c r="P428" s="3">
        <f>Table1[[#This Row],[Revenue]]-Table1[[#This Row],[Cost]]</f>
        <v>0</v>
      </c>
      <c r="Q42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29" spans="1:17" x14ac:dyDescent="0.2">
      <c r="A429" t="s">
        <v>151</v>
      </c>
      <c r="B429" s="1">
        <v>45113</v>
      </c>
      <c r="C429" t="s">
        <v>37</v>
      </c>
      <c r="D429" t="s">
        <v>59</v>
      </c>
      <c r="E429" t="s">
        <v>48</v>
      </c>
      <c r="F429" t="s">
        <v>39</v>
      </c>
      <c r="G429">
        <v>0</v>
      </c>
      <c r="H429">
        <f>Table1[[#This Row],[UnitPrice]]*0.7*Table1[[#This Row],[UnitsSold]]</f>
        <v>0</v>
      </c>
      <c r="I429">
        <v>1017.3087234042553</v>
      </c>
      <c r="J429">
        <v>0</v>
      </c>
      <c r="K429" t="s">
        <v>16</v>
      </c>
      <c r="L429" t="s">
        <v>17</v>
      </c>
      <c r="M429" s="3">
        <f t="shared" si="18"/>
        <v>0</v>
      </c>
      <c r="N429" t="str">
        <f t="shared" si="19"/>
        <v>July</v>
      </c>
      <c r="O429" t="str">
        <f t="shared" si="20"/>
        <v>2023</v>
      </c>
      <c r="P429" s="3">
        <f>Table1[[#This Row],[Revenue]]-Table1[[#This Row],[Cost]]</f>
        <v>0</v>
      </c>
      <c r="Q42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30" spans="1:17" x14ac:dyDescent="0.2">
      <c r="A430" t="s">
        <v>229</v>
      </c>
      <c r="B430" s="1">
        <v>45092</v>
      </c>
      <c r="C430" t="s">
        <v>57</v>
      </c>
      <c r="D430" t="s">
        <v>13</v>
      </c>
      <c r="E430" t="s">
        <v>14</v>
      </c>
      <c r="F430" t="s">
        <v>26</v>
      </c>
      <c r="G430">
        <v>0</v>
      </c>
      <c r="H430">
        <f>Table1[[#This Row],[UnitPrice]]*0.7*Table1[[#This Row],[UnitsSold]]</f>
        <v>0</v>
      </c>
      <c r="I430">
        <v>1321.19</v>
      </c>
      <c r="J430">
        <v>0.25</v>
      </c>
      <c r="K430" t="s">
        <v>16</v>
      </c>
      <c r="L430" t="s">
        <v>27</v>
      </c>
      <c r="M430" s="3">
        <f t="shared" si="18"/>
        <v>0</v>
      </c>
      <c r="N430" t="str">
        <f t="shared" si="19"/>
        <v>June</v>
      </c>
      <c r="O430" t="str">
        <f t="shared" si="20"/>
        <v>2023</v>
      </c>
      <c r="P430" s="3">
        <f>Table1[[#This Row],[Revenue]]-Table1[[#This Row],[Cost]]</f>
        <v>0</v>
      </c>
      <c r="Q43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31" spans="1:17" x14ac:dyDescent="0.2">
      <c r="A431" t="s">
        <v>217</v>
      </c>
      <c r="B431" s="1">
        <v>44981</v>
      </c>
      <c r="C431" t="s">
        <v>57</v>
      </c>
      <c r="D431" t="s">
        <v>19</v>
      </c>
      <c r="E431" t="s">
        <v>46</v>
      </c>
      <c r="F431" t="s">
        <v>26</v>
      </c>
      <c r="G431">
        <v>0</v>
      </c>
      <c r="H431">
        <f>Table1[[#This Row],[UnitPrice]]*0.7*Table1[[#This Row],[UnitsSold]]</f>
        <v>0</v>
      </c>
      <c r="I431">
        <v>1106.0261904761899</v>
      </c>
      <c r="J431">
        <v>0</v>
      </c>
      <c r="K431" t="s">
        <v>283</v>
      </c>
      <c r="L431" t="s">
        <v>17</v>
      </c>
      <c r="M431" s="3">
        <f t="shared" si="18"/>
        <v>0</v>
      </c>
      <c r="N431" t="str">
        <f t="shared" si="19"/>
        <v>February</v>
      </c>
      <c r="O431" t="str">
        <f t="shared" si="20"/>
        <v>2023</v>
      </c>
      <c r="P431" s="3">
        <f>Table1[[#This Row],[Revenue]]-Table1[[#This Row],[Cost]]</f>
        <v>0</v>
      </c>
      <c r="Q43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32" spans="1:17" x14ac:dyDescent="0.2">
      <c r="A432" t="s">
        <v>170</v>
      </c>
      <c r="B432" s="1">
        <v>44952</v>
      </c>
      <c r="C432" t="s">
        <v>29</v>
      </c>
      <c r="D432" t="s">
        <v>19</v>
      </c>
      <c r="E432" t="s">
        <v>44</v>
      </c>
      <c r="F432" t="s">
        <v>26</v>
      </c>
      <c r="G432">
        <v>1</v>
      </c>
      <c r="H432">
        <f>Table1[[#This Row],[UnitPrice]]*0.7*Table1[[#This Row],[UnitsSold]]</f>
        <v>920.45799999999997</v>
      </c>
      <c r="I432">
        <v>1314.94</v>
      </c>
      <c r="J432">
        <v>0</v>
      </c>
      <c r="K432" t="s">
        <v>16</v>
      </c>
      <c r="L432" t="s">
        <v>55</v>
      </c>
      <c r="M432" s="3">
        <f t="shared" si="18"/>
        <v>1314.94</v>
      </c>
      <c r="N432" t="str">
        <f t="shared" si="19"/>
        <v>January</v>
      </c>
      <c r="O432" t="str">
        <f t="shared" si="20"/>
        <v>2023</v>
      </c>
      <c r="P432" s="3">
        <f>Table1[[#This Row],[Revenue]]-Table1[[#This Row],[Cost]]</f>
        <v>394.48200000000008</v>
      </c>
      <c r="Q43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433" spans="1:17" x14ac:dyDescent="0.2">
      <c r="A433" t="s">
        <v>94</v>
      </c>
      <c r="B433" s="1">
        <v>45307</v>
      </c>
      <c r="C433" t="s">
        <v>57</v>
      </c>
      <c r="D433" t="s">
        <v>267</v>
      </c>
      <c r="E433" t="s">
        <v>14</v>
      </c>
      <c r="F433" t="s">
        <v>26</v>
      </c>
      <c r="G433">
        <v>0</v>
      </c>
      <c r="H433">
        <f>Table1[[#This Row],[UnitPrice]]*0.7*Table1[[#This Row],[UnitsSold]]</f>
        <v>0</v>
      </c>
      <c r="I433">
        <v>1002.870425531915</v>
      </c>
      <c r="J433">
        <v>0</v>
      </c>
      <c r="K433" t="s">
        <v>16</v>
      </c>
      <c r="L433" t="s">
        <v>249</v>
      </c>
      <c r="M433" s="3">
        <f t="shared" si="18"/>
        <v>0</v>
      </c>
      <c r="N433" t="str">
        <f t="shared" si="19"/>
        <v>January</v>
      </c>
      <c r="O433" t="str">
        <f t="shared" si="20"/>
        <v>2024</v>
      </c>
      <c r="P433" s="3">
        <f>Table1[[#This Row],[Revenue]]-Table1[[#This Row],[Cost]]</f>
        <v>0</v>
      </c>
      <c r="Q43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34" spans="1:17" x14ac:dyDescent="0.2">
      <c r="A434" t="s">
        <v>184</v>
      </c>
      <c r="B434" s="1">
        <v>44976</v>
      </c>
      <c r="C434" t="s">
        <v>12</v>
      </c>
      <c r="D434" t="s">
        <v>13</v>
      </c>
      <c r="E434" t="s">
        <v>247</v>
      </c>
      <c r="F434" t="s">
        <v>26</v>
      </c>
      <c r="G434">
        <v>13</v>
      </c>
      <c r="H434">
        <f>Table1[[#This Row],[UnitPrice]]*0.7*Table1[[#This Row],[UnitsSold]]</f>
        <v>8930.3778571428556</v>
      </c>
      <c r="I434">
        <v>981.36020408163256</v>
      </c>
      <c r="J434">
        <v>0</v>
      </c>
      <c r="K434" t="s">
        <v>16</v>
      </c>
      <c r="L434" t="s">
        <v>17</v>
      </c>
      <c r="M434" s="3">
        <f t="shared" si="18"/>
        <v>12757.682653061223</v>
      </c>
      <c r="N434" t="str">
        <f t="shared" si="19"/>
        <v>February</v>
      </c>
      <c r="O434" t="str">
        <f t="shared" si="20"/>
        <v>2023</v>
      </c>
      <c r="P434" s="3">
        <f>Table1[[#This Row],[Revenue]]-Table1[[#This Row],[Cost]]</f>
        <v>3827.3047959183677</v>
      </c>
      <c r="Q434"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435" spans="1:17" x14ac:dyDescent="0.2">
      <c r="A435" t="s">
        <v>89</v>
      </c>
      <c r="B435" s="1">
        <v>45212</v>
      </c>
      <c r="C435" t="s">
        <v>57</v>
      </c>
      <c r="D435" t="s">
        <v>13</v>
      </c>
      <c r="E435" t="s">
        <v>46</v>
      </c>
      <c r="F435" t="s">
        <v>26</v>
      </c>
      <c r="G435">
        <v>0</v>
      </c>
      <c r="H435">
        <f>Table1[[#This Row],[UnitPrice]]*0.7*Table1[[#This Row],[UnitsSold]]</f>
        <v>0</v>
      </c>
      <c r="I435">
        <v>1106.0261904761899</v>
      </c>
      <c r="J435">
        <v>0.13</v>
      </c>
      <c r="K435" t="s">
        <v>16</v>
      </c>
      <c r="L435" t="s">
        <v>249</v>
      </c>
      <c r="M435" s="3">
        <f t="shared" si="18"/>
        <v>0</v>
      </c>
      <c r="N435" t="str">
        <f t="shared" si="19"/>
        <v>October</v>
      </c>
      <c r="O435" t="str">
        <f t="shared" si="20"/>
        <v>2023</v>
      </c>
      <c r="P435" s="3">
        <f>Table1[[#This Row],[Revenue]]-Table1[[#This Row],[Cost]]</f>
        <v>0</v>
      </c>
      <c r="Q43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36" spans="1:17" x14ac:dyDescent="0.2">
      <c r="A436" t="s">
        <v>163</v>
      </c>
      <c r="B436" s="1">
        <v>45132</v>
      </c>
      <c r="C436" t="s">
        <v>29</v>
      </c>
      <c r="D436" t="s">
        <v>13</v>
      </c>
      <c r="E436" t="s">
        <v>247</v>
      </c>
      <c r="F436" t="s">
        <v>26</v>
      </c>
      <c r="G436">
        <v>0</v>
      </c>
      <c r="H436">
        <f>Table1[[#This Row],[UnitPrice]]*0.7*Table1[[#This Row],[UnitsSold]]</f>
        <v>0</v>
      </c>
      <c r="I436">
        <v>981.36020408163256</v>
      </c>
      <c r="J436">
        <v>0</v>
      </c>
      <c r="K436" t="s">
        <v>52</v>
      </c>
      <c r="L436" t="s">
        <v>22</v>
      </c>
      <c r="M436" s="3">
        <f t="shared" si="18"/>
        <v>0</v>
      </c>
      <c r="N436" t="str">
        <f t="shared" si="19"/>
        <v>July</v>
      </c>
      <c r="O436" t="str">
        <f t="shared" si="20"/>
        <v>2023</v>
      </c>
      <c r="P436" s="3">
        <f>Table1[[#This Row],[Revenue]]-Table1[[#This Row],[Cost]]</f>
        <v>0</v>
      </c>
      <c r="Q43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37" spans="1:17" x14ac:dyDescent="0.2">
      <c r="A437" t="s">
        <v>99</v>
      </c>
      <c r="B437" s="1">
        <v>45251</v>
      </c>
      <c r="C437" t="s">
        <v>57</v>
      </c>
      <c r="D437" t="s">
        <v>267</v>
      </c>
      <c r="E437" t="s">
        <v>48</v>
      </c>
      <c r="F437" t="s">
        <v>39</v>
      </c>
      <c r="G437">
        <v>20</v>
      </c>
      <c r="H437">
        <f>Table1[[#This Row],[UnitPrice]]*0.7*Table1[[#This Row],[UnitsSold]]</f>
        <v>15829.24</v>
      </c>
      <c r="I437">
        <v>1130.6600000000001</v>
      </c>
      <c r="J437">
        <v>0</v>
      </c>
      <c r="K437" t="s">
        <v>283</v>
      </c>
      <c r="L437" t="s">
        <v>55</v>
      </c>
      <c r="M437" s="3">
        <f t="shared" si="18"/>
        <v>22613.200000000001</v>
      </c>
      <c r="N437" t="str">
        <f t="shared" si="19"/>
        <v>November</v>
      </c>
      <c r="O437" t="str">
        <f t="shared" si="20"/>
        <v>2023</v>
      </c>
      <c r="P437" s="3">
        <f>Table1[[#This Row],[Revenue]]-Table1[[#This Row],[Cost]]</f>
        <v>6783.9600000000009</v>
      </c>
      <c r="Q43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438" spans="1:17" x14ac:dyDescent="0.2">
      <c r="A438" t="s">
        <v>148</v>
      </c>
      <c r="B438" s="1">
        <v>45158</v>
      </c>
      <c r="C438" t="s">
        <v>57</v>
      </c>
      <c r="D438" t="s">
        <v>83</v>
      </c>
      <c r="E438" t="s">
        <v>46</v>
      </c>
      <c r="F438" t="s">
        <v>26</v>
      </c>
      <c r="G438">
        <v>0</v>
      </c>
      <c r="H438">
        <f>Table1[[#This Row],[UnitPrice]]*0.7*Table1[[#This Row],[UnitsSold]]</f>
        <v>0</v>
      </c>
      <c r="I438">
        <v>42.44</v>
      </c>
      <c r="J438">
        <v>0</v>
      </c>
      <c r="K438" t="s">
        <v>16</v>
      </c>
      <c r="L438" t="s">
        <v>55</v>
      </c>
      <c r="M438" s="3">
        <f t="shared" si="18"/>
        <v>0</v>
      </c>
      <c r="N438" t="str">
        <f t="shared" si="19"/>
        <v>August</v>
      </c>
      <c r="O438" t="str">
        <f t="shared" si="20"/>
        <v>2023</v>
      </c>
      <c r="P438" s="3">
        <f>Table1[[#This Row],[Revenue]]-Table1[[#This Row],[Cost]]</f>
        <v>0</v>
      </c>
      <c r="Q43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39" spans="1:17" x14ac:dyDescent="0.2">
      <c r="A439" t="s">
        <v>23</v>
      </c>
      <c r="B439" s="1">
        <v>45036</v>
      </c>
      <c r="C439" t="s">
        <v>29</v>
      </c>
      <c r="D439" t="s">
        <v>19</v>
      </c>
      <c r="E439" t="s">
        <v>25</v>
      </c>
      <c r="F439" t="s">
        <v>26</v>
      </c>
      <c r="G439">
        <v>0</v>
      </c>
      <c r="H439">
        <f>Table1[[#This Row],[UnitPrice]]*0.7*Table1[[#This Row],[UnitsSold]]</f>
        <v>0</v>
      </c>
      <c r="I439">
        <v>961.05661016949136</v>
      </c>
      <c r="J439">
        <v>0.05</v>
      </c>
      <c r="K439" t="s">
        <v>42</v>
      </c>
      <c r="L439" t="s">
        <v>55</v>
      </c>
      <c r="M439" s="3">
        <f t="shared" si="18"/>
        <v>0</v>
      </c>
      <c r="N439" t="str">
        <f t="shared" si="19"/>
        <v>April</v>
      </c>
      <c r="O439" t="str">
        <f t="shared" si="20"/>
        <v>2023</v>
      </c>
      <c r="P439" s="3">
        <f>Table1[[#This Row],[Revenue]]-Table1[[#This Row],[Cost]]</f>
        <v>0</v>
      </c>
      <c r="Q43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40" spans="1:17" x14ac:dyDescent="0.2">
      <c r="A440" t="s">
        <v>50</v>
      </c>
      <c r="B440" s="1">
        <v>44997</v>
      </c>
      <c r="C440" t="s">
        <v>24</v>
      </c>
      <c r="D440" t="s">
        <v>59</v>
      </c>
      <c r="E440" t="s">
        <v>44</v>
      </c>
      <c r="F440" t="s">
        <v>26</v>
      </c>
      <c r="G440">
        <v>0</v>
      </c>
      <c r="H440">
        <f>Table1[[#This Row],[UnitPrice]]*0.7*Table1[[#This Row],[UnitsSold]]</f>
        <v>0</v>
      </c>
      <c r="I440">
        <v>1624.04</v>
      </c>
      <c r="J440">
        <v>0</v>
      </c>
      <c r="K440" t="s">
        <v>16</v>
      </c>
      <c r="L440" t="s">
        <v>27</v>
      </c>
      <c r="M440" s="3">
        <f t="shared" si="18"/>
        <v>0</v>
      </c>
      <c r="N440" t="str">
        <f t="shared" si="19"/>
        <v>March</v>
      </c>
      <c r="O440" t="str">
        <f t="shared" si="20"/>
        <v>2023</v>
      </c>
      <c r="P440" s="3">
        <f>Table1[[#This Row],[Revenue]]-Table1[[#This Row],[Cost]]</f>
        <v>0</v>
      </c>
      <c r="Q44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41" spans="1:17" x14ac:dyDescent="0.2">
      <c r="A441" t="s">
        <v>165</v>
      </c>
      <c r="B441" s="1">
        <v>45093</v>
      </c>
      <c r="C441" t="s">
        <v>57</v>
      </c>
      <c r="D441" t="s">
        <v>19</v>
      </c>
      <c r="E441" t="s">
        <v>38</v>
      </c>
      <c r="F441" t="s">
        <v>34</v>
      </c>
      <c r="G441">
        <v>0</v>
      </c>
      <c r="H441">
        <f>Table1[[#This Row],[UnitPrice]]*0.7*Table1[[#This Row],[UnitsSold]]</f>
        <v>0</v>
      </c>
      <c r="I441">
        <v>1288.0899999999999</v>
      </c>
      <c r="J441">
        <v>0</v>
      </c>
      <c r="K441" t="s">
        <v>42</v>
      </c>
      <c r="L441" t="s">
        <v>27</v>
      </c>
      <c r="M441" s="3">
        <f t="shared" si="18"/>
        <v>0</v>
      </c>
      <c r="N441" t="str">
        <f t="shared" si="19"/>
        <v>June</v>
      </c>
      <c r="O441" t="str">
        <f t="shared" si="20"/>
        <v>2023</v>
      </c>
      <c r="P441" s="3">
        <f>Table1[[#This Row],[Revenue]]-Table1[[#This Row],[Cost]]</f>
        <v>0</v>
      </c>
      <c r="Q44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42" spans="1:17" x14ac:dyDescent="0.2">
      <c r="A442" t="s">
        <v>191</v>
      </c>
      <c r="B442" s="1">
        <v>44955</v>
      </c>
      <c r="C442" t="s">
        <v>29</v>
      </c>
      <c r="D442" t="s">
        <v>59</v>
      </c>
      <c r="E442" t="s">
        <v>25</v>
      </c>
      <c r="F442" t="s">
        <v>26</v>
      </c>
      <c r="G442">
        <v>14</v>
      </c>
      <c r="H442">
        <f>Table1[[#This Row],[UnitPrice]]*0.7*Table1[[#This Row],[UnitsSold]]</f>
        <v>17060.624</v>
      </c>
      <c r="I442">
        <v>1740.88</v>
      </c>
      <c r="J442">
        <v>0</v>
      </c>
      <c r="K442" t="s">
        <v>16</v>
      </c>
      <c r="L442" t="s">
        <v>22</v>
      </c>
      <c r="M442" s="3">
        <f t="shared" si="18"/>
        <v>24372.32</v>
      </c>
      <c r="N442" t="str">
        <f t="shared" si="19"/>
        <v>January</v>
      </c>
      <c r="O442" t="str">
        <f t="shared" si="20"/>
        <v>2023</v>
      </c>
      <c r="P442" s="3">
        <f>Table1[[#This Row],[Revenue]]-Table1[[#This Row],[Cost]]</f>
        <v>7311.6959999999999</v>
      </c>
      <c r="Q442"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443" spans="1:17" x14ac:dyDescent="0.2">
      <c r="A443" t="s">
        <v>137</v>
      </c>
      <c r="B443" s="1">
        <v>45083</v>
      </c>
      <c r="C443" t="s">
        <v>12</v>
      </c>
      <c r="D443" t="s">
        <v>59</v>
      </c>
      <c r="E443" t="s">
        <v>44</v>
      </c>
      <c r="F443" t="s">
        <v>26</v>
      </c>
      <c r="G443">
        <v>0</v>
      </c>
      <c r="H443">
        <f>Table1[[#This Row],[UnitPrice]]*0.7*Table1[[#This Row],[UnitsSold]]</f>
        <v>0</v>
      </c>
      <c r="I443">
        <v>1009.78</v>
      </c>
      <c r="J443">
        <v>0</v>
      </c>
      <c r="K443" t="s">
        <v>283</v>
      </c>
      <c r="L443" t="s">
        <v>22</v>
      </c>
      <c r="M443" s="3">
        <f t="shared" si="18"/>
        <v>0</v>
      </c>
      <c r="N443" t="str">
        <f t="shared" si="19"/>
        <v>June</v>
      </c>
      <c r="O443" t="str">
        <f t="shared" si="20"/>
        <v>2023</v>
      </c>
      <c r="P443" s="3">
        <f>Table1[[#This Row],[Revenue]]-Table1[[#This Row],[Cost]]</f>
        <v>0</v>
      </c>
      <c r="Q44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44" spans="1:17" x14ac:dyDescent="0.2">
      <c r="A444" t="s">
        <v>178</v>
      </c>
      <c r="B444" s="1">
        <v>45312</v>
      </c>
      <c r="C444" t="s">
        <v>12</v>
      </c>
      <c r="D444" t="s">
        <v>19</v>
      </c>
      <c r="E444" t="s">
        <v>38</v>
      </c>
      <c r="F444" t="s">
        <v>34</v>
      </c>
      <c r="G444">
        <v>13</v>
      </c>
      <c r="H444">
        <f>Table1[[#This Row],[UnitPrice]]*0.7*Table1[[#This Row],[UnitsSold]]</f>
        <v>2484.846</v>
      </c>
      <c r="I444">
        <v>273.06</v>
      </c>
      <c r="J444">
        <v>0</v>
      </c>
      <c r="K444" t="s">
        <v>16</v>
      </c>
      <c r="L444" t="s">
        <v>17</v>
      </c>
      <c r="M444" s="3">
        <f t="shared" si="18"/>
        <v>3549.78</v>
      </c>
      <c r="N444" t="str">
        <f t="shared" si="19"/>
        <v>January</v>
      </c>
      <c r="O444" t="str">
        <f t="shared" si="20"/>
        <v>2024</v>
      </c>
      <c r="P444" s="3">
        <f>Table1[[#This Row],[Revenue]]-Table1[[#This Row],[Cost]]</f>
        <v>1064.9340000000002</v>
      </c>
      <c r="Q444"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445" spans="1:17" x14ac:dyDescent="0.2">
      <c r="A445" t="s">
        <v>98</v>
      </c>
      <c r="B445" s="1">
        <v>45061</v>
      </c>
      <c r="C445" t="s">
        <v>12</v>
      </c>
      <c r="D445" t="s">
        <v>83</v>
      </c>
      <c r="E445" t="s">
        <v>44</v>
      </c>
      <c r="F445" t="s">
        <v>26</v>
      </c>
      <c r="G445">
        <v>5</v>
      </c>
      <c r="H445">
        <f>Table1[[#This Row],[UnitPrice]]*0.7*Table1[[#This Row],[UnitsSold]]</f>
        <v>3384.6399999999994</v>
      </c>
      <c r="I445">
        <v>967.04</v>
      </c>
      <c r="J445">
        <v>0</v>
      </c>
      <c r="K445" t="s">
        <v>248</v>
      </c>
      <c r="L445" t="s">
        <v>249</v>
      </c>
      <c r="M445" s="3">
        <f t="shared" si="18"/>
        <v>4835.2</v>
      </c>
      <c r="N445" t="str">
        <f t="shared" si="19"/>
        <v>May</v>
      </c>
      <c r="O445" t="str">
        <f t="shared" si="20"/>
        <v>2023</v>
      </c>
      <c r="P445" s="3">
        <f>Table1[[#This Row],[Revenue]]-Table1[[#This Row],[Cost]]</f>
        <v>1450.5600000000004</v>
      </c>
      <c r="Q445"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446" spans="1:17" x14ac:dyDescent="0.2">
      <c r="A446" t="s">
        <v>70</v>
      </c>
      <c r="B446" s="1">
        <v>45242</v>
      </c>
      <c r="C446" t="s">
        <v>37</v>
      </c>
      <c r="D446" t="s">
        <v>19</v>
      </c>
      <c r="E446" t="s">
        <v>46</v>
      </c>
      <c r="F446" t="s">
        <v>26</v>
      </c>
      <c r="G446">
        <v>0</v>
      </c>
      <c r="H446">
        <f>Table1[[#This Row],[UnitPrice]]*0.7*Table1[[#This Row],[UnitsSold]]</f>
        <v>0</v>
      </c>
      <c r="I446">
        <v>1106.0261904761899</v>
      </c>
      <c r="J446">
        <v>0</v>
      </c>
      <c r="K446" t="s">
        <v>42</v>
      </c>
      <c r="L446" t="s">
        <v>22</v>
      </c>
      <c r="M446" s="3">
        <f t="shared" si="18"/>
        <v>0</v>
      </c>
      <c r="N446" t="str">
        <f t="shared" si="19"/>
        <v>November</v>
      </c>
      <c r="O446" t="str">
        <f t="shared" si="20"/>
        <v>2023</v>
      </c>
      <c r="P446" s="3">
        <f>Table1[[#This Row],[Revenue]]-Table1[[#This Row],[Cost]]</f>
        <v>0</v>
      </c>
      <c r="Q44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47" spans="1:17" x14ac:dyDescent="0.2">
      <c r="A447" t="s">
        <v>77</v>
      </c>
      <c r="B447" s="1">
        <v>45105</v>
      </c>
      <c r="C447" t="s">
        <v>37</v>
      </c>
      <c r="D447" t="s">
        <v>59</v>
      </c>
      <c r="E447" t="s">
        <v>14</v>
      </c>
      <c r="F447" t="s">
        <v>26</v>
      </c>
      <c r="G447">
        <v>0</v>
      </c>
      <c r="H447">
        <f>Table1[[#This Row],[UnitPrice]]*0.7*Table1[[#This Row],[UnitsSold]]</f>
        <v>0</v>
      </c>
      <c r="I447">
        <v>1002.870425531915</v>
      </c>
      <c r="J447">
        <v>0</v>
      </c>
      <c r="K447" t="s">
        <v>248</v>
      </c>
      <c r="L447" t="s">
        <v>249</v>
      </c>
      <c r="M447" s="3">
        <f t="shared" si="18"/>
        <v>0</v>
      </c>
      <c r="N447" t="str">
        <f t="shared" si="19"/>
        <v>June</v>
      </c>
      <c r="O447" t="str">
        <f t="shared" si="20"/>
        <v>2023</v>
      </c>
      <c r="P447" s="3">
        <f>Table1[[#This Row],[Revenue]]-Table1[[#This Row],[Cost]]</f>
        <v>0</v>
      </c>
      <c r="Q44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48" spans="1:17" x14ac:dyDescent="0.2">
      <c r="A448" t="s">
        <v>183</v>
      </c>
      <c r="B448" s="1">
        <v>44949</v>
      </c>
      <c r="C448" t="s">
        <v>37</v>
      </c>
      <c r="D448" t="s">
        <v>19</v>
      </c>
      <c r="E448" t="s">
        <v>48</v>
      </c>
      <c r="F448" t="s">
        <v>39</v>
      </c>
      <c r="G448">
        <v>0</v>
      </c>
      <c r="H448">
        <f>Table1[[#This Row],[UnitPrice]]*0.7*Table1[[#This Row],[UnitsSold]]</f>
        <v>0</v>
      </c>
      <c r="I448">
        <v>1707</v>
      </c>
      <c r="J448">
        <v>0.22</v>
      </c>
      <c r="K448" t="s">
        <v>248</v>
      </c>
      <c r="L448" t="s">
        <v>249</v>
      </c>
      <c r="M448" s="3">
        <f t="shared" si="18"/>
        <v>0</v>
      </c>
      <c r="N448" t="str">
        <f t="shared" si="19"/>
        <v>January</v>
      </c>
      <c r="O448" t="str">
        <f t="shared" si="20"/>
        <v>2023</v>
      </c>
      <c r="P448" s="3">
        <f>Table1[[#This Row],[Revenue]]-Table1[[#This Row],[Cost]]</f>
        <v>0</v>
      </c>
      <c r="Q44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49" spans="1:17" x14ac:dyDescent="0.2">
      <c r="A449" t="s">
        <v>101</v>
      </c>
      <c r="B449" s="1">
        <v>44934</v>
      </c>
      <c r="C449" t="s">
        <v>29</v>
      </c>
      <c r="D449" t="s">
        <v>13</v>
      </c>
      <c r="E449" t="s">
        <v>25</v>
      </c>
      <c r="F449" t="s">
        <v>26</v>
      </c>
      <c r="G449">
        <v>0</v>
      </c>
      <c r="H449">
        <f>Table1[[#This Row],[UnitPrice]]*0.7*Table1[[#This Row],[UnitsSold]]</f>
        <v>0</v>
      </c>
      <c r="I449">
        <v>961.05661016949136</v>
      </c>
      <c r="J449">
        <v>0</v>
      </c>
      <c r="K449" t="s">
        <v>16</v>
      </c>
      <c r="L449" t="s">
        <v>249</v>
      </c>
      <c r="M449" s="3">
        <f t="shared" si="18"/>
        <v>0</v>
      </c>
      <c r="N449" t="str">
        <f t="shared" si="19"/>
        <v>January</v>
      </c>
      <c r="O449" t="str">
        <f t="shared" si="20"/>
        <v>2023</v>
      </c>
      <c r="P449" s="3">
        <f>Table1[[#This Row],[Revenue]]-Table1[[#This Row],[Cost]]</f>
        <v>0</v>
      </c>
      <c r="Q44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50" spans="1:17" x14ac:dyDescent="0.2">
      <c r="A450" t="s">
        <v>182</v>
      </c>
      <c r="B450" s="1">
        <v>45194</v>
      </c>
      <c r="C450" t="s">
        <v>24</v>
      </c>
      <c r="D450" t="s">
        <v>31</v>
      </c>
      <c r="E450" t="s">
        <v>38</v>
      </c>
      <c r="F450" t="s">
        <v>34</v>
      </c>
      <c r="G450">
        <v>0</v>
      </c>
      <c r="H450">
        <f>Table1[[#This Row],[UnitPrice]]*0.7*Table1[[#This Row],[UnitsSold]]</f>
        <v>0</v>
      </c>
      <c r="I450">
        <v>1400.52</v>
      </c>
      <c r="J450">
        <v>0</v>
      </c>
      <c r="K450" t="s">
        <v>248</v>
      </c>
      <c r="L450" t="s">
        <v>27</v>
      </c>
      <c r="M450" s="3">
        <f t="shared" ref="M450:M513" si="21">G450*I450*(1-J450)</f>
        <v>0</v>
      </c>
      <c r="N450" t="str">
        <f t="shared" ref="N450:N513" si="22">TEXT(B450, "mmmm")</f>
        <v>September</v>
      </c>
      <c r="O450" t="str">
        <f t="shared" ref="O450:O513" si="23">TEXT(B450, "yyyy")</f>
        <v>2023</v>
      </c>
      <c r="P450" s="3">
        <f>Table1[[#This Row],[Revenue]]-Table1[[#This Row],[Cost]]</f>
        <v>0</v>
      </c>
      <c r="Q45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51" spans="1:17" x14ac:dyDescent="0.2">
      <c r="A451" t="s">
        <v>170</v>
      </c>
      <c r="B451" s="1">
        <v>45014</v>
      </c>
      <c r="C451" t="s">
        <v>12</v>
      </c>
      <c r="D451" t="s">
        <v>59</v>
      </c>
      <c r="E451" t="s">
        <v>247</v>
      </c>
      <c r="F451" t="s">
        <v>26</v>
      </c>
      <c r="G451">
        <v>9</v>
      </c>
      <c r="H451">
        <f>Table1[[#This Row],[UnitPrice]]*0.7*Table1[[#This Row],[UnitsSold]]</f>
        <v>5892.201</v>
      </c>
      <c r="I451">
        <v>935.27</v>
      </c>
      <c r="J451">
        <v>0</v>
      </c>
      <c r="K451" t="s">
        <v>52</v>
      </c>
      <c r="L451" t="s">
        <v>55</v>
      </c>
      <c r="M451" s="3">
        <f t="shared" si="21"/>
        <v>8417.43</v>
      </c>
      <c r="N451" t="str">
        <f t="shared" si="22"/>
        <v>March</v>
      </c>
      <c r="O451" t="str">
        <f t="shared" si="23"/>
        <v>2023</v>
      </c>
      <c r="P451" s="3">
        <f>Table1[[#This Row],[Revenue]]-Table1[[#This Row],[Cost]]</f>
        <v>2525.2290000000003</v>
      </c>
      <c r="Q45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452" spans="1:17" x14ac:dyDescent="0.2">
      <c r="A452" t="s">
        <v>199</v>
      </c>
      <c r="B452" s="1">
        <v>44936</v>
      </c>
      <c r="C452" t="s">
        <v>24</v>
      </c>
      <c r="D452" t="s">
        <v>267</v>
      </c>
      <c r="E452" t="s">
        <v>48</v>
      </c>
      <c r="F452" t="s">
        <v>39</v>
      </c>
      <c r="G452">
        <v>0</v>
      </c>
      <c r="H452">
        <f>Table1[[#This Row],[UnitPrice]]*0.7*Table1[[#This Row],[UnitsSold]]</f>
        <v>0</v>
      </c>
      <c r="I452">
        <v>1017.3087234042553</v>
      </c>
      <c r="J452">
        <v>0</v>
      </c>
      <c r="K452" t="s">
        <v>42</v>
      </c>
      <c r="L452" t="s">
        <v>17</v>
      </c>
      <c r="M452" s="3">
        <f t="shared" si="21"/>
        <v>0</v>
      </c>
      <c r="N452" t="str">
        <f t="shared" si="22"/>
        <v>January</v>
      </c>
      <c r="O452" t="str">
        <f t="shared" si="23"/>
        <v>2023</v>
      </c>
      <c r="P452" s="3">
        <f>Table1[[#This Row],[Revenue]]-Table1[[#This Row],[Cost]]</f>
        <v>0</v>
      </c>
      <c r="Q45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53" spans="1:17" x14ac:dyDescent="0.2">
      <c r="A453" t="s">
        <v>36</v>
      </c>
      <c r="B453" s="1">
        <v>44972</v>
      </c>
      <c r="C453" t="s">
        <v>246</v>
      </c>
      <c r="D453" t="s">
        <v>19</v>
      </c>
      <c r="E453" t="s">
        <v>44</v>
      </c>
      <c r="F453" t="s">
        <v>26</v>
      </c>
      <c r="G453">
        <v>0</v>
      </c>
      <c r="H453">
        <f>Table1[[#This Row],[UnitPrice]]*0.7*Table1[[#This Row],[UnitsSold]]</f>
        <v>0</v>
      </c>
      <c r="I453">
        <v>52.76</v>
      </c>
      <c r="J453">
        <v>0</v>
      </c>
      <c r="K453" t="s">
        <v>52</v>
      </c>
      <c r="L453" t="s">
        <v>22</v>
      </c>
      <c r="M453" s="3">
        <f t="shared" si="21"/>
        <v>0</v>
      </c>
      <c r="N453" t="str">
        <f t="shared" si="22"/>
        <v>February</v>
      </c>
      <c r="O453" t="str">
        <f t="shared" si="23"/>
        <v>2023</v>
      </c>
      <c r="P453" s="3">
        <f>Table1[[#This Row],[Revenue]]-Table1[[#This Row],[Cost]]</f>
        <v>0</v>
      </c>
      <c r="Q45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54" spans="1:17" x14ac:dyDescent="0.2">
      <c r="A454" t="s">
        <v>154</v>
      </c>
      <c r="B454" s="1">
        <v>45308</v>
      </c>
      <c r="C454" t="s">
        <v>246</v>
      </c>
      <c r="D454" t="s">
        <v>19</v>
      </c>
      <c r="E454" t="s">
        <v>14</v>
      </c>
      <c r="F454" t="s">
        <v>26</v>
      </c>
      <c r="G454">
        <v>0</v>
      </c>
      <c r="H454">
        <f>Table1[[#This Row],[UnitPrice]]*0.7*Table1[[#This Row],[UnitsSold]]</f>
        <v>0</v>
      </c>
      <c r="I454">
        <v>1002.870425531915</v>
      </c>
      <c r="J454">
        <v>0.08</v>
      </c>
      <c r="K454" t="s">
        <v>283</v>
      </c>
      <c r="L454" t="s">
        <v>55</v>
      </c>
      <c r="M454" s="3">
        <f t="shared" si="21"/>
        <v>0</v>
      </c>
      <c r="N454" t="str">
        <f t="shared" si="22"/>
        <v>January</v>
      </c>
      <c r="O454" t="str">
        <f t="shared" si="23"/>
        <v>2024</v>
      </c>
      <c r="P454" s="3">
        <f>Table1[[#This Row],[Revenue]]-Table1[[#This Row],[Cost]]</f>
        <v>0</v>
      </c>
      <c r="Q45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55" spans="1:17" x14ac:dyDescent="0.2">
      <c r="A455" t="s">
        <v>185</v>
      </c>
      <c r="B455" s="1">
        <v>44942</v>
      </c>
      <c r="C455" t="s">
        <v>24</v>
      </c>
      <c r="D455" t="s">
        <v>19</v>
      </c>
      <c r="E455" t="s">
        <v>247</v>
      </c>
      <c r="F455" t="s">
        <v>26</v>
      </c>
      <c r="G455">
        <v>0</v>
      </c>
      <c r="H455">
        <f>Table1[[#This Row],[UnitPrice]]*0.7*Table1[[#This Row],[UnitsSold]]</f>
        <v>0</v>
      </c>
      <c r="I455">
        <v>981.36020408163256</v>
      </c>
      <c r="J455">
        <v>0</v>
      </c>
      <c r="K455" t="s">
        <v>248</v>
      </c>
      <c r="L455" t="s">
        <v>249</v>
      </c>
      <c r="M455" s="3">
        <f t="shared" si="21"/>
        <v>0</v>
      </c>
      <c r="N455" t="str">
        <f t="shared" si="22"/>
        <v>January</v>
      </c>
      <c r="O455" t="str">
        <f t="shared" si="23"/>
        <v>2023</v>
      </c>
      <c r="P455" s="3">
        <f>Table1[[#This Row],[Revenue]]-Table1[[#This Row],[Cost]]</f>
        <v>0</v>
      </c>
      <c r="Q45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56" spans="1:17" x14ac:dyDescent="0.2">
      <c r="A456" t="s">
        <v>140</v>
      </c>
      <c r="B456" s="1">
        <v>45050</v>
      </c>
      <c r="C456" t="s">
        <v>246</v>
      </c>
      <c r="D456" t="s">
        <v>83</v>
      </c>
      <c r="E456" t="s">
        <v>14</v>
      </c>
      <c r="F456" t="s">
        <v>26</v>
      </c>
      <c r="G456">
        <v>0</v>
      </c>
      <c r="H456">
        <f>Table1[[#This Row],[UnitPrice]]*0.7*Table1[[#This Row],[UnitsSold]]</f>
        <v>0</v>
      </c>
      <c r="I456">
        <v>1089.05</v>
      </c>
      <c r="J456">
        <v>0</v>
      </c>
      <c r="K456" t="s">
        <v>248</v>
      </c>
      <c r="L456" t="s">
        <v>249</v>
      </c>
      <c r="M456" s="3">
        <f t="shared" si="21"/>
        <v>0</v>
      </c>
      <c r="N456" t="str">
        <f t="shared" si="22"/>
        <v>May</v>
      </c>
      <c r="O456" t="str">
        <f t="shared" si="23"/>
        <v>2023</v>
      </c>
      <c r="P456" s="3">
        <f>Table1[[#This Row],[Revenue]]-Table1[[#This Row],[Cost]]</f>
        <v>0</v>
      </c>
      <c r="Q45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57" spans="1:17" x14ac:dyDescent="0.2">
      <c r="A457" t="s">
        <v>138</v>
      </c>
      <c r="B457" s="1">
        <v>45085</v>
      </c>
      <c r="C457" t="s">
        <v>246</v>
      </c>
      <c r="D457" t="s">
        <v>83</v>
      </c>
      <c r="E457" t="s">
        <v>25</v>
      </c>
      <c r="F457" t="s">
        <v>26</v>
      </c>
      <c r="G457">
        <v>19</v>
      </c>
      <c r="H457">
        <f>Table1[[#This Row],[UnitPrice]]*0.7*Table1[[#This Row],[UnitsSold]]</f>
        <v>12782.052915254235</v>
      </c>
      <c r="I457">
        <v>961.05661016949136</v>
      </c>
      <c r="J457">
        <v>0</v>
      </c>
      <c r="K457" t="s">
        <v>16</v>
      </c>
      <c r="L457" t="s">
        <v>249</v>
      </c>
      <c r="M457" s="3">
        <f t="shared" si="21"/>
        <v>18260.075593220336</v>
      </c>
      <c r="N457" t="str">
        <f t="shared" si="22"/>
        <v>June</v>
      </c>
      <c r="O457" t="str">
        <f t="shared" si="23"/>
        <v>2023</v>
      </c>
      <c r="P457" s="3">
        <f>Table1[[#This Row],[Revenue]]-Table1[[#This Row],[Cost]]</f>
        <v>5478.0226779661007</v>
      </c>
      <c r="Q457"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458" spans="1:17" x14ac:dyDescent="0.2">
      <c r="A458" t="s">
        <v>169</v>
      </c>
      <c r="B458" s="1">
        <v>45001</v>
      </c>
      <c r="C458" t="s">
        <v>12</v>
      </c>
      <c r="D458" t="s">
        <v>267</v>
      </c>
      <c r="E458" t="s">
        <v>14</v>
      </c>
      <c r="F458" t="s">
        <v>26</v>
      </c>
      <c r="G458">
        <v>0</v>
      </c>
      <c r="H458">
        <f>Table1[[#This Row],[UnitPrice]]*0.7*Table1[[#This Row],[UnitsSold]]</f>
        <v>0</v>
      </c>
      <c r="I458">
        <v>1002.870425531915</v>
      </c>
      <c r="J458">
        <v>0</v>
      </c>
      <c r="K458" t="s">
        <v>16</v>
      </c>
      <c r="L458" t="s">
        <v>249</v>
      </c>
      <c r="M458" s="3">
        <f t="shared" si="21"/>
        <v>0</v>
      </c>
      <c r="N458" t="str">
        <f t="shared" si="22"/>
        <v>March</v>
      </c>
      <c r="O458" t="str">
        <f t="shared" si="23"/>
        <v>2023</v>
      </c>
      <c r="P458" s="3">
        <f>Table1[[#This Row],[Revenue]]-Table1[[#This Row],[Cost]]</f>
        <v>0</v>
      </c>
      <c r="Q45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59" spans="1:17" x14ac:dyDescent="0.2">
      <c r="A459" t="s">
        <v>199</v>
      </c>
      <c r="B459" s="1">
        <v>44994</v>
      </c>
      <c r="C459" t="s">
        <v>246</v>
      </c>
      <c r="D459" t="s">
        <v>19</v>
      </c>
      <c r="E459" t="s">
        <v>25</v>
      </c>
      <c r="F459" t="s">
        <v>26</v>
      </c>
      <c r="G459">
        <v>0</v>
      </c>
      <c r="H459">
        <f>Table1[[#This Row],[UnitPrice]]*0.7*Table1[[#This Row],[UnitsSold]]</f>
        <v>0</v>
      </c>
      <c r="I459">
        <v>961.05661016949136</v>
      </c>
      <c r="J459">
        <v>7.0000000000000007E-2</v>
      </c>
      <c r="K459" t="s">
        <v>16</v>
      </c>
      <c r="L459" t="s">
        <v>27</v>
      </c>
      <c r="M459" s="3">
        <f t="shared" si="21"/>
        <v>0</v>
      </c>
      <c r="N459" t="str">
        <f t="shared" si="22"/>
        <v>March</v>
      </c>
      <c r="O459" t="str">
        <f t="shared" si="23"/>
        <v>2023</v>
      </c>
      <c r="P459" s="3">
        <f>Table1[[#This Row],[Revenue]]-Table1[[#This Row],[Cost]]</f>
        <v>0</v>
      </c>
      <c r="Q45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60" spans="1:17" x14ac:dyDescent="0.2">
      <c r="A460" t="s">
        <v>230</v>
      </c>
      <c r="B460" s="1">
        <v>44967</v>
      </c>
      <c r="C460" t="s">
        <v>57</v>
      </c>
      <c r="D460" t="s">
        <v>19</v>
      </c>
      <c r="E460" t="s">
        <v>44</v>
      </c>
      <c r="F460" t="s">
        <v>26</v>
      </c>
      <c r="G460">
        <v>0</v>
      </c>
      <c r="H460">
        <f>Table1[[#This Row],[UnitPrice]]*0.7*Table1[[#This Row],[UnitsSold]]</f>
        <v>0</v>
      </c>
      <c r="I460">
        <v>1302.6400000000001</v>
      </c>
      <c r="J460">
        <v>0</v>
      </c>
      <c r="K460" t="s">
        <v>42</v>
      </c>
      <c r="L460" t="s">
        <v>249</v>
      </c>
      <c r="M460" s="3">
        <f t="shared" si="21"/>
        <v>0</v>
      </c>
      <c r="N460" t="str">
        <f t="shared" si="22"/>
        <v>February</v>
      </c>
      <c r="O460" t="str">
        <f t="shared" si="23"/>
        <v>2023</v>
      </c>
      <c r="P460" s="3">
        <f>Table1[[#This Row],[Revenue]]-Table1[[#This Row],[Cost]]</f>
        <v>0</v>
      </c>
      <c r="Q46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61" spans="1:17" x14ac:dyDescent="0.2">
      <c r="A461" t="s">
        <v>72</v>
      </c>
      <c r="B461" s="1">
        <v>45025</v>
      </c>
      <c r="C461" t="s">
        <v>37</v>
      </c>
      <c r="D461" t="s">
        <v>19</v>
      </c>
      <c r="E461" t="s">
        <v>38</v>
      </c>
      <c r="F461" t="s">
        <v>34</v>
      </c>
      <c r="G461">
        <v>0</v>
      </c>
      <c r="H461">
        <f>Table1[[#This Row],[UnitPrice]]*0.7*Table1[[#This Row],[UnitsSold]]</f>
        <v>0</v>
      </c>
      <c r="I461">
        <v>936.79681818181825</v>
      </c>
      <c r="J461">
        <v>0.3</v>
      </c>
      <c r="K461" t="s">
        <v>16</v>
      </c>
      <c r="L461" t="s">
        <v>249</v>
      </c>
      <c r="M461" s="3">
        <f t="shared" si="21"/>
        <v>0</v>
      </c>
      <c r="N461" t="str">
        <f t="shared" si="22"/>
        <v>April</v>
      </c>
      <c r="O461" t="str">
        <f t="shared" si="23"/>
        <v>2023</v>
      </c>
      <c r="P461" s="3">
        <f>Table1[[#This Row],[Revenue]]-Table1[[#This Row],[Cost]]</f>
        <v>0</v>
      </c>
      <c r="Q46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62" spans="1:17" x14ac:dyDescent="0.2">
      <c r="A462" t="s">
        <v>183</v>
      </c>
      <c r="B462" s="1">
        <v>45242</v>
      </c>
      <c r="C462" t="s">
        <v>57</v>
      </c>
      <c r="D462" t="s">
        <v>13</v>
      </c>
      <c r="E462" t="s">
        <v>14</v>
      </c>
      <c r="F462" t="s">
        <v>26</v>
      </c>
      <c r="G462">
        <v>0</v>
      </c>
      <c r="H462">
        <f>Table1[[#This Row],[UnitPrice]]*0.7*Table1[[#This Row],[UnitsSold]]</f>
        <v>0</v>
      </c>
      <c r="I462">
        <v>815.68</v>
      </c>
      <c r="J462">
        <v>0</v>
      </c>
      <c r="K462" t="s">
        <v>283</v>
      </c>
      <c r="L462" t="s">
        <v>55</v>
      </c>
      <c r="M462" s="3">
        <f t="shared" si="21"/>
        <v>0</v>
      </c>
      <c r="N462" t="str">
        <f t="shared" si="22"/>
        <v>November</v>
      </c>
      <c r="O462" t="str">
        <f t="shared" si="23"/>
        <v>2023</v>
      </c>
      <c r="P462" s="3">
        <f>Table1[[#This Row],[Revenue]]-Table1[[#This Row],[Cost]]</f>
        <v>0</v>
      </c>
      <c r="Q46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63" spans="1:17" x14ac:dyDescent="0.2">
      <c r="A463" t="s">
        <v>154</v>
      </c>
      <c r="B463" s="1">
        <v>45240</v>
      </c>
      <c r="C463" t="s">
        <v>12</v>
      </c>
      <c r="D463" t="s">
        <v>31</v>
      </c>
      <c r="E463" t="s">
        <v>46</v>
      </c>
      <c r="F463" t="s">
        <v>26</v>
      </c>
      <c r="G463">
        <v>15</v>
      </c>
      <c r="H463">
        <f>Table1[[#This Row],[UnitPrice]]*0.7*Table1[[#This Row],[UnitsSold]]</f>
        <v>18446.189999999999</v>
      </c>
      <c r="I463">
        <v>1756.78</v>
      </c>
      <c r="J463">
        <v>0</v>
      </c>
      <c r="K463" t="s">
        <v>283</v>
      </c>
      <c r="L463" t="s">
        <v>27</v>
      </c>
      <c r="M463" s="3">
        <f t="shared" si="21"/>
        <v>26351.7</v>
      </c>
      <c r="N463" t="str">
        <f t="shared" si="22"/>
        <v>November</v>
      </c>
      <c r="O463" t="str">
        <f t="shared" si="23"/>
        <v>2023</v>
      </c>
      <c r="P463" s="3">
        <f>Table1[[#This Row],[Revenue]]-Table1[[#This Row],[Cost]]</f>
        <v>7905.510000000002</v>
      </c>
      <c r="Q463"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464" spans="1:17" x14ac:dyDescent="0.2">
      <c r="A464" t="s">
        <v>94</v>
      </c>
      <c r="B464" s="1">
        <v>45125</v>
      </c>
      <c r="C464" t="s">
        <v>12</v>
      </c>
      <c r="D464" t="s">
        <v>19</v>
      </c>
      <c r="E464" t="s">
        <v>14</v>
      </c>
      <c r="F464" t="s">
        <v>26</v>
      </c>
      <c r="G464">
        <v>0</v>
      </c>
      <c r="H464">
        <f>Table1[[#This Row],[UnitPrice]]*0.7*Table1[[#This Row],[UnitsSold]]</f>
        <v>0</v>
      </c>
      <c r="I464">
        <v>1002.870425531915</v>
      </c>
      <c r="J464">
        <v>0</v>
      </c>
      <c r="K464" t="s">
        <v>52</v>
      </c>
      <c r="L464" t="s">
        <v>17</v>
      </c>
      <c r="M464" s="3">
        <f t="shared" si="21"/>
        <v>0</v>
      </c>
      <c r="N464" t="str">
        <f t="shared" si="22"/>
        <v>July</v>
      </c>
      <c r="O464" t="str">
        <f t="shared" si="23"/>
        <v>2023</v>
      </c>
      <c r="P464" s="3">
        <f>Table1[[#This Row],[Revenue]]-Table1[[#This Row],[Cost]]</f>
        <v>0</v>
      </c>
      <c r="Q46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65" spans="1:17" x14ac:dyDescent="0.2">
      <c r="A465" t="s">
        <v>137</v>
      </c>
      <c r="B465" s="1">
        <v>45280</v>
      </c>
      <c r="C465" t="s">
        <v>246</v>
      </c>
      <c r="D465" t="s">
        <v>83</v>
      </c>
      <c r="E465" t="s">
        <v>25</v>
      </c>
      <c r="F465" t="s">
        <v>26</v>
      </c>
      <c r="G465">
        <v>0</v>
      </c>
      <c r="H465">
        <f>Table1[[#This Row],[UnitPrice]]*0.7*Table1[[#This Row],[UnitsSold]]</f>
        <v>0</v>
      </c>
      <c r="I465">
        <v>1006.31</v>
      </c>
      <c r="J465">
        <v>0</v>
      </c>
      <c r="K465" t="s">
        <v>248</v>
      </c>
      <c r="L465" t="s">
        <v>249</v>
      </c>
      <c r="M465" s="3">
        <f t="shared" si="21"/>
        <v>0</v>
      </c>
      <c r="N465" t="str">
        <f t="shared" si="22"/>
        <v>December</v>
      </c>
      <c r="O465" t="str">
        <f t="shared" si="23"/>
        <v>2023</v>
      </c>
      <c r="P465" s="3">
        <f>Table1[[#This Row],[Revenue]]-Table1[[#This Row],[Cost]]</f>
        <v>0</v>
      </c>
      <c r="Q46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66" spans="1:17" x14ac:dyDescent="0.2">
      <c r="A466" t="s">
        <v>154</v>
      </c>
      <c r="B466" s="1">
        <v>45138</v>
      </c>
      <c r="C466" t="s">
        <v>29</v>
      </c>
      <c r="D466" t="s">
        <v>83</v>
      </c>
      <c r="E466" t="s">
        <v>46</v>
      </c>
      <c r="F466" t="s">
        <v>26</v>
      </c>
      <c r="G466">
        <v>0</v>
      </c>
      <c r="H466">
        <f>Table1[[#This Row],[UnitPrice]]*0.7*Table1[[#This Row],[UnitsSold]]</f>
        <v>0</v>
      </c>
      <c r="I466">
        <v>1794.27</v>
      </c>
      <c r="J466">
        <v>0.26</v>
      </c>
      <c r="K466" t="s">
        <v>52</v>
      </c>
      <c r="L466" t="s">
        <v>55</v>
      </c>
      <c r="M466" s="3">
        <f t="shared" si="21"/>
        <v>0</v>
      </c>
      <c r="N466" t="str">
        <f t="shared" si="22"/>
        <v>July</v>
      </c>
      <c r="O466" t="str">
        <f t="shared" si="23"/>
        <v>2023</v>
      </c>
      <c r="P466" s="3">
        <f>Table1[[#This Row],[Revenue]]-Table1[[#This Row],[Cost]]</f>
        <v>0</v>
      </c>
      <c r="Q46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67" spans="1:17" x14ac:dyDescent="0.2">
      <c r="A467" t="s">
        <v>87</v>
      </c>
      <c r="B467" s="1">
        <v>45259</v>
      </c>
      <c r="C467" t="s">
        <v>246</v>
      </c>
      <c r="D467" t="s">
        <v>13</v>
      </c>
      <c r="E467" t="s">
        <v>48</v>
      </c>
      <c r="F467" t="s">
        <v>39</v>
      </c>
      <c r="G467">
        <v>3</v>
      </c>
      <c r="H467">
        <f>Table1[[#This Row],[UnitPrice]]*0.7*Table1[[#This Row],[UnitsSold]]</f>
        <v>2136.3483191489358</v>
      </c>
      <c r="I467">
        <v>1017.3087234042553</v>
      </c>
      <c r="J467">
        <v>0</v>
      </c>
      <c r="K467" t="s">
        <v>283</v>
      </c>
      <c r="L467" t="s">
        <v>22</v>
      </c>
      <c r="M467" s="3">
        <f t="shared" si="21"/>
        <v>3051.926170212766</v>
      </c>
      <c r="N467" t="str">
        <f t="shared" si="22"/>
        <v>November</v>
      </c>
      <c r="O467" t="str">
        <f t="shared" si="23"/>
        <v>2023</v>
      </c>
      <c r="P467" s="3">
        <f>Table1[[#This Row],[Revenue]]-Table1[[#This Row],[Cost]]</f>
        <v>915.57785106383017</v>
      </c>
      <c r="Q467"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468" spans="1:17" x14ac:dyDescent="0.2">
      <c r="A468" t="s">
        <v>139</v>
      </c>
      <c r="B468" s="1">
        <v>45188</v>
      </c>
      <c r="C468" t="s">
        <v>246</v>
      </c>
      <c r="D468" t="s">
        <v>83</v>
      </c>
      <c r="E468" t="s">
        <v>44</v>
      </c>
      <c r="F468" t="s">
        <v>26</v>
      </c>
      <c r="G468">
        <v>2</v>
      </c>
      <c r="H468">
        <f>Table1[[#This Row],[UnitPrice]]*0.7*Table1[[#This Row],[UnitsSold]]</f>
        <v>1511.407234042553</v>
      </c>
      <c r="I468">
        <v>1079.5765957446808</v>
      </c>
      <c r="J468">
        <v>0.26</v>
      </c>
      <c r="K468" t="s">
        <v>16</v>
      </c>
      <c r="L468" t="s">
        <v>249</v>
      </c>
      <c r="M468" s="3">
        <f t="shared" si="21"/>
        <v>1597.7733617021277</v>
      </c>
      <c r="N468" t="str">
        <f t="shared" si="22"/>
        <v>September</v>
      </c>
      <c r="O468" t="str">
        <f t="shared" si="23"/>
        <v>2023</v>
      </c>
      <c r="P468" s="3">
        <f>Table1[[#This Row],[Revenue]]-Table1[[#This Row],[Cost]]</f>
        <v>86.366127659574659</v>
      </c>
      <c r="Q468" s="6">
        <f>IF(Table1[[#This Row],[UnitsSold]]*Table1[[#This Row],[UnitPrice]]*(1-Table1[[#This Row],[Discount]])=0, 0, ((Table1[[#This Row],[UnitsSold]]*Table1[[#This Row],[UnitPrice]]*(1-Table1[[#This Row],[Discount]])) - (Table1[[#This Row],[UnitsSold]]*Table1[[#This Row],[UnitPrice]]*0.7)) / (Table1[[#This Row],[UnitsSold]]*Table1[[#This Row],[UnitPrice]]*(1-Table1[[#This Row],[Discount]])))</f>
        <v>5.4054054054054175E-2</v>
      </c>
    </row>
    <row r="469" spans="1:17" x14ac:dyDescent="0.2">
      <c r="A469" t="s">
        <v>75</v>
      </c>
      <c r="B469" s="1">
        <v>45320</v>
      </c>
      <c r="C469" t="s">
        <v>12</v>
      </c>
      <c r="D469" t="s">
        <v>83</v>
      </c>
      <c r="E469" t="s">
        <v>14</v>
      </c>
      <c r="F469" t="s">
        <v>26</v>
      </c>
      <c r="G469">
        <v>0</v>
      </c>
      <c r="H469">
        <f>Table1[[#This Row],[UnitPrice]]*0.7*Table1[[#This Row],[UnitsSold]]</f>
        <v>0</v>
      </c>
      <c r="I469">
        <v>1256.6400000000001</v>
      </c>
      <c r="J469">
        <v>0.27</v>
      </c>
      <c r="K469" t="s">
        <v>16</v>
      </c>
      <c r="L469" t="s">
        <v>17</v>
      </c>
      <c r="M469" s="3">
        <f t="shared" si="21"/>
        <v>0</v>
      </c>
      <c r="N469" t="str">
        <f t="shared" si="22"/>
        <v>January</v>
      </c>
      <c r="O469" t="str">
        <f t="shared" si="23"/>
        <v>2024</v>
      </c>
      <c r="P469" s="3">
        <f>Table1[[#This Row],[Revenue]]-Table1[[#This Row],[Cost]]</f>
        <v>0</v>
      </c>
      <c r="Q46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70" spans="1:17" x14ac:dyDescent="0.2">
      <c r="A470" t="s">
        <v>99</v>
      </c>
      <c r="B470" s="1">
        <v>45056</v>
      </c>
      <c r="C470" t="s">
        <v>12</v>
      </c>
      <c r="D470" t="s">
        <v>83</v>
      </c>
      <c r="E470" t="s">
        <v>38</v>
      </c>
      <c r="F470" t="s">
        <v>34</v>
      </c>
      <c r="G470">
        <v>18</v>
      </c>
      <c r="H470">
        <f>Table1[[#This Row],[UnitPrice]]*0.7*Table1[[#This Row],[UnitsSold]]</f>
        <v>11803.639909090909</v>
      </c>
      <c r="I470">
        <v>936.79681818181825</v>
      </c>
      <c r="J470">
        <v>0</v>
      </c>
      <c r="K470" t="s">
        <v>283</v>
      </c>
      <c r="L470" t="s">
        <v>22</v>
      </c>
      <c r="M470" s="3">
        <f t="shared" si="21"/>
        <v>16862.342727272728</v>
      </c>
      <c r="N470" t="str">
        <f t="shared" si="22"/>
        <v>May</v>
      </c>
      <c r="O470" t="str">
        <f t="shared" si="23"/>
        <v>2023</v>
      </c>
      <c r="P470" s="3">
        <f>Table1[[#This Row],[Revenue]]-Table1[[#This Row],[Cost]]</f>
        <v>5058.7028181818187</v>
      </c>
      <c r="Q47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471" spans="1:17" x14ac:dyDescent="0.2">
      <c r="A471" t="s">
        <v>125</v>
      </c>
      <c r="B471" s="1">
        <v>45136</v>
      </c>
      <c r="C471" t="s">
        <v>57</v>
      </c>
      <c r="D471" t="s">
        <v>19</v>
      </c>
      <c r="E471" t="s">
        <v>44</v>
      </c>
      <c r="F471" t="s">
        <v>26</v>
      </c>
      <c r="G471">
        <v>1</v>
      </c>
      <c r="H471">
        <f>Table1[[#This Row],[UnitPrice]]*0.7*Table1[[#This Row],[UnitsSold]]</f>
        <v>755.7036170212765</v>
      </c>
      <c r="I471">
        <v>1079.5765957446808</v>
      </c>
      <c r="J471">
        <v>0</v>
      </c>
      <c r="K471" t="s">
        <v>16</v>
      </c>
      <c r="L471" t="s">
        <v>27</v>
      </c>
      <c r="M471" s="3">
        <f t="shared" si="21"/>
        <v>1079.5765957446808</v>
      </c>
      <c r="N471" t="str">
        <f t="shared" si="22"/>
        <v>July</v>
      </c>
      <c r="O471" t="str">
        <f t="shared" si="23"/>
        <v>2023</v>
      </c>
      <c r="P471" s="3">
        <f>Table1[[#This Row],[Revenue]]-Table1[[#This Row],[Cost]]</f>
        <v>323.87297872340434</v>
      </c>
      <c r="Q47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472" spans="1:17" x14ac:dyDescent="0.2">
      <c r="A472" t="s">
        <v>171</v>
      </c>
      <c r="B472" s="1">
        <v>45002</v>
      </c>
      <c r="C472" t="s">
        <v>12</v>
      </c>
      <c r="D472" t="s">
        <v>13</v>
      </c>
      <c r="E472" t="s">
        <v>14</v>
      </c>
      <c r="F472" t="s">
        <v>26</v>
      </c>
      <c r="G472">
        <v>5</v>
      </c>
      <c r="H472">
        <f>Table1[[#This Row],[UnitPrice]]*0.7*Table1[[#This Row],[UnitsSold]]</f>
        <v>3510.0464893617022</v>
      </c>
      <c r="I472">
        <v>1002.870425531915</v>
      </c>
      <c r="J472">
        <v>0.09</v>
      </c>
      <c r="K472" t="s">
        <v>16</v>
      </c>
      <c r="L472" t="s">
        <v>27</v>
      </c>
      <c r="M472" s="3">
        <f t="shared" si="21"/>
        <v>4563.0604361702135</v>
      </c>
      <c r="N472" t="str">
        <f t="shared" si="22"/>
        <v>March</v>
      </c>
      <c r="O472" t="str">
        <f t="shared" si="23"/>
        <v>2023</v>
      </c>
      <c r="P472" s="3">
        <f>Table1[[#This Row],[Revenue]]-Table1[[#This Row],[Cost]]</f>
        <v>1053.0139468085113</v>
      </c>
      <c r="Q472" s="6">
        <f>IF(Table1[[#This Row],[UnitsSold]]*Table1[[#This Row],[UnitPrice]]*(1-Table1[[#This Row],[Discount]])=0, 0, ((Table1[[#This Row],[UnitsSold]]*Table1[[#This Row],[UnitPrice]]*(1-Table1[[#This Row],[Discount]])) - (Table1[[#This Row],[UnitsSold]]*Table1[[#This Row],[UnitPrice]]*0.7)) / (Table1[[#This Row],[UnitsSold]]*Table1[[#This Row],[UnitPrice]]*(1-Table1[[#This Row],[Discount]])))</f>
        <v>0.23076923076923087</v>
      </c>
    </row>
    <row r="473" spans="1:17" x14ac:dyDescent="0.2">
      <c r="A473" t="s">
        <v>140</v>
      </c>
      <c r="B473" s="1">
        <v>45018</v>
      </c>
      <c r="C473" t="s">
        <v>246</v>
      </c>
      <c r="D473" t="s">
        <v>13</v>
      </c>
      <c r="E473" t="s">
        <v>14</v>
      </c>
      <c r="F473" t="s">
        <v>26</v>
      </c>
      <c r="G473">
        <v>0</v>
      </c>
      <c r="H473">
        <f>Table1[[#This Row],[UnitPrice]]*0.7*Table1[[#This Row],[UnitsSold]]</f>
        <v>0</v>
      </c>
      <c r="I473">
        <v>1576.74</v>
      </c>
      <c r="J473">
        <v>0</v>
      </c>
      <c r="K473" t="s">
        <v>248</v>
      </c>
      <c r="L473" t="s">
        <v>55</v>
      </c>
      <c r="M473" s="3">
        <f t="shared" si="21"/>
        <v>0</v>
      </c>
      <c r="N473" t="str">
        <f t="shared" si="22"/>
        <v>April</v>
      </c>
      <c r="O473" t="str">
        <f t="shared" si="23"/>
        <v>2023</v>
      </c>
      <c r="P473" s="3">
        <f>Table1[[#This Row],[Revenue]]-Table1[[#This Row],[Cost]]</f>
        <v>0</v>
      </c>
      <c r="Q47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74" spans="1:17" x14ac:dyDescent="0.2">
      <c r="A474" t="s">
        <v>73</v>
      </c>
      <c r="B474" s="1">
        <v>44974</v>
      </c>
      <c r="C474" t="s">
        <v>24</v>
      </c>
      <c r="D474" t="s">
        <v>59</v>
      </c>
      <c r="E474" t="s">
        <v>14</v>
      </c>
      <c r="F474" t="s">
        <v>26</v>
      </c>
      <c r="G474">
        <v>0</v>
      </c>
      <c r="H474">
        <f>Table1[[#This Row],[UnitPrice]]*0.7*Table1[[#This Row],[UnitsSold]]</f>
        <v>0</v>
      </c>
      <c r="I474">
        <v>1688.19</v>
      </c>
      <c r="J474">
        <v>0.09</v>
      </c>
      <c r="K474" t="s">
        <v>16</v>
      </c>
      <c r="L474" t="s">
        <v>55</v>
      </c>
      <c r="M474" s="3">
        <f t="shared" si="21"/>
        <v>0</v>
      </c>
      <c r="N474" t="str">
        <f t="shared" si="22"/>
        <v>February</v>
      </c>
      <c r="O474" t="str">
        <f t="shared" si="23"/>
        <v>2023</v>
      </c>
      <c r="P474" s="3">
        <f>Table1[[#This Row],[Revenue]]-Table1[[#This Row],[Cost]]</f>
        <v>0</v>
      </c>
      <c r="Q47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75" spans="1:17" x14ac:dyDescent="0.2">
      <c r="A475" t="s">
        <v>74</v>
      </c>
      <c r="B475" s="1">
        <v>45196</v>
      </c>
      <c r="C475" t="s">
        <v>57</v>
      </c>
      <c r="D475" t="s">
        <v>31</v>
      </c>
      <c r="E475" t="s">
        <v>247</v>
      </c>
      <c r="F475" t="s">
        <v>26</v>
      </c>
      <c r="G475">
        <v>20</v>
      </c>
      <c r="H475">
        <f>Table1[[#This Row],[UnitPrice]]*0.7*Table1[[#This Row],[UnitsSold]]</f>
        <v>13739.042857142857</v>
      </c>
      <c r="I475">
        <v>981.36020408163256</v>
      </c>
      <c r="J475">
        <v>0</v>
      </c>
      <c r="K475" t="s">
        <v>16</v>
      </c>
      <c r="L475" t="s">
        <v>22</v>
      </c>
      <c r="M475" s="3">
        <f t="shared" si="21"/>
        <v>19627.204081632652</v>
      </c>
      <c r="N475" t="str">
        <f t="shared" si="22"/>
        <v>September</v>
      </c>
      <c r="O475" t="str">
        <f t="shared" si="23"/>
        <v>2023</v>
      </c>
      <c r="P475" s="3">
        <f>Table1[[#This Row],[Revenue]]-Table1[[#This Row],[Cost]]</f>
        <v>5888.1612244897951</v>
      </c>
      <c r="Q47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476" spans="1:17" x14ac:dyDescent="0.2">
      <c r="A476" t="s">
        <v>165</v>
      </c>
      <c r="B476" s="1">
        <v>45279</v>
      </c>
      <c r="C476" t="s">
        <v>24</v>
      </c>
      <c r="D476" t="s">
        <v>83</v>
      </c>
      <c r="E476" t="s">
        <v>44</v>
      </c>
      <c r="F476" t="s">
        <v>26</v>
      </c>
      <c r="G476">
        <v>0</v>
      </c>
      <c r="H476">
        <f>Table1[[#This Row],[UnitPrice]]*0.7*Table1[[#This Row],[UnitsSold]]</f>
        <v>0</v>
      </c>
      <c r="I476">
        <v>1079.5765957446808</v>
      </c>
      <c r="J476">
        <v>0.11</v>
      </c>
      <c r="K476" t="s">
        <v>248</v>
      </c>
      <c r="L476" t="s">
        <v>17</v>
      </c>
      <c r="M476" s="3">
        <f t="shared" si="21"/>
        <v>0</v>
      </c>
      <c r="N476" t="str">
        <f t="shared" si="22"/>
        <v>December</v>
      </c>
      <c r="O476" t="str">
        <f t="shared" si="23"/>
        <v>2023</v>
      </c>
      <c r="P476" s="3">
        <f>Table1[[#This Row],[Revenue]]-Table1[[#This Row],[Cost]]</f>
        <v>0</v>
      </c>
      <c r="Q47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77" spans="1:17" x14ac:dyDescent="0.2">
      <c r="A477" t="s">
        <v>108</v>
      </c>
      <c r="B477" s="1">
        <v>45193</v>
      </c>
      <c r="C477" t="s">
        <v>57</v>
      </c>
      <c r="D477" t="s">
        <v>83</v>
      </c>
      <c r="E477" t="s">
        <v>25</v>
      </c>
      <c r="F477" t="s">
        <v>26</v>
      </c>
      <c r="G477">
        <v>20</v>
      </c>
      <c r="H477">
        <f>Table1[[#This Row],[UnitPrice]]*0.7*Table1[[#This Row],[UnitsSold]]</f>
        <v>19881.259999999998</v>
      </c>
      <c r="I477">
        <v>1420.09</v>
      </c>
      <c r="J477">
        <v>0</v>
      </c>
      <c r="K477" t="s">
        <v>42</v>
      </c>
      <c r="L477" t="s">
        <v>27</v>
      </c>
      <c r="M477" s="3">
        <f t="shared" si="21"/>
        <v>28401.8</v>
      </c>
      <c r="N477" t="str">
        <f t="shared" si="22"/>
        <v>September</v>
      </c>
      <c r="O477" t="str">
        <f t="shared" si="23"/>
        <v>2023</v>
      </c>
      <c r="P477" s="3">
        <f>Table1[[#This Row],[Revenue]]-Table1[[#This Row],[Cost]]</f>
        <v>8520.5400000000009</v>
      </c>
      <c r="Q47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478" spans="1:17" x14ac:dyDescent="0.2">
      <c r="A478" t="s">
        <v>102</v>
      </c>
      <c r="B478" s="1">
        <v>45033</v>
      </c>
      <c r="C478" t="s">
        <v>57</v>
      </c>
      <c r="D478" t="s">
        <v>83</v>
      </c>
      <c r="E478" t="s">
        <v>46</v>
      </c>
      <c r="F478" t="s">
        <v>26</v>
      </c>
      <c r="G478">
        <v>0</v>
      </c>
      <c r="H478">
        <f>Table1[[#This Row],[UnitPrice]]*0.7*Table1[[#This Row],[UnitsSold]]</f>
        <v>0</v>
      </c>
      <c r="I478">
        <v>1614.03</v>
      </c>
      <c r="J478">
        <v>0</v>
      </c>
      <c r="K478" t="s">
        <v>283</v>
      </c>
      <c r="L478" t="s">
        <v>55</v>
      </c>
      <c r="M478" s="3">
        <f t="shared" si="21"/>
        <v>0</v>
      </c>
      <c r="N478" t="str">
        <f t="shared" si="22"/>
        <v>April</v>
      </c>
      <c r="O478" t="str">
        <f t="shared" si="23"/>
        <v>2023</v>
      </c>
      <c r="P478" s="3">
        <f>Table1[[#This Row],[Revenue]]-Table1[[#This Row],[Cost]]</f>
        <v>0</v>
      </c>
      <c r="Q47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79" spans="1:17" x14ac:dyDescent="0.2">
      <c r="A479" t="s">
        <v>170</v>
      </c>
      <c r="B479" s="1">
        <v>44961</v>
      </c>
      <c r="C479" t="s">
        <v>24</v>
      </c>
      <c r="D479" t="s">
        <v>59</v>
      </c>
      <c r="E479" t="s">
        <v>44</v>
      </c>
      <c r="F479" t="s">
        <v>26</v>
      </c>
      <c r="G479">
        <v>11</v>
      </c>
      <c r="H479">
        <f>Table1[[#This Row],[UnitPrice]]*0.7*Table1[[#This Row],[UnitsSold]]</f>
        <v>8312.7397872340407</v>
      </c>
      <c r="I479">
        <v>1079.5765957446808</v>
      </c>
      <c r="J479">
        <v>0</v>
      </c>
      <c r="K479" t="s">
        <v>248</v>
      </c>
      <c r="L479" t="s">
        <v>17</v>
      </c>
      <c r="M479" s="3">
        <f t="shared" si="21"/>
        <v>11875.342553191489</v>
      </c>
      <c r="N479" t="str">
        <f t="shared" si="22"/>
        <v>February</v>
      </c>
      <c r="O479" t="str">
        <f t="shared" si="23"/>
        <v>2023</v>
      </c>
      <c r="P479" s="3">
        <f>Table1[[#This Row],[Revenue]]-Table1[[#This Row],[Cost]]</f>
        <v>3562.6027659574484</v>
      </c>
      <c r="Q479"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480" spans="1:17" x14ac:dyDescent="0.2">
      <c r="A480" t="s">
        <v>209</v>
      </c>
      <c r="B480" s="1">
        <v>45016</v>
      </c>
      <c r="C480" t="s">
        <v>37</v>
      </c>
      <c r="D480" t="s">
        <v>59</v>
      </c>
      <c r="E480" t="s">
        <v>25</v>
      </c>
      <c r="F480" t="s">
        <v>26</v>
      </c>
      <c r="G480">
        <v>0</v>
      </c>
      <c r="H480">
        <f>Table1[[#This Row],[UnitPrice]]*0.7*Table1[[#This Row],[UnitsSold]]</f>
        <v>0</v>
      </c>
      <c r="I480">
        <v>961.05661016949136</v>
      </c>
      <c r="J480">
        <v>0.04</v>
      </c>
      <c r="K480" t="s">
        <v>283</v>
      </c>
      <c r="L480" t="s">
        <v>22</v>
      </c>
      <c r="M480" s="3">
        <f t="shared" si="21"/>
        <v>0</v>
      </c>
      <c r="N480" t="str">
        <f t="shared" si="22"/>
        <v>March</v>
      </c>
      <c r="O480" t="str">
        <f t="shared" si="23"/>
        <v>2023</v>
      </c>
      <c r="P480" s="3">
        <f>Table1[[#This Row],[Revenue]]-Table1[[#This Row],[Cost]]</f>
        <v>0</v>
      </c>
      <c r="Q48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81" spans="1:17" x14ac:dyDescent="0.2">
      <c r="A481" t="s">
        <v>160</v>
      </c>
      <c r="B481" s="1">
        <v>45098</v>
      </c>
      <c r="C481" t="s">
        <v>57</v>
      </c>
      <c r="D481" t="s">
        <v>267</v>
      </c>
      <c r="E481" t="s">
        <v>25</v>
      </c>
      <c r="F481" t="s">
        <v>26</v>
      </c>
      <c r="G481">
        <v>0</v>
      </c>
      <c r="H481">
        <f>Table1[[#This Row],[UnitPrice]]*0.7*Table1[[#This Row],[UnitsSold]]</f>
        <v>0</v>
      </c>
      <c r="I481">
        <v>961.05661016949136</v>
      </c>
      <c r="J481">
        <v>0</v>
      </c>
      <c r="K481" t="s">
        <v>248</v>
      </c>
      <c r="L481" t="s">
        <v>27</v>
      </c>
      <c r="M481" s="3">
        <f t="shared" si="21"/>
        <v>0</v>
      </c>
      <c r="N481" t="str">
        <f t="shared" si="22"/>
        <v>June</v>
      </c>
      <c r="O481" t="str">
        <f t="shared" si="23"/>
        <v>2023</v>
      </c>
      <c r="P481" s="3">
        <f>Table1[[#This Row],[Revenue]]-Table1[[#This Row],[Cost]]</f>
        <v>0</v>
      </c>
      <c r="Q48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82" spans="1:17" x14ac:dyDescent="0.2">
      <c r="A482" t="s">
        <v>225</v>
      </c>
      <c r="B482" s="1">
        <v>45222</v>
      </c>
      <c r="C482" t="s">
        <v>29</v>
      </c>
      <c r="D482" t="s">
        <v>267</v>
      </c>
      <c r="E482" t="s">
        <v>25</v>
      </c>
      <c r="F482" t="s">
        <v>26</v>
      </c>
      <c r="G482">
        <v>3</v>
      </c>
      <c r="H482">
        <f>Table1[[#This Row],[UnitPrice]]*0.7*Table1[[#This Row],[UnitsSold]]</f>
        <v>1193.0519999999999</v>
      </c>
      <c r="I482">
        <v>568.12</v>
      </c>
      <c r="J482">
        <v>0</v>
      </c>
      <c r="K482" t="s">
        <v>283</v>
      </c>
      <c r="L482" t="s">
        <v>17</v>
      </c>
      <c r="M482" s="3">
        <f t="shared" si="21"/>
        <v>1704.3600000000001</v>
      </c>
      <c r="N482" t="str">
        <f t="shared" si="22"/>
        <v>October</v>
      </c>
      <c r="O482" t="str">
        <f t="shared" si="23"/>
        <v>2023</v>
      </c>
      <c r="P482" s="3">
        <f>Table1[[#This Row],[Revenue]]-Table1[[#This Row],[Cost]]</f>
        <v>511.30800000000022</v>
      </c>
      <c r="Q48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483" spans="1:17" x14ac:dyDescent="0.2">
      <c r="A483" t="s">
        <v>114</v>
      </c>
      <c r="B483" s="1">
        <v>45219</v>
      </c>
      <c r="C483" t="s">
        <v>57</v>
      </c>
      <c r="D483" t="s">
        <v>19</v>
      </c>
      <c r="E483" t="s">
        <v>44</v>
      </c>
      <c r="F483" t="s">
        <v>26</v>
      </c>
      <c r="G483">
        <v>0</v>
      </c>
      <c r="H483">
        <f>Table1[[#This Row],[UnitPrice]]*0.7*Table1[[#This Row],[UnitsSold]]</f>
        <v>0</v>
      </c>
      <c r="I483">
        <v>1079.5765957446808</v>
      </c>
      <c r="J483">
        <v>0</v>
      </c>
      <c r="K483" t="s">
        <v>16</v>
      </c>
      <c r="L483" t="s">
        <v>22</v>
      </c>
      <c r="M483" s="3">
        <f t="shared" si="21"/>
        <v>0</v>
      </c>
      <c r="N483" t="str">
        <f t="shared" si="22"/>
        <v>October</v>
      </c>
      <c r="O483" t="str">
        <f t="shared" si="23"/>
        <v>2023</v>
      </c>
      <c r="P483" s="3">
        <f>Table1[[#This Row],[Revenue]]-Table1[[#This Row],[Cost]]</f>
        <v>0</v>
      </c>
      <c r="Q48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84" spans="1:17" x14ac:dyDescent="0.2">
      <c r="A484" t="s">
        <v>198</v>
      </c>
      <c r="B484" s="1">
        <v>45117</v>
      </c>
      <c r="C484" t="s">
        <v>57</v>
      </c>
      <c r="D484" t="s">
        <v>267</v>
      </c>
      <c r="E484" t="s">
        <v>14</v>
      </c>
      <c r="F484" t="s">
        <v>26</v>
      </c>
      <c r="G484">
        <v>0</v>
      </c>
      <c r="H484">
        <f>Table1[[#This Row],[UnitPrice]]*0.7*Table1[[#This Row],[UnitsSold]]</f>
        <v>0</v>
      </c>
      <c r="I484">
        <v>1002.870425531915</v>
      </c>
      <c r="J484">
        <v>0.24</v>
      </c>
      <c r="K484" t="s">
        <v>16</v>
      </c>
      <c r="L484" t="s">
        <v>22</v>
      </c>
      <c r="M484" s="3">
        <f t="shared" si="21"/>
        <v>0</v>
      </c>
      <c r="N484" t="str">
        <f t="shared" si="22"/>
        <v>July</v>
      </c>
      <c r="O484" t="str">
        <f t="shared" si="23"/>
        <v>2023</v>
      </c>
      <c r="P484" s="3">
        <f>Table1[[#This Row],[Revenue]]-Table1[[#This Row],[Cost]]</f>
        <v>0</v>
      </c>
      <c r="Q48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85" spans="1:17" x14ac:dyDescent="0.2">
      <c r="A485" t="s">
        <v>91</v>
      </c>
      <c r="B485" s="1">
        <v>44939</v>
      </c>
      <c r="C485" t="s">
        <v>57</v>
      </c>
      <c r="D485" t="s">
        <v>31</v>
      </c>
      <c r="E485" t="s">
        <v>247</v>
      </c>
      <c r="F485" t="s">
        <v>26</v>
      </c>
      <c r="G485">
        <v>0</v>
      </c>
      <c r="H485">
        <f>Table1[[#This Row],[UnitPrice]]*0.7*Table1[[#This Row],[UnitsSold]]</f>
        <v>0</v>
      </c>
      <c r="I485">
        <v>981.36020408163256</v>
      </c>
      <c r="J485">
        <v>0</v>
      </c>
      <c r="K485" t="s">
        <v>16</v>
      </c>
      <c r="L485" t="s">
        <v>27</v>
      </c>
      <c r="M485" s="3">
        <f t="shared" si="21"/>
        <v>0</v>
      </c>
      <c r="N485" t="str">
        <f t="shared" si="22"/>
        <v>January</v>
      </c>
      <c r="O485" t="str">
        <f t="shared" si="23"/>
        <v>2023</v>
      </c>
      <c r="P485" s="3">
        <f>Table1[[#This Row],[Revenue]]-Table1[[#This Row],[Cost]]</f>
        <v>0</v>
      </c>
      <c r="Q48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86" spans="1:17" x14ac:dyDescent="0.2">
      <c r="A486" t="s">
        <v>184</v>
      </c>
      <c r="B486" s="1">
        <v>45273</v>
      </c>
      <c r="C486" t="s">
        <v>246</v>
      </c>
      <c r="D486" t="s">
        <v>19</v>
      </c>
      <c r="E486" t="s">
        <v>48</v>
      </c>
      <c r="F486" t="s">
        <v>39</v>
      </c>
      <c r="G486">
        <v>0</v>
      </c>
      <c r="H486">
        <f>Table1[[#This Row],[UnitPrice]]*0.7*Table1[[#This Row],[UnitsSold]]</f>
        <v>0</v>
      </c>
      <c r="I486">
        <v>1017.3087234042553</v>
      </c>
      <c r="J486">
        <v>0</v>
      </c>
      <c r="K486" t="s">
        <v>16</v>
      </c>
      <c r="L486" t="s">
        <v>17</v>
      </c>
      <c r="M486" s="3">
        <f t="shared" si="21"/>
        <v>0</v>
      </c>
      <c r="N486" t="str">
        <f t="shared" si="22"/>
        <v>December</v>
      </c>
      <c r="O486" t="str">
        <f t="shared" si="23"/>
        <v>2023</v>
      </c>
      <c r="P486" s="3">
        <f>Table1[[#This Row],[Revenue]]-Table1[[#This Row],[Cost]]</f>
        <v>0</v>
      </c>
      <c r="Q48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87" spans="1:17" x14ac:dyDescent="0.2">
      <c r="A487" t="s">
        <v>201</v>
      </c>
      <c r="B487" s="1">
        <v>45097</v>
      </c>
      <c r="C487" t="s">
        <v>57</v>
      </c>
      <c r="D487" t="s">
        <v>19</v>
      </c>
      <c r="E487" t="s">
        <v>46</v>
      </c>
      <c r="F487" t="s">
        <v>26</v>
      </c>
      <c r="G487">
        <v>10</v>
      </c>
      <c r="H487">
        <f>Table1[[#This Row],[UnitPrice]]*0.7*Table1[[#This Row],[UnitsSold]]</f>
        <v>7742.1833333333288</v>
      </c>
      <c r="I487">
        <v>1106.0261904761899</v>
      </c>
      <c r="J487">
        <v>0.19</v>
      </c>
      <c r="K487" t="s">
        <v>52</v>
      </c>
      <c r="L487" t="s">
        <v>249</v>
      </c>
      <c r="M487" s="3">
        <f t="shared" si="21"/>
        <v>8958.8121428571394</v>
      </c>
      <c r="N487" t="str">
        <f t="shared" si="22"/>
        <v>June</v>
      </c>
      <c r="O487" t="str">
        <f t="shared" si="23"/>
        <v>2023</v>
      </c>
      <c r="P487" s="3">
        <f>Table1[[#This Row],[Revenue]]-Table1[[#This Row],[Cost]]</f>
        <v>1216.6288095238106</v>
      </c>
      <c r="Q487" s="6">
        <f>IF(Table1[[#This Row],[UnitsSold]]*Table1[[#This Row],[UnitPrice]]*(1-Table1[[#This Row],[Discount]])=0, 0, ((Table1[[#This Row],[UnitsSold]]*Table1[[#This Row],[UnitPrice]]*(1-Table1[[#This Row],[Discount]])) - (Table1[[#This Row],[UnitsSold]]*Table1[[#This Row],[UnitPrice]]*0.7)) / (Table1[[#This Row],[UnitsSold]]*Table1[[#This Row],[UnitPrice]]*(1-Table1[[#This Row],[Discount]])))</f>
        <v>0.13580246913580263</v>
      </c>
    </row>
    <row r="488" spans="1:17" x14ac:dyDescent="0.2">
      <c r="A488" t="s">
        <v>231</v>
      </c>
      <c r="B488" s="1">
        <v>45073</v>
      </c>
      <c r="C488" t="s">
        <v>24</v>
      </c>
      <c r="D488" t="s">
        <v>31</v>
      </c>
      <c r="E488" t="s">
        <v>14</v>
      </c>
      <c r="F488" t="s">
        <v>26</v>
      </c>
      <c r="G488">
        <v>0</v>
      </c>
      <c r="H488">
        <f>Table1[[#This Row],[UnitPrice]]*0.7*Table1[[#This Row],[UnitsSold]]</f>
        <v>0</v>
      </c>
      <c r="I488">
        <v>1002.870425531915</v>
      </c>
      <c r="J488">
        <v>0</v>
      </c>
      <c r="K488" t="s">
        <v>248</v>
      </c>
      <c r="L488" t="s">
        <v>17</v>
      </c>
      <c r="M488" s="3">
        <f t="shared" si="21"/>
        <v>0</v>
      </c>
      <c r="N488" t="str">
        <f t="shared" si="22"/>
        <v>May</v>
      </c>
      <c r="O488" t="str">
        <f t="shared" si="23"/>
        <v>2023</v>
      </c>
      <c r="P488" s="3">
        <f>Table1[[#This Row],[Revenue]]-Table1[[#This Row],[Cost]]</f>
        <v>0</v>
      </c>
      <c r="Q48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89" spans="1:17" x14ac:dyDescent="0.2">
      <c r="A489" t="s">
        <v>97</v>
      </c>
      <c r="B489" s="1">
        <v>45032</v>
      </c>
      <c r="C489" t="s">
        <v>29</v>
      </c>
      <c r="D489" t="s">
        <v>31</v>
      </c>
      <c r="E489" t="s">
        <v>14</v>
      </c>
      <c r="F489" t="s">
        <v>26</v>
      </c>
      <c r="G489">
        <v>0</v>
      </c>
      <c r="H489">
        <f>Table1[[#This Row],[UnitPrice]]*0.7*Table1[[#This Row],[UnitsSold]]</f>
        <v>0</v>
      </c>
      <c r="I489">
        <v>1002.870425531915</v>
      </c>
      <c r="J489">
        <v>7.0000000000000007E-2</v>
      </c>
      <c r="K489" t="s">
        <v>52</v>
      </c>
      <c r="L489" t="s">
        <v>17</v>
      </c>
      <c r="M489" s="3">
        <f t="shared" si="21"/>
        <v>0</v>
      </c>
      <c r="N489" t="str">
        <f t="shared" si="22"/>
        <v>April</v>
      </c>
      <c r="O489" t="str">
        <f t="shared" si="23"/>
        <v>2023</v>
      </c>
      <c r="P489" s="3">
        <f>Table1[[#This Row],[Revenue]]-Table1[[#This Row],[Cost]]</f>
        <v>0</v>
      </c>
      <c r="Q48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90" spans="1:17" x14ac:dyDescent="0.2">
      <c r="A490" t="s">
        <v>150</v>
      </c>
      <c r="B490" s="1">
        <v>45203</v>
      </c>
      <c r="C490" t="s">
        <v>57</v>
      </c>
      <c r="D490" t="s">
        <v>19</v>
      </c>
      <c r="E490" t="s">
        <v>247</v>
      </c>
      <c r="F490" t="s">
        <v>26</v>
      </c>
      <c r="G490">
        <v>0</v>
      </c>
      <c r="H490">
        <f>Table1[[#This Row],[UnitPrice]]*0.7*Table1[[#This Row],[UnitsSold]]</f>
        <v>0</v>
      </c>
      <c r="I490">
        <v>981.36020408163256</v>
      </c>
      <c r="J490">
        <v>0</v>
      </c>
      <c r="K490" t="s">
        <v>42</v>
      </c>
      <c r="L490" t="s">
        <v>249</v>
      </c>
      <c r="M490" s="3">
        <f t="shared" si="21"/>
        <v>0</v>
      </c>
      <c r="N490" t="str">
        <f t="shared" si="22"/>
        <v>October</v>
      </c>
      <c r="O490" t="str">
        <f t="shared" si="23"/>
        <v>2023</v>
      </c>
      <c r="P490" s="3">
        <f>Table1[[#This Row],[Revenue]]-Table1[[#This Row],[Cost]]</f>
        <v>0</v>
      </c>
      <c r="Q49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91" spans="1:17" x14ac:dyDescent="0.2">
      <c r="A491" t="s">
        <v>157</v>
      </c>
      <c r="B491" s="1">
        <v>45232</v>
      </c>
      <c r="C491" t="s">
        <v>57</v>
      </c>
      <c r="D491" t="s">
        <v>31</v>
      </c>
      <c r="E491" t="s">
        <v>14</v>
      </c>
      <c r="F491" t="s">
        <v>26</v>
      </c>
      <c r="G491">
        <v>11</v>
      </c>
      <c r="H491">
        <f>Table1[[#This Row],[UnitPrice]]*0.7*Table1[[#This Row],[UnitsSold]]</f>
        <v>7722.102276595745</v>
      </c>
      <c r="I491">
        <v>1002.870425531915</v>
      </c>
      <c r="J491">
        <v>0.24</v>
      </c>
      <c r="K491" t="s">
        <v>42</v>
      </c>
      <c r="L491" t="s">
        <v>17</v>
      </c>
      <c r="M491" s="3">
        <f t="shared" si="21"/>
        <v>8383.9967574468101</v>
      </c>
      <c r="N491" t="str">
        <f t="shared" si="22"/>
        <v>November</v>
      </c>
      <c r="O491" t="str">
        <f t="shared" si="23"/>
        <v>2023</v>
      </c>
      <c r="P491" s="3">
        <f>Table1[[#This Row],[Revenue]]-Table1[[#This Row],[Cost]]</f>
        <v>661.89448085106505</v>
      </c>
      <c r="Q491" s="6">
        <f>IF(Table1[[#This Row],[UnitsSold]]*Table1[[#This Row],[UnitPrice]]*(1-Table1[[#This Row],[Discount]])=0, 0, ((Table1[[#This Row],[UnitsSold]]*Table1[[#This Row],[UnitPrice]]*(1-Table1[[#This Row],[Discount]])) - (Table1[[#This Row],[UnitsSold]]*Table1[[#This Row],[UnitPrice]]*0.7)) / (Table1[[#This Row],[UnitsSold]]*Table1[[#This Row],[UnitPrice]]*(1-Table1[[#This Row],[Discount]])))</f>
        <v>7.8947368421052766E-2</v>
      </c>
    </row>
    <row r="492" spans="1:17" x14ac:dyDescent="0.2">
      <c r="A492" t="s">
        <v>193</v>
      </c>
      <c r="B492" s="1">
        <v>44974</v>
      </c>
      <c r="C492" t="s">
        <v>57</v>
      </c>
      <c r="D492" t="s">
        <v>19</v>
      </c>
      <c r="E492" t="s">
        <v>38</v>
      </c>
      <c r="F492" t="s">
        <v>34</v>
      </c>
      <c r="G492">
        <v>0</v>
      </c>
      <c r="H492">
        <f>Table1[[#This Row],[UnitPrice]]*0.7*Table1[[#This Row],[UnitsSold]]</f>
        <v>0</v>
      </c>
      <c r="I492">
        <v>471.07</v>
      </c>
      <c r="J492">
        <v>0</v>
      </c>
      <c r="K492" t="s">
        <v>52</v>
      </c>
      <c r="L492" t="s">
        <v>55</v>
      </c>
      <c r="M492" s="3">
        <f t="shared" si="21"/>
        <v>0</v>
      </c>
      <c r="N492" t="str">
        <f t="shared" si="22"/>
        <v>February</v>
      </c>
      <c r="O492" t="str">
        <f t="shared" si="23"/>
        <v>2023</v>
      </c>
      <c r="P492" s="3">
        <f>Table1[[#This Row],[Revenue]]-Table1[[#This Row],[Cost]]</f>
        <v>0</v>
      </c>
      <c r="Q49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93" spans="1:17" x14ac:dyDescent="0.2">
      <c r="A493" t="s">
        <v>154</v>
      </c>
      <c r="B493" s="1">
        <v>45020</v>
      </c>
      <c r="C493" t="s">
        <v>29</v>
      </c>
      <c r="D493" t="s">
        <v>267</v>
      </c>
      <c r="E493" t="s">
        <v>25</v>
      </c>
      <c r="F493" t="s">
        <v>26</v>
      </c>
      <c r="G493">
        <v>0</v>
      </c>
      <c r="H493">
        <f>Table1[[#This Row],[UnitPrice]]*0.7*Table1[[#This Row],[UnitsSold]]</f>
        <v>0</v>
      </c>
      <c r="I493">
        <v>961.05661016949136</v>
      </c>
      <c r="J493">
        <v>0</v>
      </c>
      <c r="K493" t="s">
        <v>42</v>
      </c>
      <c r="L493" t="s">
        <v>249</v>
      </c>
      <c r="M493" s="3">
        <f t="shared" si="21"/>
        <v>0</v>
      </c>
      <c r="N493" t="str">
        <f t="shared" si="22"/>
        <v>April</v>
      </c>
      <c r="O493" t="str">
        <f t="shared" si="23"/>
        <v>2023</v>
      </c>
      <c r="P493" s="3">
        <f>Table1[[#This Row],[Revenue]]-Table1[[#This Row],[Cost]]</f>
        <v>0</v>
      </c>
      <c r="Q49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94" spans="1:17" x14ac:dyDescent="0.2">
      <c r="A494" t="s">
        <v>229</v>
      </c>
      <c r="B494" s="1">
        <v>45320</v>
      </c>
      <c r="C494" t="s">
        <v>29</v>
      </c>
      <c r="D494" t="s">
        <v>31</v>
      </c>
      <c r="E494" t="s">
        <v>44</v>
      </c>
      <c r="F494" t="s">
        <v>26</v>
      </c>
      <c r="G494">
        <v>17</v>
      </c>
      <c r="H494">
        <f>Table1[[#This Row],[UnitPrice]]*0.7*Table1[[#This Row],[UnitsSold]]</f>
        <v>12846.9614893617</v>
      </c>
      <c r="I494">
        <v>1079.5765957446808</v>
      </c>
      <c r="J494">
        <v>0</v>
      </c>
      <c r="K494" t="s">
        <v>248</v>
      </c>
      <c r="L494" t="s">
        <v>27</v>
      </c>
      <c r="M494" s="3">
        <f t="shared" si="21"/>
        <v>18352.802127659575</v>
      </c>
      <c r="N494" t="str">
        <f t="shared" si="22"/>
        <v>January</v>
      </c>
      <c r="O494" t="str">
        <f t="shared" si="23"/>
        <v>2024</v>
      </c>
      <c r="P494" s="3">
        <f>Table1[[#This Row],[Revenue]]-Table1[[#This Row],[Cost]]</f>
        <v>5505.8406382978756</v>
      </c>
      <c r="Q494"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495" spans="1:17" x14ac:dyDescent="0.2">
      <c r="A495" t="s">
        <v>79</v>
      </c>
      <c r="B495" s="1">
        <v>45199</v>
      </c>
      <c r="C495" t="s">
        <v>57</v>
      </c>
      <c r="D495" t="s">
        <v>83</v>
      </c>
      <c r="E495" t="s">
        <v>44</v>
      </c>
      <c r="F495" t="s">
        <v>26</v>
      </c>
      <c r="G495">
        <v>0</v>
      </c>
      <c r="H495">
        <f>Table1[[#This Row],[UnitPrice]]*0.7*Table1[[#This Row],[UnitsSold]]</f>
        <v>0</v>
      </c>
      <c r="I495">
        <v>494.95</v>
      </c>
      <c r="J495">
        <v>0</v>
      </c>
      <c r="K495" t="s">
        <v>16</v>
      </c>
      <c r="L495" t="s">
        <v>55</v>
      </c>
      <c r="M495" s="3">
        <f t="shared" si="21"/>
        <v>0</v>
      </c>
      <c r="N495" t="str">
        <f t="shared" si="22"/>
        <v>September</v>
      </c>
      <c r="O495" t="str">
        <f t="shared" si="23"/>
        <v>2023</v>
      </c>
      <c r="P495" s="3">
        <f>Table1[[#This Row],[Revenue]]-Table1[[#This Row],[Cost]]</f>
        <v>0</v>
      </c>
      <c r="Q49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96" spans="1:17" x14ac:dyDescent="0.2">
      <c r="A496" t="s">
        <v>225</v>
      </c>
      <c r="B496" s="1">
        <v>45282</v>
      </c>
      <c r="C496" t="s">
        <v>57</v>
      </c>
      <c r="D496" t="s">
        <v>267</v>
      </c>
      <c r="E496" t="s">
        <v>38</v>
      </c>
      <c r="F496" t="s">
        <v>34</v>
      </c>
      <c r="G496">
        <v>0</v>
      </c>
      <c r="H496">
        <f>Table1[[#This Row],[UnitPrice]]*0.7*Table1[[#This Row],[UnitsSold]]</f>
        <v>0</v>
      </c>
      <c r="I496">
        <v>1391.32</v>
      </c>
      <c r="J496">
        <v>0.2</v>
      </c>
      <c r="K496" t="s">
        <v>283</v>
      </c>
      <c r="L496" t="s">
        <v>17</v>
      </c>
      <c r="M496" s="3">
        <f t="shared" si="21"/>
        <v>0</v>
      </c>
      <c r="N496" t="str">
        <f t="shared" si="22"/>
        <v>December</v>
      </c>
      <c r="O496" t="str">
        <f t="shared" si="23"/>
        <v>2023</v>
      </c>
      <c r="P496" s="3">
        <f>Table1[[#This Row],[Revenue]]-Table1[[#This Row],[Cost]]</f>
        <v>0</v>
      </c>
      <c r="Q49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497" spans="1:17" x14ac:dyDescent="0.2">
      <c r="A497" t="s">
        <v>214</v>
      </c>
      <c r="B497" s="1">
        <v>44985</v>
      </c>
      <c r="C497" t="s">
        <v>57</v>
      </c>
      <c r="D497" t="s">
        <v>59</v>
      </c>
      <c r="E497" t="s">
        <v>44</v>
      </c>
      <c r="F497" t="s">
        <v>26</v>
      </c>
      <c r="G497">
        <v>15</v>
      </c>
      <c r="H497">
        <f>Table1[[#This Row],[UnitPrice]]*0.7*Table1[[#This Row],[UnitsSold]]</f>
        <v>11335.554255319148</v>
      </c>
      <c r="I497">
        <v>1079.5765957446808</v>
      </c>
      <c r="J497">
        <v>0.02</v>
      </c>
      <c r="K497" t="s">
        <v>283</v>
      </c>
      <c r="L497" t="s">
        <v>17</v>
      </c>
      <c r="M497" s="3">
        <f t="shared" si="21"/>
        <v>15869.775957446809</v>
      </c>
      <c r="N497" t="str">
        <f t="shared" si="22"/>
        <v>February</v>
      </c>
      <c r="O497" t="str">
        <f t="shared" si="23"/>
        <v>2023</v>
      </c>
      <c r="P497" s="3">
        <f>Table1[[#This Row],[Revenue]]-Table1[[#This Row],[Cost]]</f>
        <v>4534.221702127661</v>
      </c>
      <c r="Q497" s="6">
        <f>IF(Table1[[#This Row],[UnitsSold]]*Table1[[#This Row],[UnitPrice]]*(1-Table1[[#This Row],[Discount]])=0, 0, ((Table1[[#This Row],[UnitsSold]]*Table1[[#This Row],[UnitPrice]]*(1-Table1[[#This Row],[Discount]])) - (Table1[[#This Row],[UnitsSold]]*Table1[[#This Row],[UnitPrice]]*0.7)) / (Table1[[#This Row],[UnitsSold]]*Table1[[#This Row],[UnitPrice]]*(1-Table1[[#This Row],[Discount]])))</f>
        <v>0.28571428571428581</v>
      </c>
    </row>
    <row r="498" spans="1:17" x14ac:dyDescent="0.2">
      <c r="A498" t="s">
        <v>211</v>
      </c>
      <c r="B498" s="1">
        <v>45121</v>
      </c>
      <c r="C498" t="s">
        <v>29</v>
      </c>
      <c r="D498" t="s">
        <v>83</v>
      </c>
      <c r="E498" t="s">
        <v>48</v>
      </c>
      <c r="F498" t="s">
        <v>39</v>
      </c>
      <c r="G498">
        <v>3</v>
      </c>
      <c r="H498">
        <f>Table1[[#This Row],[UnitPrice]]*0.7*Table1[[#This Row],[UnitsSold]]</f>
        <v>2136.3483191489358</v>
      </c>
      <c r="I498">
        <v>1017.3087234042553</v>
      </c>
      <c r="J498">
        <v>0</v>
      </c>
      <c r="K498" t="s">
        <v>16</v>
      </c>
      <c r="L498" t="s">
        <v>249</v>
      </c>
      <c r="M498" s="3">
        <f t="shared" si="21"/>
        <v>3051.926170212766</v>
      </c>
      <c r="N498" t="str">
        <f t="shared" si="22"/>
        <v>July</v>
      </c>
      <c r="O498" t="str">
        <f t="shared" si="23"/>
        <v>2023</v>
      </c>
      <c r="P498" s="3">
        <f>Table1[[#This Row],[Revenue]]-Table1[[#This Row],[Cost]]</f>
        <v>915.57785106383017</v>
      </c>
      <c r="Q498"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499" spans="1:17" x14ac:dyDescent="0.2">
      <c r="A499" t="s">
        <v>100</v>
      </c>
      <c r="B499" s="1">
        <v>45003</v>
      </c>
      <c r="C499" t="s">
        <v>57</v>
      </c>
      <c r="D499" t="s">
        <v>31</v>
      </c>
      <c r="E499" t="s">
        <v>14</v>
      </c>
      <c r="F499" t="s">
        <v>26</v>
      </c>
      <c r="G499">
        <v>0</v>
      </c>
      <c r="H499">
        <f>Table1[[#This Row],[UnitPrice]]*0.7*Table1[[#This Row],[UnitsSold]]</f>
        <v>0</v>
      </c>
      <c r="I499">
        <v>899.85</v>
      </c>
      <c r="J499">
        <v>0</v>
      </c>
      <c r="K499" t="s">
        <v>52</v>
      </c>
      <c r="L499" t="s">
        <v>17</v>
      </c>
      <c r="M499" s="3">
        <f t="shared" si="21"/>
        <v>0</v>
      </c>
      <c r="N499" t="str">
        <f t="shared" si="22"/>
        <v>March</v>
      </c>
      <c r="O499" t="str">
        <f t="shared" si="23"/>
        <v>2023</v>
      </c>
      <c r="P499" s="3">
        <f>Table1[[#This Row],[Revenue]]-Table1[[#This Row],[Cost]]</f>
        <v>0</v>
      </c>
      <c r="Q49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00" spans="1:17" x14ac:dyDescent="0.2">
      <c r="A500" t="s">
        <v>218</v>
      </c>
      <c r="B500" s="1">
        <v>45082</v>
      </c>
      <c r="C500" t="s">
        <v>57</v>
      </c>
      <c r="D500" t="s">
        <v>13</v>
      </c>
      <c r="E500" t="s">
        <v>14</v>
      </c>
      <c r="F500" t="s">
        <v>26</v>
      </c>
      <c r="G500">
        <v>19</v>
      </c>
      <c r="H500">
        <f>Table1[[#This Row],[UnitPrice]]*0.7*Table1[[#This Row],[UnitsSold]]</f>
        <v>13338.176659574468</v>
      </c>
      <c r="I500">
        <v>1002.870425531915</v>
      </c>
      <c r="J500">
        <v>0.12</v>
      </c>
      <c r="K500" t="s">
        <v>52</v>
      </c>
      <c r="L500" t="s">
        <v>27</v>
      </c>
      <c r="M500" s="3">
        <f t="shared" si="21"/>
        <v>16767.99351489362</v>
      </c>
      <c r="N500" t="str">
        <f t="shared" si="22"/>
        <v>June</v>
      </c>
      <c r="O500" t="str">
        <f t="shared" si="23"/>
        <v>2023</v>
      </c>
      <c r="P500" s="3">
        <f>Table1[[#This Row],[Revenue]]-Table1[[#This Row],[Cost]]</f>
        <v>3429.8168553191517</v>
      </c>
      <c r="Q500" s="6">
        <f>IF(Table1[[#This Row],[UnitsSold]]*Table1[[#This Row],[UnitPrice]]*(1-Table1[[#This Row],[Discount]])=0, 0, ((Table1[[#This Row],[UnitsSold]]*Table1[[#This Row],[UnitPrice]]*(1-Table1[[#This Row],[Discount]])) - (Table1[[#This Row],[UnitsSold]]*Table1[[#This Row],[UnitPrice]]*0.7)) / (Table1[[#This Row],[UnitsSold]]*Table1[[#This Row],[UnitPrice]]*(1-Table1[[#This Row],[Discount]])))</f>
        <v>0.20454545454545467</v>
      </c>
    </row>
    <row r="501" spans="1:17" x14ac:dyDescent="0.2">
      <c r="A501" t="s">
        <v>95</v>
      </c>
      <c r="B501" s="1">
        <v>45208</v>
      </c>
      <c r="C501" t="s">
        <v>12</v>
      </c>
      <c r="D501" t="s">
        <v>19</v>
      </c>
      <c r="E501" t="s">
        <v>48</v>
      </c>
      <c r="F501" t="s">
        <v>39</v>
      </c>
      <c r="G501">
        <v>12</v>
      </c>
      <c r="H501">
        <f>Table1[[#This Row],[UnitPrice]]*0.7*Table1[[#This Row],[UnitsSold]]</f>
        <v>14480.591999999999</v>
      </c>
      <c r="I501">
        <v>1723.88</v>
      </c>
      <c r="J501">
        <v>0</v>
      </c>
      <c r="K501" t="s">
        <v>248</v>
      </c>
      <c r="L501" t="s">
        <v>22</v>
      </c>
      <c r="M501" s="3">
        <f t="shared" si="21"/>
        <v>20686.560000000001</v>
      </c>
      <c r="N501" t="str">
        <f t="shared" si="22"/>
        <v>October</v>
      </c>
      <c r="O501" t="str">
        <f t="shared" si="23"/>
        <v>2023</v>
      </c>
      <c r="P501" s="3">
        <f>Table1[[#This Row],[Revenue]]-Table1[[#This Row],[Cost]]</f>
        <v>6205.9680000000026</v>
      </c>
      <c r="Q50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502" spans="1:17" x14ac:dyDescent="0.2">
      <c r="A502" t="s">
        <v>116</v>
      </c>
      <c r="B502" s="1">
        <v>45089</v>
      </c>
      <c r="C502" t="s">
        <v>57</v>
      </c>
      <c r="D502" t="s">
        <v>83</v>
      </c>
      <c r="E502" t="s">
        <v>38</v>
      </c>
      <c r="F502" t="s">
        <v>34</v>
      </c>
      <c r="G502">
        <v>18</v>
      </c>
      <c r="H502">
        <f>Table1[[#This Row],[UnitPrice]]*0.7*Table1[[#This Row],[UnitsSold]]</f>
        <v>11803.639909090909</v>
      </c>
      <c r="I502">
        <v>936.79681818181825</v>
      </c>
      <c r="J502">
        <v>0</v>
      </c>
      <c r="K502" t="s">
        <v>42</v>
      </c>
      <c r="L502" t="s">
        <v>55</v>
      </c>
      <c r="M502" s="3">
        <f t="shared" si="21"/>
        <v>16862.342727272728</v>
      </c>
      <c r="N502" t="str">
        <f t="shared" si="22"/>
        <v>June</v>
      </c>
      <c r="O502" t="str">
        <f t="shared" si="23"/>
        <v>2023</v>
      </c>
      <c r="P502" s="3">
        <f>Table1[[#This Row],[Revenue]]-Table1[[#This Row],[Cost]]</f>
        <v>5058.7028181818187</v>
      </c>
      <c r="Q50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503" spans="1:17" x14ac:dyDescent="0.2">
      <c r="A503" t="s">
        <v>140</v>
      </c>
      <c r="B503" s="1">
        <v>45005</v>
      </c>
      <c r="C503" t="s">
        <v>24</v>
      </c>
      <c r="D503" t="s">
        <v>267</v>
      </c>
      <c r="E503" t="s">
        <v>48</v>
      </c>
      <c r="F503" t="s">
        <v>39</v>
      </c>
      <c r="G503">
        <v>5</v>
      </c>
      <c r="H503">
        <f>Table1[[#This Row],[UnitPrice]]*0.7*Table1[[#This Row],[UnitsSold]]</f>
        <v>534.69500000000005</v>
      </c>
      <c r="I503">
        <v>152.77000000000001</v>
      </c>
      <c r="J503">
        <v>0</v>
      </c>
      <c r="K503" t="s">
        <v>283</v>
      </c>
      <c r="L503" t="s">
        <v>22</v>
      </c>
      <c r="M503" s="3">
        <f t="shared" si="21"/>
        <v>763.85</v>
      </c>
      <c r="N503" t="str">
        <f t="shared" si="22"/>
        <v>March</v>
      </c>
      <c r="O503" t="str">
        <f t="shared" si="23"/>
        <v>2023</v>
      </c>
      <c r="P503" s="3">
        <f>Table1[[#This Row],[Revenue]]-Table1[[#This Row],[Cost]]</f>
        <v>229.15499999999997</v>
      </c>
      <c r="Q503"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504" spans="1:17" x14ac:dyDescent="0.2">
      <c r="A504" t="s">
        <v>141</v>
      </c>
      <c r="B504" s="1">
        <v>44970</v>
      </c>
      <c r="C504" t="s">
        <v>246</v>
      </c>
      <c r="D504" t="s">
        <v>13</v>
      </c>
      <c r="E504" t="s">
        <v>25</v>
      </c>
      <c r="F504" t="s">
        <v>26</v>
      </c>
      <c r="G504">
        <v>0</v>
      </c>
      <c r="H504">
        <f>Table1[[#This Row],[UnitPrice]]*0.7*Table1[[#This Row],[UnitsSold]]</f>
        <v>0</v>
      </c>
      <c r="I504">
        <v>961.05661016949136</v>
      </c>
      <c r="J504">
        <v>0</v>
      </c>
      <c r="K504" t="s">
        <v>248</v>
      </c>
      <c r="L504" t="s">
        <v>22</v>
      </c>
      <c r="M504" s="3">
        <f t="shared" si="21"/>
        <v>0</v>
      </c>
      <c r="N504" t="str">
        <f t="shared" si="22"/>
        <v>February</v>
      </c>
      <c r="O504" t="str">
        <f t="shared" si="23"/>
        <v>2023</v>
      </c>
      <c r="P504" s="3">
        <f>Table1[[#This Row],[Revenue]]-Table1[[#This Row],[Cost]]</f>
        <v>0</v>
      </c>
      <c r="Q50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05" spans="1:17" x14ac:dyDescent="0.2">
      <c r="A505" t="s">
        <v>219</v>
      </c>
      <c r="B505" s="1">
        <v>45157</v>
      </c>
      <c r="C505" t="s">
        <v>57</v>
      </c>
      <c r="D505" t="s">
        <v>59</v>
      </c>
      <c r="E505" t="s">
        <v>247</v>
      </c>
      <c r="F505" t="s">
        <v>26</v>
      </c>
      <c r="G505">
        <v>0</v>
      </c>
      <c r="H505">
        <f>Table1[[#This Row],[UnitPrice]]*0.7*Table1[[#This Row],[UnitsSold]]</f>
        <v>0</v>
      </c>
      <c r="I505">
        <v>981.36020408163256</v>
      </c>
      <c r="J505">
        <v>0.25</v>
      </c>
      <c r="K505" t="s">
        <v>283</v>
      </c>
      <c r="L505" t="s">
        <v>17</v>
      </c>
      <c r="M505" s="3">
        <f t="shared" si="21"/>
        <v>0</v>
      </c>
      <c r="N505" t="str">
        <f t="shared" si="22"/>
        <v>August</v>
      </c>
      <c r="O505" t="str">
        <f t="shared" si="23"/>
        <v>2023</v>
      </c>
      <c r="P505" s="3">
        <f>Table1[[#This Row],[Revenue]]-Table1[[#This Row],[Cost]]</f>
        <v>0</v>
      </c>
      <c r="Q50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06" spans="1:17" x14ac:dyDescent="0.2">
      <c r="A506" t="s">
        <v>186</v>
      </c>
      <c r="B506" s="1">
        <v>45137</v>
      </c>
      <c r="C506" t="s">
        <v>29</v>
      </c>
      <c r="D506" t="s">
        <v>19</v>
      </c>
      <c r="E506" t="s">
        <v>46</v>
      </c>
      <c r="F506" t="s">
        <v>26</v>
      </c>
      <c r="G506">
        <v>0</v>
      </c>
      <c r="H506">
        <f>Table1[[#This Row],[UnitPrice]]*0.7*Table1[[#This Row],[UnitsSold]]</f>
        <v>0</v>
      </c>
      <c r="I506">
        <v>1106.0261904761899</v>
      </c>
      <c r="J506">
        <v>0</v>
      </c>
      <c r="K506" t="s">
        <v>16</v>
      </c>
      <c r="L506" t="s">
        <v>249</v>
      </c>
      <c r="M506" s="3">
        <f t="shared" si="21"/>
        <v>0</v>
      </c>
      <c r="N506" t="str">
        <f t="shared" si="22"/>
        <v>July</v>
      </c>
      <c r="O506" t="str">
        <f t="shared" si="23"/>
        <v>2023</v>
      </c>
      <c r="P506" s="3">
        <f>Table1[[#This Row],[Revenue]]-Table1[[#This Row],[Cost]]</f>
        <v>0</v>
      </c>
      <c r="Q50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07" spans="1:17" x14ac:dyDescent="0.2">
      <c r="A507" t="s">
        <v>139</v>
      </c>
      <c r="B507" s="1">
        <v>45301</v>
      </c>
      <c r="C507" t="s">
        <v>24</v>
      </c>
      <c r="D507" t="s">
        <v>83</v>
      </c>
      <c r="E507" t="s">
        <v>44</v>
      </c>
      <c r="F507" t="s">
        <v>26</v>
      </c>
      <c r="G507">
        <v>0</v>
      </c>
      <c r="H507">
        <f>Table1[[#This Row],[UnitPrice]]*0.7*Table1[[#This Row],[UnitsSold]]</f>
        <v>0</v>
      </c>
      <c r="I507">
        <v>1079.5765957446808</v>
      </c>
      <c r="J507">
        <v>0</v>
      </c>
      <c r="K507" t="s">
        <v>283</v>
      </c>
      <c r="L507" t="s">
        <v>27</v>
      </c>
      <c r="M507" s="3">
        <f t="shared" si="21"/>
        <v>0</v>
      </c>
      <c r="N507" t="str">
        <f t="shared" si="22"/>
        <v>January</v>
      </c>
      <c r="O507" t="str">
        <f t="shared" si="23"/>
        <v>2024</v>
      </c>
      <c r="P507" s="3">
        <f>Table1[[#This Row],[Revenue]]-Table1[[#This Row],[Cost]]</f>
        <v>0</v>
      </c>
      <c r="Q50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08" spans="1:17" x14ac:dyDescent="0.2">
      <c r="A508" t="s">
        <v>232</v>
      </c>
      <c r="B508" s="1">
        <v>45251</v>
      </c>
      <c r="C508" t="s">
        <v>24</v>
      </c>
      <c r="D508" t="s">
        <v>31</v>
      </c>
      <c r="E508" t="s">
        <v>46</v>
      </c>
      <c r="F508" t="s">
        <v>26</v>
      </c>
      <c r="G508">
        <v>18</v>
      </c>
      <c r="H508">
        <f>Table1[[#This Row],[UnitPrice]]*0.7*Table1[[#This Row],[UnitsSold]]</f>
        <v>13935.929999999993</v>
      </c>
      <c r="I508">
        <v>1106.0261904761899</v>
      </c>
      <c r="J508">
        <v>0</v>
      </c>
      <c r="K508" t="s">
        <v>283</v>
      </c>
      <c r="L508" t="s">
        <v>55</v>
      </c>
      <c r="M508" s="3">
        <f t="shared" si="21"/>
        <v>19908.471428571418</v>
      </c>
      <c r="N508" t="str">
        <f t="shared" si="22"/>
        <v>November</v>
      </c>
      <c r="O508" t="str">
        <f t="shared" si="23"/>
        <v>2023</v>
      </c>
      <c r="P508" s="3">
        <f>Table1[[#This Row],[Revenue]]-Table1[[#This Row],[Cost]]</f>
        <v>5972.5414285714251</v>
      </c>
      <c r="Q508"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509" spans="1:17" x14ac:dyDescent="0.2">
      <c r="A509" t="s">
        <v>212</v>
      </c>
      <c r="B509" s="1">
        <v>45107</v>
      </c>
      <c r="C509" t="s">
        <v>24</v>
      </c>
      <c r="D509" t="s">
        <v>59</v>
      </c>
      <c r="E509" t="s">
        <v>247</v>
      </c>
      <c r="F509" t="s">
        <v>26</v>
      </c>
      <c r="G509">
        <v>0</v>
      </c>
      <c r="H509">
        <f>Table1[[#This Row],[UnitPrice]]*0.7*Table1[[#This Row],[UnitsSold]]</f>
        <v>0</v>
      </c>
      <c r="I509">
        <v>981.36020408163256</v>
      </c>
      <c r="J509">
        <v>0</v>
      </c>
      <c r="K509" t="s">
        <v>42</v>
      </c>
      <c r="L509" t="s">
        <v>17</v>
      </c>
      <c r="M509" s="3">
        <f t="shared" si="21"/>
        <v>0</v>
      </c>
      <c r="N509" t="str">
        <f t="shared" si="22"/>
        <v>June</v>
      </c>
      <c r="O509" t="str">
        <f t="shared" si="23"/>
        <v>2023</v>
      </c>
      <c r="P509" s="3">
        <f>Table1[[#This Row],[Revenue]]-Table1[[#This Row],[Cost]]</f>
        <v>0</v>
      </c>
      <c r="Q50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10" spans="1:17" x14ac:dyDescent="0.2">
      <c r="A510" t="s">
        <v>187</v>
      </c>
      <c r="B510" s="1">
        <v>45220</v>
      </c>
      <c r="C510" t="s">
        <v>12</v>
      </c>
      <c r="D510" t="s">
        <v>13</v>
      </c>
      <c r="E510" t="s">
        <v>14</v>
      </c>
      <c r="F510" t="s">
        <v>26</v>
      </c>
      <c r="G510">
        <v>0</v>
      </c>
      <c r="H510">
        <f>Table1[[#This Row],[UnitPrice]]*0.7*Table1[[#This Row],[UnitsSold]]</f>
        <v>0</v>
      </c>
      <c r="I510">
        <v>974.67</v>
      </c>
      <c r="J510">
        <v>0</v>
      </c>
      <c r="K510" t="s">
        <v>52</v>
      </c>
      <c r="L510" t="s">
        <v>249</v>
      </c>
      <c r="M510" s="3">
        <f t="shared" si="21"/>
        <v>0</v>
      </c>
      <c r="N510" t="str">
        <f t="shared" si="22"/>
        <v>October</v>
      </c>
      <c r="O510" t="str">
        <f t="shared" si="23"/>
        <v>2023</v>
      </c>
      <c r="P510" s="3">
        <f>Table1[[#This Row],[Revenue]]-Table1[[#This Row],[Cost]]</f>
        <v>0</v>
      </c>
      <c r="Q51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11" spans="1:17" x14ac:dyDescent="0.2">
      <c r="A511" t="s">
        <v>233</v>
      </c>
      <c r="B511" s="1">
        <v>45070</v>
      </c>
      <c r="C511" t="s">
        <v>24</v>
      </c>
      <c r="D511" t="s">
        <v>267</v>
      </c>
      <c r="E511" t="s">
        <v>14</v>
      </c>
      <c r="F511" t="s">
        <v>26</v>
      </c>
      <c r="G511">
        <v>0</v>
      </c>
      <c r="H511">
        <f>Table1[[#This Row],[UnitPrice]]*0.7*Table1[[#This Row],[UnitsSold]]</f>
        <v>0</v>
      </c>
      <c r="I511">
        <v>1002.870425531915</v>
      </c>
      <c r="J511">
        <v>0</v>
      </c>
      <c r="K511" t="s">
        <v>42</v>
      </c>
      <c r="L511" t="s">
        <v>55</v>
      </c>
      <c r="M511" s="3">
        <f t="shared" si="21"/>
        <v>0</v>
      </c>
      <c r="N511" t="str">
        <f t="shared" si="22"/>
        <v>May</v>
      </c>
      <c r="O511" t="str">
        <f t="shared" si="23"/>
        <v>2023</v>
      </c>
      <c r="P511" s="3">
        <f>Table1[[#This Row],[Revenue]]-Table1[[#This Row],[Cost]]</f>
        <v>0</v>
      </c>
      <c r="Q51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12" spans="1:17" x14ac:dyDescent="0.2">
      <c r="A512" t="s">
        <v>117</v>
      </c>
      <c r="B512" s="1">
        <v>45060</v>
      </c>
      <c r="C512" t="s">
        <v>37</v>
      </c>
      <c r="D512" t="s">
        <v>83</v>
      </c>
      <c r="E512" t="s">
        <v>247</v>
      </c>
      <c r="F512" t="s">
        <v>26</v>
      </c>
      <c r="G512">
        <v>0</v>
      </c>
      <c r="H512">
        <f>Table1[[#This Row],[UnitPrice]]*0.7*Table1[[#This Row],[UnitsSold]]</f>
        <v>0</v>
      </c>
      <c r="I512">
        <v>1968.3</v>
      </c>
      <c r="J512">
        <v>0.18</v>
      </c>
      <c r="K512" t="s">
        <v>42</v>
      </c>
      <c r="L512" t="s">
        <v>22</v>
      </c>
      <c r="M512" s="3">
        <f t="shared" si="21"/>
        <v>0</v>
      </c>
      <c r="N512" t="str">
        <f t="shared" si="22"/>
        <v>May</v>
      </c>
      <c r="O512" t="str">
        <f t="shared" si="23"/>
        <v>2023</v>
      </c>
      <c r="P512" s="3">
        <f>Table1[[#This Row],[Revenue]]-Table1[[#This Row],[Cost]]</f>
        <v>0</v>
      </c>
      <c r="Q51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13" spans="1:17" x14ac:dyDescent="0.2">
      <c r="A513" t="s">
        <v>211</v>
      </c>
      <c r="B513" s="1">
        <v>45123</v>
      </c>
      <c r="C513" t="s">
        <v>37</v>
      </c>
      <c r="D513" t="s">
        <v>13</v>
      </c>
      <c r="E513" t="s">
        <v>38</v>
      </c>
      <c r="F513" t="s">
        <v>34</v>
      </c>
      <c r="G513">
        <v>0</v>
      </c>
      <c r="H513">
        <f>Table1[[#This Row],[UnitPrice]]*0.7*Table1[[#This Row],[UnitsSold]]</f>
        <v>0</v>
      </c>
      <c r="I513">
        <v>936.79681818181825</v>
      </c>
      <c r="J513">
        <v>0</v>
      </c>
      <c r="K513" t="s">
        <v>16</v>
      </c>
      <c r="L513" t="s">
        <v>27</v>
      </c>
      <c r="M513" s="3">
        <f t="shared" si="21"/>
        <v>0</v>
      </c>
      <c r="N513" t="str">
        <f t="shared" si="22"/>
        <v>July</v>
      </c>
      <c r="O513" t="str">
        <f t="shared" si="23"/>
        <v>2023</v>
      </c>
      <c r="P513" s="3">
        <f>Table1[[#This Row],[Revenue]]-Table1[[#This Row],[Cost]]</f>
        <v>0</v>
      </c>
      <c r="Q51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14" spans="1:17" x14ac:dyDescent="0.2">
      <c r="A514" t="s">
        <v>114</v>
      </c>
      <c r="B514" s="1">
        <v>45164</v>
      </c>
      <c r="C514" t="s">
        <v>57</v>
      </c>
      <c r="D514" t="s">
        <v>83</v>
      </c>
      <c r="E514" t="s">
        <v>14</v>
      </c>
      <c r="F514" t="s">
        <v>26</v>
      </c>
      <c r="G514">
        <v>18</v>
      </c>
      <c r="H514">
        <f>Table1[[#This Row],[UnitPrice]]*0.7*Table1[[#This Row],[UnitsSold]]</f>
        <v>12636.167361702128</v>
      </c>
      <c r="I514">
        <v>1002.870425531915</v>
      </c>
      <c r="J514">
        <v>0</v>
      </c>
      <c r="K514" t="s">
        <v>16</v>
      </c>
      <c r="L514" t="s">
        <v>17</v>
      </c>
      <c r="M514" s="3">
        <f t="shared" ref="M514:M577" si="24">G514*I514*(1-J514)</f>
        <v>18051.667659574468</v>
      </c>
      <c r="N514" t="str">
        <f t="shared" ref="N514:N577" si="25">TEXT(B514, "mmmm")</f>
        <v>August</v>
      </c>
      <c r="O514" t="str">
        <f t="shared" ref="O514:O577" si="26">TEXT(B514, "yyyy")</f>
        <v>2023</v>
      </c>
      <c r="P514" s="3">
        <f>Table1[[#This Row],[Revenue]]-Table1[[#This Row],[Cost]]</f>
        <v>5415.5002978723405</v>
      </c>
      <c r="Q514"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515" spans="1:17" x14ac:dyDescent="0.2">
      <c r="A515" t="s">
        <v>92</v>
      </c>
      <c r="B515" s="1">
        <v>44933</v>
      </c>
      <c r="C515" t="s">
        <v>24</v>
      </c>
      <c r="D515" t="s">
        <v>267</v>
      </c>
      <c r="E515" t="s">
        <v>38</v>
      </c>
      <c r="F515" t="s">
        <v>34</v>
      </c>
      <c r="G515">
        <v>0</v>
      </c>
      <c r="H515">
        <f>Table1[[#This Row],[UnitPrice]]*0.7*Table1[[#This Row],[UnitsSold]]</f>
        <v>0</v>
      </c>
      <c r="I515">
        <v>1368.92</v>
      </c>
      <c r="J515">
        <v>0</v>
      </c>
      <c r="K515" t="s">
        <v>283</v>
      </c>
      <c r="L515" t="s">
        <v>55</v>
      </c>
      <c r="M515" s="3">
        <f t="shared" si="24"/>
        <v>0</v>
      </c>
      <c r="N515" t="str">
        <f t="shared" si="25"/>
        <v>January</v>
      </c>
      <c r="O515" t="str">
        <f t="shared" si="26"/>
        <v>2023</v>
      </c>
      <c r="P515" s="3">
        <f>Table1[[#This Row],[Revenue]]-Table1[[#This Row],[Cost]]</f>
        <v>0</v>
      </c>
      <c r="Q51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16" spans="1:17" x14ac:dyDescent="0.2">
      <c r="A516" t="s">
        <v>234</v>
      </c>
      <c r="B516" s="1">
        <v>45239</v>
      </c>
      <c r="C516" t="s">
        <v>24</v>
      </c>
      <c r="D516" t="s">
        <v>59</v>
      </c>
      <c r="E516" t="s">
        <v>14</v>
      </c>
      <c r="F516" t="s">
        <v>26</v>
      </c>
      <c r="G516">
        <v>0</v>
      </c>
      <c r="H516">
        <f>Table1[[#This Row],[UnitPrice]]*0.7*Table1[[#This Row],[UnitsSold]]</f>
        <v>0</v>
      </c>
      <c r="I516">
        <v>1002.870425531915</v>
      </c>
      <c r="J516">
        <v>0</v>
      </c>
      <c r="K516" t="s">
        <v>283</v>
      </c>
      <c r="L516" t="s">
        <v>249</v>
      </c>
      <c r="M516" s="3">
        <f t="shared" si="24"/>
        <v>0</v>
      </c>
      <c r="N516" t="str">
        <f t="shared" si="25"/>
        <v>November</v>
      </c>
      <c r="O516" t="str">
        <f t="shared" si="26"/>
        <v>2023</v>
      </c>
      <c r="P516" s="3">
        <f>Table1[[#This Row],[Revenue]]-Table1[[#This Row],[Cost]]</f>
        <v>0</v>
      </c>
      <c r="Q51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17" spans="1:17" x14ac:dyDescent="0.2">
      <c r="A517" t="s">
        <v>210</v>
      </c>
      <c r="B517" s="1">
        <v>45271</v>
      </c>
      <c r="C517" t="s">
        <v>37</v>
      </c>
      <c r="D517" t="s">
        <v>31</v>
      </c>
      <c r="E517" t="s">
        <v>14</v>
      </c>
      <c r="F517" t="s">
        <v>26</v>
      </c>
      <c r="G517">
        <v>0</v>
      </c>
      <c r="H517">
        <f>Table1[[#This Row],[UnitPrice]]*0.7*Table1[[#This Row],[UnitsSold]]</f>
        <v>0</v>
      </c>
      <c r="I517">
        <v>31.05</v>
      </c>
      <c r="J517">
        <v>0.25</v>
      </c>
      <c r="K517" t="s">
        <v>42</v>
      </c>
      <c r="L517" t="s">
        <v>27</v>
      </c>
      <c r="M517" s="3">
        <f t="shared" si="24"/>
        <v>0</v>
      </c>
      <c r="N517" t="str">
        <f t="shared" si="25"/>
        <v>December</v>
      </c>
      <c r="O517" t="str">
        <f t="shared" si="26"/>
        <v>2023</v>
      </c>
      <c r="P517" s="3">
        <f>Table1[[#This Row],[Revenue]]-Table1[[#This Row],[Cost]]</f>
        <v>0</v>
      </c>
      <c r="Q51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18" spans="1:17" x14ac:dyDescent="0.2">
      <c r="A518" t="s">
        <v>123</v>
      </c>
      <c r="B518" s="1">
        <v>44980</v>
      </c>
      <c r="C518" t="s">
        <v>57</v>
      </c>
      <c r="D518" t="s">
        <v>59</v>
      </c>
      <c r="E518" t="s">
        <v>247</v>
      </c>
      <c r="F518" t="s">
        <v>26</v>
      </c>
      <c r="G518">
        <v>9</v>
      </c>
      <c r="H518">
        <f>Table1[[#This Row],[UnitPrice]]*0.7*Table1[[#This Row],[UnitsSold]]</f>
        <v>6182.5692857142849</v>
      </c>
      <c r="I518">
        <v>981.36020408163256</v>
      </c>
      <c r="J518">
        <v>0</v>
      </c>
      <c r="K518" t="s">
        <v>283</v>
      </c>
      <c r="L518" t="s">
        <v>249</v>
      </c>
      <c r="M518" s="3">
        <f t="shared" si="24"/>
        <v>8832.2418367346927</v>
      </c>
      <c r="N518" t="str">
        <f t="shared" si="25"/>
        <v>February</v>
      </c>
      <c r="O518" t="str">
        <f t="shared" si="26"/>
        <v>2023</v>
      </c>
      <c r="P518" s="3">
        <f>Table1[[#This Row],[Revenue]]-Table1[[#This Row],[Cost]]</f>
        <v>2649.6725510204078</v>
      </c>
      <c r="Q518"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519" spans="1:17" x14ac:dyDescent="0.2">
      <c r="A519" t="s">
        <v>109</v>
      </c>
      <c r="B519" s="1">
        <v>45253</v>
      </c>
      <c r="C519" t="s">
        <v>12</v>
      </c>
      <c r="D519" t="s">
        <v>13</v>
      </c>
      <c r="E519" t="s">
        <v>46</v>
      </c>
      <c r="F519" t="s">
        <v>26</v>
      </c>
      <c r="G519">
        <v>20</v>
      </c>
      <c r="H519">
        <f>Table1[[#This Row],[UnitPrice]]*0.7*Table1[[#This Row],[UnitsSold]]</f>
        <v>15484.366666666658</v>
      </c>
      <c r="I519">
        <v>1106.0261904761899</v>
      </c>
      <c r="J519">
        <v>0.17</v>
      </c>
      <c r="K519" t="s">
        <v>16</v>
      </c>
      <c r="L519" t="s">
        <v>249</v>
      </c>
      <c r="M519" s="3">
        <f t="shared" si="24"/>
        <v>18360.034761904753</v>
      </c>
      <c r="N519" t="str">
        <f t="shared" si="25"/>
        <v>November</v>
      </c>
      <c r="O519" t="str">
        <f t="shared" si="26"/>
        <v>2023</v>
      </c>
      <c r="P519" s="3">
        <f>Table1[[#This Row],[Revenue]]-Table1[[#This Row],[Cost]]</f>
        <v>2875.6680952380957</v>
      </c>
      <c r="Q519" s="6">
        <f>IF(Table1[[#This Row],[UnitsSold]]*Table1[[#This Row],[UnitPrice]]*(1-Table1[[#This Row],[Discount]])=0, 0, ((Table1[[#This Row],[UnitsSold]]*Table1[[#This Row],[UnitPrice]]*(1-Table1[[#This Row],[Discount]])) - (Table1[[#This Row],[UnitsSold]]*Table1[[#This Row],[UnitPrice]]*0.7)) / (Table1[[#This Row],[UnitsSold]]*Table1[[#This Row],[UnitPrice]]*(1-Table1[[#This Row],[Discount]])))</f>
        <v>0.15662650602409647</v>
      </c>
    </row>
    <row r="520" spans="1:17" x14ac:dyDescent="0.2">
      <c r="A520" t="s">
        <v>47</v>
      </c>
      <c r="B520" s="1">
        <v>45077</v>
      </c>
      <c r="C520" t="s">
        <v>57</v>
      </c>
      <c r="D520" t="s">
        <v>13</v>
      </c>
      <c r="E520" t="s">
        <v>46</v>
      </c>
      <c r="F520" t="s">
        <v>26</v>
      </c>
      <c r="G520">
        <v>0</v>
      </c>
      <c r="H520">
        <f>Table1[[#This Row],[UnitPrice]]*0.7*Table1[[#This Row],[UnitsSold]]</f>
        <v>0</v>
      </c>
      <c r="I520">
        <v>1106.0261904761899</v>
      </c>
      <c r="J520">
        <v>0</v>
      </c>
      <c r="K520" t="s">
        <v>52</v>
      </c>
      <c r="L520" t="s">
        <v>249</v>
      </c>
      <c r="M520" s="3">
        <f t="shared" si="24"/>
        <v>0</v>
      </c>
      <c r="N520" t="str">
        <f t="shared" si="25"/>
        <v>May</v>
      </c>
      <c r="O520" t="str">
        <f t="shared" si="26"/>
        <v>2023</v>
      </c>
      <c r="P520" s="3">
        <f>Table1[[#This Row],[Revenue]]-Table1[[#This Row],[Cost]]</f>
        <v>0</v>
      </c>
      <c r="Q52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21" spans="1:17" x14ac:dyDescent="0.2">
      <c r="A521" t="s">
        <v>191</v>
      </c>
      <c r="B521" s="1">
        <v>44964</v>
      </c>
      <c r="C521" t="s">
        <v>24</v>
      </c>
      <c r="D521" t="s">
        <v>267</v>
      </c>
      <c r="E521" t="s">
        <v>46</v>
      </c>
      <c r="F521" t="s">
        <v>26</v>
      </c>
      <c r="G521">
        <v>0</v>
      </c>
      <c r="H521">
        <f>Table1[[#This Row],[UnitPrice]]*0.7*Table1[[#This Row],[UnitsSold]]</f>
        <v>0</v>
      </c>
      <c r="I521">
        <v>1106.0261904761899</v>
      </c>
      <c r="J521">
        <v>0</v>
      </c>
      <c r="K521" t="s">
        <v>16</v>
      </c>
      <c r="L521" t="s">
        <v>22</v>
      </c>
      <c r="M521" s="3">
        <f t="shared" si="24"/>
        <v>0</v>
      </c>
      <c r="N521" t="str">
        <f t="shared" si="25"/>
        <v>February</v>
      </c>
      <c r="O521" t="str">
        <f t="shared" si="26"/>
        <v>2023</v>
      </c>
      <c r="P521" s="3">
        <f>Table1[[#This Row],[Revenue]]-Table1[[#This Row],[Cost]]</f>
        <v>0</v>
      </c>
      <c r="Q52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22" spans="1:17" x14ac:dyDescent="0.2">
      <c r="A522" t="s">
        <v>60</v>
      </c>
      <c r="B522" s="1">
        <v>45178</v>
      </c>
      <c r="C522" t="s">
        <v>37</v>
      </c>
      <c r="D522" t="s">
        <v>31</v>
      </c>
      <c r="E522" t="s">
        <v>38</v>
      </c>
      <c r="F522" t="s">
        <v>34</v>
      </c>
      <c r="G522">
        <v>16</v>
      </c>
      <c r="H522">
        <f>Table1[[#This Row],[UnitPrice]]*0.7*Table1[[#This Row],[UnitsSold]]</f>
        <v>10492.124363636363</v>
      </c>
      <c r="I522">
        <v>936.79681818181825</v>
      </c>
      <c r="J522">
        <v>0</v>
      </c>
      <c r="K522" t="s">
        <v>16</v>
      </c>
      <c r="L522" t="s">
        <v>22</v>
      </c>
      <c r="M522" s="3">
        <f t="shared" si="24"/>
        <v>14988.749090909092</v>
      </c>
      <c r="N522" t="str">
        <f t="shared" si="25"/>
        <v>September</v>
      </c>
      <c r="O522" t="str">
        <f t="shared" si="26"/>
        <v>2023</v>
      </c>
      <c r="P522" s="3">
        <f>Table1[[#This Row],[Revenue]]-Table1[[#This Row],[Cost]]</f>
        <v>4496.6247272727287</v>
      </c>
      <c r="Q52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523" spans="1:17" x14ac:dyDescent="0.2">
      <c r="A523" t="s">
        <v>82</v>
      </c>
      <c r="B523" s="1">
        <v>45059</v>
      </c>
      <c r="C523" t="s">
        <v>12</v>
      </c>
      <c r="D523" t="s">
        <v>19</v>
      </c>
      <c r="E523" t="s">
        <v>46</v>
      </c>
      <c r="F523" t="s">
        <v>26</v>
      </c>
      <c r="G523">
        <v>0</v>
      </c>
      <c r="H523">
        <f>Table1[[#This Row],[UnitPrice]]*0.7*Table1[[#This Row],[UnitsSold]]</f>
        <v>0</v>
      </c>
      <c r="I523">
        <v>1106.0261904761899</v>
      </c>
      <c r="J523">
        <v>0</v>
      </c>
      <c r="K523" t="s">
        <v>16</v>
      </c>
      <c r="L523" t="s">
        <v>27</v>
      </c>
      <c r="M523" s="3">
        <f t="shared" si="24"/>
        <v>0</v>
      </c>
      <c r="N523" t="str">
        <f t="shared" si="25"/>
        <v>May</v>
      </c>
      <c r="O523" t="str">
        <f t="shared" si="26"/>
        <v>2023</v>
      </c>
      <c r="P523" s="3">
        <f>Table1[[#This Row],[Revenue]]-Table1[[#This Row],[Cost]]</f>
        <v>0</v>
      </c>
      <c r="Q52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24" spans="1:17" x14ac:dyDescent="0.2">
      <c r="A524" t="s">
        <v>73</v>
      </c>
      <c r="B524" s="1">
        <v>45267</v>
      </c>
      <c r="C524" t="s">
        <v>57</v>
      </c>
      <c r="D524" t="s">
        <v>59</v>
      </c>
      <c r="E524" t="s">
        <v>247</v>
      </c>
      <c r="F524" t="s">
        <v>26</v>
      </c>
      <c r="G524">
        <v>0</v>
      </c>
      <c r="H524">
        <f>Table1[[#This Row],[UnitPrice]]*0.7*Table1[[#This Row],[UnitsSold]]</f>
        <v>0</v>
      </c>
      <c r="I524">
        <v>981.36020408163256</v>
      </c>
      <c r="J524">
        <v>0</v>
      </c>
      <c r="K524" t="s">
        <v>42</v>
      </c>
      <c r="L524" t="s">
        <v>22</v>
      </c>
      <c r="M524" s="3">
        <f t="shared" si="24"/>
        <v>0</v>
      </c>
      <c r="N524" t="str">
        <f t="shared" si="25"/>
        <v>December</v>
      </c>
      <c r="O524" t="str">
        <f t="shared" si="26"/>
        <v>2023</v>
      </c>
      <c r="P524" s="3">
        <f>Table1[[#This Row],[Revenue]]-Table1[[#This Row],[Cost]]</f>
        <v>0</v>
      </c>
      <c r="Q52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25" spans="1:17" x14ac:dyDescent="0.2">
      <c r="A525" t="s">
        <v>221</v>
      </c>
      <c r="B525" s="1">
        <v>45299</v>
      </c>
      <c r="C525" t="s">
        <v>12</v>
      </c>
      <c r="D525" t="s">
        <v>31</v>
      </c>
      <c r="E525" t="s">
        <v>247</v>
      </c>
      <c r="F525" t="s">
        <v>26</v>
      </c>
      <c r="G525">
        <v>0</v>
      </c>
      <c r="H525">
        <f>Table1[[#This Row],[UnitPrice]]*0.7*Table1[[#This Row],[UnitsSold]]</f>
        <v>0</v>
      </c>
      <c r="I525">
        <v>981.36020408163256</v>
      </c>
      <c r="J525">
        <v>0</v>
      </c>
      <c r="K525" t="s">
        <v>52</v>
      </c>
      <c r="L525" t="s">
        <v>55</v>
      </c>
      <c r="M525" s="3">
        <f t="shared" si="24"/>
        <v>0</v>
      </c>
      <c r="N525" t="str">
        <f t="shared" si="25"/>
        <v>January</v>
      </c>
      <c r="O525" t="str">
        <f t="shared" si="26"/>
        <v>2024</v>
      </c>
      <c r="P525" s="3">
        <f>Table1[[#This Row],[Revenue]]-Table1[[#This Row],[Cost]]</f>
        <v>0</v>
      </c>
      <c r="Q52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26" spans="1:17" x14ac:dyDescent="0.2">
      <c r="A526" t="s">
        <v>115</v>
      </c>
      <c r="B526" s="1">
        <v>45082</v>
      </c>
      <c r="C526" t="s">
        <v>57</v>
      </c>
      <c r="D526" t="s">
        <v>19</v>
      </c>
      <c r="E526" t="s">
        <v>48</v>
      </c>
      <c r="F526" t="s">
        <v>39</v>
      </c>
      <c r="G526">
        <v>0</v>
      </c>
      <c r="H526">
        <f>Table1[[#This Row],[UnitPrice]]*0.7*Table1[[#This Row],[UnitsSold]]</f>
        <v>0</v>
      </c>
      <c r="I526">
        <v>1017.3087234042553</v>
      </c>
      <c r="J526">
        <v>0</v>
      </c>
      <c r="K526" t="s">
        <v>52</v>
      </c>
      <c r="L526" t="s">
        <v>249</v>
      </c>
      <c r="M526" s="3">
        <f t="shared" si="24"/>
        <v>0</v>
      </c>
      <c r="N526" t="str">
        <f t="shared" si="25"/>
        <v>June</v>
      </c>
      <c r="O526" t="str">
        <f t="shared" si="26"/>
        <v>2023</v>
      </c>
      <c r="P526" s="3">
        <f>Table1[[#This Row],[Revenue]]-Table1[[#This Row],[Cost]]</f>
        <v>0</v>
      </c>
      <c r="Q52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27" spans="1:17" x14ac:dyDescent="0.2">
      <c r="A527" t="s">
        <v>75</v>
      </c>
      <c r="B527" s="1">
        <v>45210</v>
      </c>
      <c r="C527" t="s">
        <v>12</v>
      </c>
      <c r="D527" t="s">
        <v>83</v>
      </c>
      <c r="E527" t="s">
        <v>48</v>
      </c>
      <c r="F527" t="s">
        <v>39</v>
      </c>
      <c r="G527">
        <v>0</v>
      </c>
      <c r="H527">
        <f>Table1[[#This Row],[UnitPrice]]*0.7*Table1[[#This Row],[UnitsSold]]</f>
        <v>0</v>
      </c>
      <c r="I527">
        <v>786.31</v>
      </c>
      <c r="J527">
        <v>0</v>
      </c>
      <c r="K527" t="s">
        <v>42</v>
      </c>
      <c r="L527" t="s">
        <v>27</v>
      </c>
      <c r="M527" s="3">
        <f t="shared" si="24"/>
        <v>0</v>
      </c>
      <c r="N527" t="str">
        <f t="shared" si="25"/>
        <v>October</v>
      </c>
      <c r="O527" t="str">
        <f t="shared" si="26"/>
        <v>2023</v>
      </c>
      <c r="P527" s="3">
        <f>Table1[[#This Row],[Revenue]]-Table1[[#This Row],[Cost]]</f>
        <v>0</v>
      </c>
      <c r="Q52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28" spans="1:17" x14ac:dyDescent="0.2">
      <c r="A528" t="s">
        <v>235</v>
      </c>
      <c r="B528" s="1">
        <v>45151</v>
      </c>
      <c r="C528" t="s">
        <v>37</v>
      </c>
      <c r="D528" t="s">
        <v>19</v>
      </c>
      <c r="E528" t="s">
        <v>46</v>
      </c>
      <c r="F528" t="s">
        <v>26</v>
      </c>
      <c r="G528">
        <v>0</v>
      </c>
      <c r="H528">
        <f>Table1[[#This Row],[UnitPrice]]*0.7*Table1[[#This Row],[UnitsSold]]</f>
        <v>0</v>
      </c>
      <c r="I528">
        <v>1992.8</v>
      </c>
      <c r="J528">
        <v>0.15</v>
      </c>
      <c r="K528" t="s">
        <v>248</v>
      </c>
      <c r="L528" t="s">
        <v>55</v>
      </c>
      <c r="M528" s="3">
        <f t="shared" si="24"/>
        <v>0</v>
      </c>
      <c r="N528" t="str">
        <f t="shared" si="25"/>
        <v>August</v>
      </c>
      <c r="O528" t="str">
        <f t="shared" si="26"/>
        <v>2023</v>
      </c>
      <c r="P528" s="3">
        <f>Table1[[#This Row],[Revenue]]-Table1[[#This Row],[Cost]]</f>
        <v>0</v>
      </c>
      <c r="Q52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29" spans="1:17" x14ac:dyDescent="0.2">
      <c r="A529" t="s">
        <v>108</v>
      </c>
      <c r="B529" s="1">
        <v>45200</v>
      </c>
      <c r="C529" t="s">
        <v>57</v>
      </c>
      <c r="D529" t="s">
        <v>19</v>
      </c>
      <c r="E529" t="s">
        <v>46</v>
      </c>
      <c r="F529" t="s">
        <v>26</v>
      </c>
      <c r="G529">
        <v>0</v>
      </c>
      <c r="H529">
        <f>Table1[[#This Row],[UnitPrice]]*0.7*Table1[[#This Row],[UnitsSold]]</f>
        <v>0</v>
      </c>
      <c r="I529">
        <v>1577.68</v>
      </c>
      <c r="J529">
        <v>0.12</v>
      </c>
      <c r="K529" t="s">
        <v>283</v>
      </c>
      <c r="L529" t="s">
        <v>17</v>
      </c>
      <c r="M529" s="3">
        <f t="shared" si="24"/>
        <v>0</v>
      </c>
      <c r="N529" t="str">
        <f t="shared" si="25"/>
        <v>October</v>
      </c>
      <c r="O529" t="str">
        <f t="shared" si="26"/>
        <v>2023</v>
      </c>
      <c r="P529" s="3">
        <f>Table1[[#This Row],[Revenue]]-Table1[[#This Row],[Cost]]</f>
        <v>0</v>
      </c>
      <c r="Q52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30" spans="1:17" x14ac:dyDescent="0.2">
      <c r="A530" t="s">
        <v>167</v>
      </c>
      <c r="B530" s="1">
        <v>45274</v>
      </c>
      <c r="C530" t="s">
        <v>246</v>
      </c>
      <c r="D530" t="s">
        <v>13</v>
      </c>
      <c r="E530" t="s">
        <v>44</v>
      </c>
      <c r="F530" t="s">
        <v>26</v>
      </c>
      <c r="G530">
        <v>3</v>
      </c>
      <c r="H530">
        <f>Table1[[#This Row],[UnitPrice]]*0.7*Table1[[#This Row],[UnitsSold]]</f>
        <v>2267.1108510638296</v>
      </c>
      <c r="I530">
        <v>1079.5765957446808</v>
      </c>
      <c r="J530">
        <v>0</v>
      </c>
      <c r="K530" t="s">
        <v>248</v>
      </c>
      <c r="L530" t="s">
        <v>27</v>
      </c>
      <c r="M530" s="3">
        <f t="shared" si="24"/>
        <v>3238.7297872340423</v>
      </c>
      <c r="N530" t="str">
        <f t="shared" si="25"/>
        <v>December</v>
      </c>
      <c r="O530" t="str">
        <f t="shared" si="26"/>
        <v>2023</v>
      </c>
      <c r="P530" s="3">
        <f>Table1[[#This Row],[Revenue]]-Table1[[#This Row],[Cost]]</f>
        <v>971.61893617021269</v>
      </c>
      <c r="Q530"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531" spans="1:17" x14ac:dyDescent="0.2">
      <c r="A531" t="s">
        <v>61</v>
      </c>
      <c r="B531" s="1">
        <v>45286</v>
      </c>
      <c r="C531" t="s">
        <v>246</v>
      </c>
      <c r="D531" t="s">
        <v>19</v>
      </c>
      <c r="E531" t="s">
        <v>247</v>
      </c>
      <c r="F531" t="s">
        <v>26</v>
      </c>
      <c r="G531">
        <v>10</v>
      </c>
      <c r="H531">
        <f>Table1[[#This Row],[UnitPrice]]*0.7*Table1[[#This Row],[UnitsSold]]</f>
        <v>6424.6699999999983</v>
      </c>
      <c r="I531">
        <v>917.81</v>
      </c>
      <c r="J531">
        <v>0.25</v>
      </c>
      <c r="K531" t="s">
        <v>16</v>
      </c>
      <c r="L531" t="s">
        <v>27</v>
      </c>
      <c r="M531" s="3">
        <f t="shared" si="24"/>
        <v>6883.5749999999989</v>
      </c>
      <c r="N531" t="str">
        <f t="shared" si="25"/>
        <v>December</v>
      </c>
      <c r="O531" t="str">
        <f t="shared" si="26"/>
        <v>2023</v>
      </c>
      <c r="P531" s="3">
        <f>Table1[[#This Row],[Revenue]]-Table1[[#This Row],[Cost]]</f>
        <v>458.90500000000065</v>
      </c>
      <c r="Q531" s="6">
        <f>IF(Table1[[#This Row],[UnitsSold]]*Table1[[#This Row],[UnitPrice]]*(1-Table1[[#This Row],[Discount]])=0, 0, ((Table1[[#This Row],[UnitsSold]]*Table1[[#This Row],[UnitPrice]]*(1-Table1[[#This Row],[Discount]])) - (Table1[[#This Row],[UnitsSold]]*Table1[[#This Row],[UnitPrice]]*0.7)) / (Table1[[#This Row],[UnitsSold]]*Table1[[#This Row],[UnitPrice]]*(1-Table1[[#This Row],[Discount]])))</f>
        <v>6.6666666666666777E-2</v>
      </c>
    </row>
    <row r="532" spans="1:17" x14ac:dyDescent="0.2">
      <c r="A532" t="s">
        <v>108</v>
      </c>
      <c r="B532" s="1">
        <v>45231</v>
      </c>
      <c r="C532" t="s">
        <v>37</v>
      </c>
      <c r="D532" t="s">
        <v>19</v>
      </c>
      <c r="E532" t="s">
        <v>25</v>
      </c>
      <c r="F532" t="s">
        <v>26</v>
      </c>
      <c r="G532">
        <v>0</v>
      </c>
      <c r="H532">
        <f>Table1[[#This Row],[UnitPrice]]*0.7*Table1[[#This Row],[UnitsSold]]</f>
        <v>0</v>
      </c>
      <c r="I532">
        <v>961.05661016949136</v>
      </c>
      <c r="J532">
        <v>0</v>
      </c>
      <c r="K532" t="s">
        <v>16</v>
      </c>
      <c r="L532" t="s">
        <v>17</v>
      </c>
      <c r="M532" s="3">
        <f t="shared" si="24"/>
        <v>0</v>
      </c>
      <c r="N532" t="str">
        <f t="shared" si="25"/>
        <v>November</v>
      </c>
      <c r="O532" t="str">
        <f t="shared" si="26"/>
        <v>2023</v>
      </c>
      <c r="P532" s="3">
        <f>Table1[[#This Row],[Revenue]]-Table1[[#This Row],[Cost]]</f>
        <v>0</v>
      </c>
      <c r="Q53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33" spans="1:17" x14ac:dyDescent="0.2">
      <c r="A533" t="s">
        <v>182</v>
      </c>
      <c r="B533" s="1">
        <v>44997</v>
      </c>
      <c r="C533" t="s">
        <v>29</v>
      </c>
      <c r="D533" t="s">
        <v>267</v>
      </c>
      <c r="E533" t="s">
        <v>25</v>
      </c>
      <c r="F533" t="s">
        <v>26</v>
      </c>
      <c r="G533">
        <v>0</v>
      </c>
      <c r="H533">
        <f>Table1[[#This Row],[UnitPrice]]*0.7*Table1[[#This Row],[UnitsSold]]</f>
        <v>0</v>
      </c>
      <c r="I533">
        <v>355.16</v>
      </c>
      <c r="J533">
        <v>0.04</v>
      </c>
      <c r="K533" t="s">
        <v>42</v>
      </c>
      <c r="L533" t="s">
        <v>249</v>
      </c>
      <c r="M533" s="3">
        <f t="shared" si="24"/>
        <v>0</v>
      </c>
      <c r="N533" t="str">
        <f t="shared" si="25"/>
        <v>March</v>
      </c>
      <c r="O533" t="str">
        <f t="shared" si="26"/>
        <v>2023</v>
      </c>
      <c r="P533" s="3">
        <f>Table1[[#This Row],[Revenue]]-Table1[[#This Row],[Cost]]</f>
        <v>0</v>
      </c>
      <c r="Q53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34" spans="1:17" x14ac:dyDescent="0.2">
      <c r="A534" t="s">
        <v>65</v>
      </c>
      <c r="B534" s="1">
        <v>45116</v>
      </c>
      <c r="C534" t="s">
        <v>246</v>
      </c>
      <c r="D534" t="s">
        <v>83</v>
      </c>
      <c r="E534" t="s">
        <v>247</v>
      </c>
      <c r="F534" t="s">
        <v>26</v>
      </c>
      <c r="G534">
        <v>2</v>
      </c>
      <c r="H534">
        <f>Table1[[#This Row],[UnitPrice]]*0.7*Table1[[#This Row],[UnitsSold]]</f>
        <v>1373.9042857142856</v>
      </c>
      <c r="I534">
        <v>981.36020408163256</v>
      </c>
      <c r="J534">
        <v>0.18</v>
      </c>
      <c r="K534" t="s">
        <v>16</v>
      </c>
      <c r="L534" t="s">
        <v>22</v>
      </c>
      <c r="M534" s="3">
        <f t="shared" si="24"/>
        <v>1609.4307346938774</v>
      </c>
      <c r="N534" t="str">
        <f t="shared" si="25"/>
        <v>July</v>
      </c>
      <c r="O534" t="str">
        <f t="shared" si="26"/>
        <v>2023</v>
      </c>
      <c r="P534" s="3">
        <f>Table1[[#This Row],[Revenue]]-Table1[[#This Row],[Cost]]</f>
        <v>235.52644897959181</v>
      </c>
      <c r="Q534" s="6">
        <f>IF(Table1[[#This Row],[UnitsSold]]*Table1[[#This Row],[UnitPrice]]*(1-Table1[[#This Row],[Discount]])=0, 0, ((Table1[[#This Row],[UnitsSold]]*Table1[[#This Row],[UnitPrice]]*(1-Table1[[#This Row],[Discount]])) - (Table1[[#This Row],[UnitsSold]]*Table1[[#This Row],[UnitPrice]]*0.7)) / (Table1[[#This Row],[UnitsSold]]*Table1[[#This Row],[UnitPrice]]*(1-Table1[[#This Row],[Discount]])))</f>
        <v>0.14634146341463414</v>
      </c>
    </row>
    <row r="535" spans="1:17" x14ac:dyDescent="0.2">
      <c r="A535" t="s">
        <v>236</v>
      </c>
      <c r="B535" s="1">
        <v>44930</v>
      </c>
      <c r="C535" t="s">
        <v>12</v>
      </c>
      <c r="D535" t="s">
        <v>19</v>
      </c>
      <c r="E535" t="s">
        <v>46</v>
      </c>
      <c r="F535" t="s">
        <v>26</v>
      </c>
      <c r="G535">
        <v>0</v>
      </c>
      <c r="H535">
        <f>Table1[[#This Row],[UnitPrice]]*0.7*Table1[[#This Row],[UnitsSold]]</f>
        <v>0</v>
      </c>
      <c r="I535">
        <v>1106.0261904761899</v>
      </c>
      <c r="J535">
        <v>0.21</v>
      </c>
      <c r="K535" t="s">
        <v>16</v>
      </c>
      <c r="L535" t="s">
        <v>55</v>
      </c>
      <c r="M535" s="3">
        <f t="shared" si="24"/>
        <v>0</v>
      </c>
      <c r="N535" t="str">
        <f t="shared" si="25"/>
        <v>January</v>
      </c>
      <c r="O535" t="str">
        <f t="shared" si="26"/>
        <v>2023</v>
      </c>
      <c r="P535" s="3">
        <f>Table1[[#This Row],[Revenue]]-Table1[[#This Row],[Cost]]</f>
        <v>0</v>
      </c>
      <c r="Q53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36" spans="1:17" x14ac:dyDescent="0.2">
      <c r="A536" t="s">
        <v>223</v>
      </c>
      <c r="B536" s="1">
        <v>45157</v>
      </c>
      <c r="C536" t="s">
        <v>57</v>
      </c>
      <c r="D536" t="s">
        <v>19</v>
      </c>
      <c r="E536" t="s">
        <v>247</v>
      </c>
      <c r="F536" t="s">
        <v>26</v>
      </c>
      <c r="G536">
        <v>0</v>
      </c>
      <c r="H536">
        <f>Table1[[#This Row],[UnitPrice]]*0.7*Table1[[#This Row],[UnitsSold]]</f>
        <v>0</v>
      </c>
      <c r="I536">
        <v>981.36020408163256</v>
      </c>
      <c r="J536">
        <v>0.18</v>
      </c>
      <c r="K536" t="s">
        <v>283</v>
      </c>
      <c r="L536" t="s">
        <v>55</v>
      </c>
      <c r="M536" s="3">
        <f t="shared" si="24"/>
        <v>0</v>
      </c>
      <c r="N536" t="str">
        <f t="shared" si="25"/>
        <v>August</v>
      </c>
      <c r="O536" t="str">
        <f t="shared" si="26"/>
        <v>2023</v>
      </c>
      <c r="P536" s="3">
        <f>Table1[[#This Row],[Revenue]]-Table1[[#This Row],[Cost]]</f>
        <v>0</v>
      </c>
      <c r="Q53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37" spans="1:17" x14ac:dyDescent="0.2">
      <c r="A537" t="s">
        <v>144</v>
      </c>
      <c r="B537" s="1">
        <v>45141</v>
      </c>
      <c r="C537" t="s">
        <v>12</v>
      </c>
      <c r="D537" t="s">
        <v>31</v>
      </c>
      <c r="E537" t="s">
        <v>247</v>
      </c>
      <c r="F537" t="s">
        <v>26</v>
      </c>
      <c r="G537">
        <v>0</v>
      </c>
      <c r="H537">
        <f>Table1[[#This Row],[UnitPrice]]*0.7*Table1[[#This Row],[UnitsSold]]</f>
        <v>0</v>
      </c>
      <c r="I537">
        <v>981.36020408163256</v>
      </c>
      <c r="J537">
        <v>0</v>
      </c>
      <c r="K537" t="s">
        <v>248</v>
      </c>
      <c r="L537" t="s">
        <v>249</v>
      </c>
      <c r="M537" s="3">
        <f t="shared" si="24"/>
        <v>0</v>
      </c>
      <c r="N537" t="str">
        <f t="shared" si="25"/>
        <v>August</v>
      </c>
      <c r="O537" t="str">
        <f t="shared" si="26"/>
        <v>2023</v>
      </c>
      <c r="P537" s="3">
        <f>Table1[[#This Row],[Revenue]]-Table1[[#This Row],[Cost]]</f>
        <v>0</v>
      </c>
      <c r="Q53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38" spans="1:17" x14ac:dyDescent="0.2">
      <c r="A538" t="s">
        <v>84</v>
      </c>
      <c r="B538" s="1">
        <v>45321</v>
      </c>
      <c r="C538" t="s">
        <v>37</v>
      </c>
      <c r="D538" t="s">
        <v>59</v>
      </c>
      <c r="E538" t="s">
        <v>46</v>
      </c>
      <c r="F538" t="s">
        <v>26</v>
      </c>
      <c r="G538">
        <v>4</v>
      </c>
      <c r="H538">
        <f>Table1[[#This Row],[UnitPrice]]*0.7*Table1[[#This Row],[UnitsSold]]</f>
        <v>3096.8733333333316</v>
      </c>
      <c r="I538">
        <v>1106.0261904761899</v>
      </c>
      <c r="J538">
        <v>0.15</v>
      </c>
      <c r="K538" t="s">
        <v>283</v>
      </c>
      <c r="L538" t="s">
        <v>27</v>
      </c>
      <c r="M538" s="3">
        <f t="shared" si="24"/>
        <v>3760.4890476190453</v>
      </c>
      <c r="N538" t="str">
        <f t="shared" si="25"/>
        <v>January</v>
      </c>
      <c r="O538" t="str">
        <f t="shared" si="26"/>
        <v>2024</v>
      </c>
      <c r="P538" s="3">
        <f>Table1[[#This Row],[Revenue]]-Table1[[#This Row],[Cost]]</f>
        <v>663.61571428571369</v>
      </c>
      <c r="Q538" s="6">
        <f>IF(Table1[[#This Row],[UnitsSold]]*Table1[[#This Row],[UnitPrice]]*(1-Table1[[#This Row],[Discount]])=0, 0, ((Table1[[#This Row],[UnitsSold]]*Table1[[#This Row],[UnitPrice]]*(1-Table1[[#This Row],[Discount]])) - (Table1[[#This Row],[UnitsSold]]*Table1[[#This Row],[UnitPrice]]*0.7)) / (Table1[[#This Row],[UnitsSold]]*Table1[[#This Row],[UnitPrice]]*(1-Table1[[#This Row],[Discount]])))</f>
        <v>0.17647058823529407</v>
      </c>
    </row>
    <row r="539" spans="1:17" x14ac:dyDescent="0.2">
      <c r="A539" t="s">
        <v>137</v>
      </c>
      <c r="B539" s="1">
        <v>45257</v>
      </c>
      <c r="C539" t="s">
        <v>29</v>
      </c>
      <c r="D539" t="s">
        <v>59</v>
      </c>
      <c r="E539" t="s">
        <v>247</v>
      </c>
      <c r="F539" t="s">
        <v>26</v>
      </c>
      <c r="G539">
        <v>0</v>
      </c>
      <c r="H539">
        <f>Table1[[#This Row],[UnitPrice]]*0.7*Table1[[#This Row],[UnitsSold]]</f>
        <v>0</v>
      </c>
      <c r="I539">
        <v>981.36020408163256</v>
      </c>
      <c r="J539">
        <v>0</v>
      </c>
      <c r="K539" t="s">
        <v>16</v>
      </c>
      <c r="L539" t="s">
        <v>17</v>
      </c>
      <c r="M539" s="3">
        <f t="shared" si="24"/>
        <v>0</v>
      </c>
      <c r="N539" t="str">
        <f t="shared" si="25"/>
        <v>November</v>
      </c>
      <c r="O539" t="str">
        <f t="shared" si="26"/>
        <v>2023</v>
      </c>
      <c r="P539" s="3">
        <f>Table1[[#This Row],[Revenue]]-Table1[[#This Row],[Cost]]</f>
        <v>0</v>
      </c>
      <c r="Q53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40" spans="1:17" x14ac:dyDescent="0.2">
      <c r="A540" t="s">
        <v>75</v>
      </c>
      <c r="B540" s="1">
        <v>45007</v>
      </c>
      <c r="C540" t="s">
        <v>12</v>
      </c>
      <c r="D540" t="s">
        <v>83</v>
      </c>
      <c r="E540" t="s">
        <v>44</v>
      </c>
      <c r="F540" t="s">
        <v>26</v>
      </c>
      <c r="G540">
        <v>3</v>
      </c>
      <c r="H540">
        <f>Table1[[#This Row],[UnitPrice]]*0.7*Table1[[#This Row],[UnitsSold]]</f>
        <v>2267.1108510638296</v>
      </c>
      <c r="I540">
        <v>1079.5765957446808</v>
      </c>
      <c r="J540">
        <v>0</v>
      </c>
      <c r="K540" t="s">
        <v>16</v>
      </c>
      <c r="L540" t="s">
        <v>55</v>
      </c>
      <c r="M540" s="3">
        <f t="shared" si="24"/>
        <v>3238.7297872340423</v>
      </c>
      <c r="N540" t="str">
        <f t="shared" si="25"/>
        <v>March</v>
      </c>
      <c r="O540" t="str">
        <f t="shared" si="26"/>
        <v>2023</v>
      </c>
      <c r="P540" s="3">
        <f>Table1[[#This Row],[Revenue]]-Table1[[#This Row],[Cost]]</f>
        <v>971.61893617021269</v>
      </c>
      <c r="Q540"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541" spans="1:17" x14ac:dyDescent="0.2">
      <c r="A541" t="s">
        <v>96</v>
      </c>
      <c r="B541" s="1">
        <v>45325</v>
      </c>
      <c r="C541" t="s">
        <v>12</v>
      </c>
      <c r="D541" t="s">
        <v>59</v>
      </c>
      <c r="E541" t="s">
        <v>247</v>
      </c>
      <c r="F541" t="s">
        <v>26</v>
      </c>
      <c r="G541">
        <v>0</v>
      </c>
      <c r="H541">
        <f>Table1[[#This Row],[UnitPrice]]*0.7*Table1[[#This Row],[UnitsSold]]</f>
        <v>0</v>
      </c>
      <c r="I541">
        <v>831.06</v>
      </c>
      <c r="J541">
        <v>0.11</v>
      </c>
      <c r="K541" t="s">
        <v>16</v>
      </c>
      <c r="L541" t="s">
        <v>22</v>
      </c>
      <c r="M541" s="3">
        <f t="shared" si="24"/>
        <v>0</v>
      </c>
      <c r="N541" t="str">
        <f t="shared" si="25"/>
        <v>February</v>
      </c>
      <c r="O541" t="str">
        <f t="shared" si="26"/>
        <v>2024</v>
      </c>
      <c r="P541" s="3">
        <f>Table1[[#This Row],[Revenue]]-Table1[[#This Row],[Cost]]</f>
        <v>0</v>
      </c>
      <c r="Q54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42" spans="1:17" x14ac:dyDescent="0.2">
      <c r="A542" t="s">
        <v>66</v>
      </c>
      <c r="B542" s="1">
        <v>45175</v>
      </c>
      <c r="C542" t="s">
        <v>12</v>
      </c>
      <c r="D542" t="s">
        <v>83</v>
      </c>
      <c r="E542" t="s">
        <v>247</v>
      </c>
      <c r="F542" t="s">
        <v>26</v>
      </c>
      <c r="G542">
        <v>0</v>
      </c>
      <c r="H542">
        <f>Table1[[#This Row],[UnitPrice]]*0.7*Table1[[#This Row],[UnitsSold]]</f>
        <v>0</v>
      </c>
      <c r="I542">
        <v>981.36020408163256</v>
      </c>
      <c r="J542">
        <v>0</v>
      </c>
      <c r="K542" t="s">
        <v>16</v>
      </c>
      <c r="L542" t="s">
        <v>55</v>
      </c>
      <c r="M542" s="3">
        <f t="shared" si="24"/>
        <v>0</v>
      </c>
      <c r="N542" t="str">
        <f t="shared" si="25"/>
        <v>September</v>
      </c>
      <c r="O542" t="str">
        <f t="shared" si="26"/>
        <v>2023</v>
      </c>
      <c r="P542" s="3">
        <f>Table1[[#This Row],[Revenue]]-Table1[[#This Row],[Cost]]</f>
        <v>0</v>
      </c>
      <c r="Q54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43" spans="1:17" x14ac:dyDescent="0.2">
      <c r="A543" t="s">
        <v>175</v>
      </c>
      <c r="B543" s="1">
        <v>45030</v>
      </c>
      <c r="C543" t="s">
        <v>29</v>
      </c>
      <c r="D543" t="s">
        <v>19</v>
      </c>
      <c r="E543" t="s">
        <v>46</v>
      </c>
      <c r="F543" t="s">
        <v>26</v>
      </c>
      <c r="G543">
        <v>0</v>
      </c>
      <c r="H543">
        <f>Table1[[#This Row],[UnitPrice]]*0.7*Table1[[#This Row],[UnitsSold]]</f>
        <v>0</v>
      </c>
      <c r="I543">
        <v>1106.0261904761899</v>
      </c>
      <c r="J543">
        <v>0.14000000000000001</v>
      </c>
      <c r="K543" t="s">
        <v>52</v>
      </c>
      <c r="L543" t="s">
        <v>249</v>
      </c>
      <c r="M543" s="3">
        <f t="shared" si="24"/>
        <v>0</v>
      </c>
      <c r="N543" t="str">
        <f t="shared" si="25"/>
        <v>April</v>
      </c>
      <c r="O543" t="str">
        <f t="shared" si="26"/>
        <v>2023</v>
      </c>
      <c r="P543" s="3">
        <f>Table1[[#This Row],[Revenue]]-Table1[[#This Row],[Cost]]</f>
        <v>0</v>
      </c>
      <c r="Q54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44" spans="1:17" x14ac:dyDescent="0.2">
      <c r="A544" t="s">
        <v>30</v>
      </c>
      <c r="B544" s="1">
        <v>45236</v>
      </c>
      <c r="C544" t="s">
        <v>246</v>
      </c>
      <c r="D544" t="s">
        <v>267</v>
      </c>
      <c r="E544" t="s">
        <v>25</v>
      </c>
      <c r="F544" t="s">
        <v>26</v>
      </c>
      <c r="G544">
        <v>0</v>
      </c>
      <c r="H544">
        <f>Table1[[#This Row],[UnitPrice]]*0.7*Table1[[#This Row],[UnitsSold]]</f>
        <v>0</v>
      </c>
      <c r="I544">
        <v>1940.57</v>
      </c>
      <c r="J544">
        <v>0</v>
      </c>
      <c r="K544" t="s">
        <v>42</v>
      </c>
      <c r="L544" t="s">
        <v>249</v>
      </c>
      <c r="M544" s="3">
        <f t="shared" si="24"/>
        <v>0</v>
      </c>
      <c r="N544" t="str">
        <f t="shared" si="25"/>
        <v>November</v>
      </c>
      <c r="O544" t="str">
        <f t="shared" si="26"/>
        <v>2023</v>
      </c>
      <c r="P544" s="3">
        <f>Table1[[#This Row],[Revenue]]-Table1[[#This Row],[Cost]]</f>
        <v>0</v>
      </c>
      <c r="Q54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45" spans="1:17" x14ac:dyDescent="0.2">
      <c r="A545" t="s">
        <v>213</v>
      </c>
      <c r="B545" s="1">
        <v>45169</v>
      </c>
      <c r="C545" t="s">
        <v>57</v>
      </c>
      <c r="D545" t="s">
        <v>59</v>
      </c>
      <c r="E545" t="s">
        <v>46</v>
      </c>
      <c r="F545" t="s">
        <v>26</v>
      </c>
      <c r="G545">
        <v>8</v>
      </c>
      <c r="H545">
        <f>Table1[[#This Row],[UnitPrice]]*0.7*Table1[[#This Row],[UnitsSold]]</f>
        <v>6193.7466666666633</v>
      </c>
      <c r="I545">
        <v>1106.0261904761899</v>
      </c>
      <c r="J545">
        <v>0</v>
      </c>
      <c r="K545" t="s">
        <v>16</v>
      </c>
      <c r="L545" t="s">
        <v>17</v>
      </c>
      <c r="M545" s="3">
        <f t="shared" si="24"/>
        <v>8848.2095238095189</v>
      </c>
      <c r="N545" t="str">
        <f t="shared" si="25"/>
        <v>August</v>
      </c>
      <c r="O545" t="str">
        <f t="shared" si="26"/>
        <v>2023</v>
      </c>
      <c r="P545" s="3">
        <f>Table1[[#This Row],[Revenue]]-Table1[[#This Row],[Cost]]</f>
        <v>2654.4628571428557</v>
      </c>
      <c r="Q545"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546" spans="1:17" x14ac:dyDescent="0.2">
      <c r="A546" t="s">
        <v>237</v>
      </c>
      <c r="B546" s="1">
        <v>45140</v>
      </c>
      <c r="C546" t="s">
        <v>12</v>
      </c>
      <c r="D546" t="s">
        <v>19</v>
      </c>
      <c r="E546" t="s">
        <v>38</v>
      </c>
      <c r="F546" t="s">
        <v>34</v>
      </c>
      <c r="G546">
        <v>0</v>
      </c>
      <c r="H546">
        <f>Table1[[#This Row],[UnitPrice]]*0.7*Table1[[#This Row],[UnitsSold]]</f>
        <v>0</v>
      </c>
      <c r="I546">
        <v>936.79681818181825</v>
      </c>
      <c r="J546">
        <v>0</v>
      </c>
      <c r="K546" t="s">
        <v>16</v>
      </c>
      <c r="L546" t="s">
        <v>22</v>
      </c>
      <c r="M546" s="3">
        <f t="shared" si="24"/>
        <v>0</v>
      </c>
      <c r="N546" t="str">
        <f t="shared" si="25"/>
        <v>August</v>
      </c>
      <c r="O546" t="str">
        <f t="shared" si="26"/>
        <v>2023</v>
      </c>
      <c r="P546" s="3">
        <f>Table1[[#This Row],[Revenue]]-Table1[[#This Row],[Cost]]</f>
        <v>0</v>
      </c>
      <c r="Q54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47" spans="1:17" x14ac:dyDescent="0.2">
      <c r="A547" t="s">
        <v>45</v>
      </c>
      <c r="B547" s="1">
        <v>45050</v>
      </c>
      <c r="C547" t="s">
        <v>12</v>
      </c>
      <c r="D547" t="s">
        <v>31</v>
      </c>
      <c r="E547" t="s">
        <v>25</v>
      </c>
      <c r="F547" t="s">
        <v>26</v>
      </c>
      <c r="G547">
        <v>14</v>
      </c>
      <c r="H547">
        <f>Table1[[#This Row],[UnitPrice]]*0.7*Table1[[#This Row],[UnitsSold]]</f>
        <v>9418.3547796610146</v>
      </c>
      <c r="I547">
        <v>961.05661016949136</v>
      </c>
      <c r="J547">
        <v>7.0000000000000007E-2</v>
      </c>
      <c r="K547" t="s">
        <v>16</v>
      </c>
      <c r="L547" t="s">
        <v>22</v>
      </c>
      <c r="M547" s="3">
        <f t="shared" si="24"/>
        <v>12512.957064406777</v>
      </c>
      <c r="N547" t="str">
        <f t="shared" si="25"/>
        <v>May</v>
      </c>
      <c r="O547" t="str">
        <f t="shared" si="26"/>
        <v>2023</v>
      </c>
      <c r="P547" s="3">
        <f>Table1[[#This Row],[Revenue]]-Table1[[#This Row],[Cost]]</f>
        <v>3094.6022847457625</v>
      </c>
      <c r="Q547" s="6">
        <f>IF(Table1[[#This Row],[UnitsSold]]*Table1[[#This Row],[UnitPrice]]*(1-Table1[[#This Row],[Discount]])=0, 0, ((Table1[[#This Row],[UnitsSold]]*Table1[[#This Row],[UnitPrice]]*(1-Table1[[#This Row],[Discount]])) - (Table1[[#This Row],[UnitsSold]]*Table1[[#This Row],[UnitPrice]]*0.7)) / (Table1[[#This Row],[UnitsSold]]*Table1[[#This Row],[UnitPrice]]*(1-Table1[[#This Row],[Discount]])))</f>
        <v>0.24731182795698928</v>
      </c>
    </row>
    <row r="548" spans="1:17" x14ac:dyDescent="0.2">
      <c r="A548" t="s">
        <v>104</v>
      </c>
      <c r="B548" s="1">
        <v>45083</v>
      </c>
      <c r="C548" t="s">
        <v>246</v>
      </c>
      <c r="D548" t="s">
        <v>13</v>
      </c>
      <c r="E548" t="s">
        <v>38</v>
      </c>
      <c r="F548" t="s">
        <v>34</v>
      </c>
      <c r="G548">
        <v>19</v>
      </c>
      <c r="H548">
        <f>Table1[[#This Row],[UnitPrice]]*0.7*Table1[[#This Row],[UnitsSold]]</f>
        <v>12459.397681818182</v>
      </c>
      <c r="I548">
        <v>936.79681818181825</v>
      </c>
      <c r="J548">
        <v>0</v>
      </c>
      <c r="K548" t="s">
        <v>42</v>
      </c>
      <c r="L548" t="s">
        <v>249</v>
      </c>
      <c r="M548" s="3">
        <f t="shared" si="24"/>
        <v>17799.139545454545</v>
      </c>
      <c r="N548" t="str">
        <f t="shared" si="25"/>
        <v>June</v>
      </c>
      <c r="O548" t="str">
        <f t="shared" si="26"/>
        <v>2023</v>
      </c>
      <c r="P548" s="3">
        <f>Table1[[#This Row],[Revenue]]-Table1[[#This Row],[Cost]]</f>
        <v>5339.7418636363636</v>
      </c>
      <c r="Q548"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549" spans="1:17" x14ac:dyDescent="0.2">
      <c r="A549" t="s">
        <v>95</v>
      </c>
      <c r="B549" s="1">
        <v>45247</v>
      </c>
      <c r="C549" t="s">
        <v>57</v>
      </c>
      <c r="D549" t="s">
        <v>13</v>
      </c>
      <c r="E549" t="s">
        <v>48</v>
      </c>
      <c r="F549" t="s">
        <v>39</v>
      </c>
      <c r="G549">
        <v>0</v>
      </c>
      <c r="H549">
        <f>Table1[[#This Row],[UnitPrice]]*0.7*Table1[[#This Row],[UnitsSold]]</f>
        <v>0</v>
      </c>
      <c r="I549">
        <v>1017.3087234042553</v>
      </c>
      <c r="J549">
        <v>0</v>
      </c>
      <c r="K549" t="s">
        <v>42</v>
      </c>
      <c r="L549" t="s">
        <v>55</v>
      </c>
      <c r="M549" s="3">
        <f t="shared" si="24"/>
        <v>0</v>
      </c>
      <c r="N549" t="str">
        <f t="shared" si="25"/>
        <v>November</v>
      </c>
      <c r="O549" t="str">
        <f t="shared" si="26"/>
        <v>2023</v>
      </c>
      <c r="P549" s="3">
        <f>Table1[[#This Row],[Revenue]]-Table1[[#This Row],[Cost]]</f>
        <v>0</v>
      </c>
      <c r="Q54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50" spans="1:17" x14ac:dyDescent="0.2">
      <c r="A550" t="s">
        <v>65</v>
      </c>
      <c r="B550" s="1">
        <v>45240</v>
      </c>
      <c r="C550" t="s">
        <v>37</v>
      </c>
      <c r="D550" t="s">
        <v>267</v>
      </c>
      <c r="E550" t="s">
        <v>48</v>
      </c>
      <c r="F550" t="s">
        <v>39</v>
      </c>
      <c r="G550">
        <v>0</v>
      </c>
      <c r="H550">
        <f>Table1[[#This Row],[UnitPrice]]*0.7*Table1[[#This Row],[UnitsSold]]</f>
        <v>0</v>
      </c>
      <c r="I550">
        <v>1474.16</v>
      </c>
      <c r="J550">
        <v>0</v>
      </c>
      <c r="K550" t="s">
        <v>52</v>
      </c>
      <c r="L550" t="s">
        <v>27</v>
      </c>
      <c r="M550" s="3">
        <f t="shared" si="24"/>
        <v>0</v>
      </c>
      <c r="N550" t="str">
        <f t="shared" si="25"/>
        <v>November</v>
      </c>
      <c r="O550" t="str">
        <f t="shared" si="26"/>
        <v>2023</v>
      </c>
      <c r="P550" s="3">
        <f>Table1[[#This Row],[Revenue]]-Table1[[#This Row],[Cost]]</f>
        <v>0</v>
      </c>
      <c r="Q55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51" spans="1:17" x14ac:dyDescent="0.2">
      <c r="A551" t="s">
        <v>122</v>
      </c>
      <c r="B551" s="1">
        <v>45123</v>
      </c>
      <c r="C551" t="s">
        <v>29</v>
      </c>
      <c r="D551" t="s">
        <v>83</v>
      </c>
      <c r="E551" t="s">
        <v>44</v>
      </c>
      <c r="F551" t="s">
        <v>26</v>
      </c>
      <c r="G551">
        <v>0</v>
      </c>
      <c r="H551">
        <f>Table1[[#This Row],[UnitPrice]]*0.7*Table1[[#This Row],[UnitsSold]]</f>
        <v>0</v>
      </c>
      <c r="I551">
        <v>1079.5765957446808</v>
      </c>
      <c r="J551">
        <v>0</v>
      </c>
      <c r="K551" t="s">
        <v>283</v>
      </c>
      <c r="L551" t="s">
        <v>249</v>
      </c>
      <c r="M551" s="3">
        <f t="shared" si="24"/>
        <v>0</v>
      </c>
      <c r="N551" t="str">
        <f t="shared" si="25"/>
        <v>July</v>
      </c>
      <c r="O551" t="str">
        <f t="shared" si="26"/>
        <v>2023</v>
      </c>
      <c r="P551" s="3">
        <f>Table1[[#This Row],[Revenue]]-Table1[[#This Row],[Cost]]</f>
        <v>0</v>
      </c>
      <c r="Q55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52" spans="1:17" x14ac:dyDescent="0.2">
      <c r="A552" t="s">
        <v>138</v>
      </c>
      <c r="B552" s="1">
        <v>45098</v>
      </c>
      <c r="C552" t="s">
        <v>37</v>
      </c>
      <c r="D552" t="s">
        <v>31</v>
      </c>
      <c r="E552" t="s">
        <v>46</v>
      </c>
      <c r="F552" t="s">
        <v>26</v>
      </c>
      <c r="G552">
        <v>0</v>
      </c>
      <c r="H552">
        <f>Table1[[#This Row],[UnitPrice]]*0.7*Table1[[#This Row],[UnitsSold]]</f>
        <v>0</v>
      </c>
      <c r="I552">
        <v>1106.0261904761899</v>
      </c>
      <c r="J552">
        <v>0</v>
      </c>
      <c r="K552" t="s">
        <v>52</v>
      </c>
      <c r="L552" t="s">
        <v>55</v>
      </c>
      <c r="M552" s="3">
        <f t="shared" si="24"/>
        <v>0</v>
      </c>
      <c r="N552" t="str">
        <f t="shared" si="25"/>
        <v>June</v>
      </c>
      <c r="O552" t="str">
        <f t="shared" si="26"/>
        <v>2023</v>
      </c>
      <c r="P552" s="3">
        <f>Table1[[#This Row],[Revenue]]-Table1[[#This Row],[Cost]]</f>
        <v>0</v>
      </c>
      <c r="Q55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53" spans="1:17" x14ac:dyDescent="0.2">
      <c r="A553" t="s">
        <v>238</v>
      </c>
      <c r="B553" s="1">
        <v>45275</v>
      </c>
      <c r="C553" t="s">
        <v>57</v>
      </c>
      <c r="D553" t="s">
        <v>59</v>
      </c>
      <c r="E553" t="s">
        <v>46</v>
      </c>
      <c r="F553" t="s">
        <v>26</v>
      </c>
      <c r="G553">
        <v>0</v>
      </c>
      <c r="H553">
        <f>Table1[[#This Row],[UnitPrice]]*0.7*Table1[[#This Row],[UnitsSold]]</f>
        <v>0</v>
      </c>
      <c r="I553">
        <v>1106.0261904761899</v>
      </c>
      <c r="J553">
        <v>0.16</v>
      </c>
      <c r="K553" t="s">
        <v>42</v>
      </c>
      <c r="L553" t="s">
        <v>17</v>
      </c>
      <c r="M553" s="3">
        <f t="shared" si="24"/>
        <v>0</v>
      </c>
      <c r="N553" t="str">
        <f t="shared" si="25"/>
        <v>December</v>
      </c>
      <c r="O553" t="str">
        <f t="shared" si="26"/>
        <v>2023</v>
      </c>
      <c r="P553" s="3">
        <f>Table1[[#This Row],[Revenue]]-Table1[[#This Row],[Cost]]</f>
        <v>0</v>
      </c>
      <c r="Q55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54" spans="1:17" x14ac:dyDescent="0.2">
      <c r="A554" t="s">
        <v>218</v>
      </c>
      <c r="B554" s="1">
        <v>45199</v>
      </c>
      <c r="C554" t="s">
        <v>24</v>
      </c>
      <c r="D554" t="s">
        <v>83</v>
      </c>
      <c r="E554" t="s">
        <v>44</v>
      </c>
      <c r="F554" t="s">
        <v>26</v>
      </c>
      <c r="G554">
        <v>3</v>
      </c>
      <c r="H554">
        <f>Table1[[#This Row],[UnitPrice]]*0.7*Table1[[#This Row],[UnitsSold]]</f>
        <v>2267.1108510638296</v>
      </c>
      <c r="I554">
        <v>1079.5765957446808</v>
      </c>
      <c r="J554">
        <v>0</v>
      </c>
      <c r="K554" t="s">
        <v>16</v>
      </c>
      <c r="L554" t="s">
        <v>55</v>
      </c>
      <c r="M554" s="3">
        <f t="shared" si="24"/>
        <v>3238.7297872340423</v>
      </c>
      <c r="N554" t="str">
        <f t="shared" si="25"/>
        <v>September</v>
      </c>
      <c r="O554" t="str">
        <f t="shared" si="26"/>
        <v>2023</v>
      </c>
      <c r="P554" s="3">
        <f>Table1[[#This Row],[Revenue]]-Table1[[#This Row],[Cost]]</f>
        <v>971.61893617021269</v>
      </c>
      <c r="Q554"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555" spans="1:17" x14ac:dyDescent="0.2">
      <c r="A555" t="s">
        <v>112</v>
      </c>
      <c r="B555" s="1">
        <v>44982</v>
      </c>
      <c r="C555" t="s">
        <v>246</v>
      </c>
      <c r="D555" t="s">
        <v>59</v>
      </c>
      <c r="E555" t="s">
        <v>46</v>
      </c>
      <c r="F555" t="s">
        <v>26</v>
      </c>
      <c r="G555">
        <v>16</v>
      </c>
      <c r="H555">
        <f>Table1[[#This Row],[UnitPrice]]*0.7*Table1[[#This Row],[UnitsSold]]</f>
        <v>12387.493333333327</v>
      </c>
      <c r="I555">
        <v>1106.0261904761899</v>
      </c>
      <c r="J555">
        <v>0.28999999999999998</v>
      </c>
      <c r="K555" t="s">
        <v>52</v>
      </c>
      <c r="L555" t="s">
        <v>22</v>
      </c>
      <c r="M555" s="3">
        <f t="shared" si="24"/>
        <v>12564.457523809517</v>
      </c>
      <c r="N555" t="str">
        <f t="shared" si="25"/>
        <v>February</v>
      </c>
      <c r="O555" t="str">
        <f t="shared" si="26"/>
        <v>2023</v>
      </c>
      <c r="P555" s="3">
        <f>Table1[[#This Row],[Revenue]]-Table1[[#This Row],[Cost]]</f>
        <v>176.9641904761902</v>
      </c>
      <c r="Q555" s="6">
        <f>IF(Table1[[#This Row],[UnitsSold]]*Table1[[#This Row],[UnitPrice]]*(1-Table1[[#This Row],[Discount]])=0, 0, ((Table1[[#This Row],[UnitsSold]]*Table1[[#This Row],[UnitPrice]]*(1-Table1[[#This Row],[Discount]])) - (Table1[[#This Row],[UnitsSold]]*Table1[[#This Row],[UnitPrice]]*0.7)) / (Table1[[#This Row],[UnitsSold]]*Table1[[#This Row],[UnitPrice]]*(1-Table1[[#This Row],[Discount]])))</f>
        <v>1.4084507042253508E-2</v>
      </c>
    </row>
    <row r="556" spans="1:17" x14ac:dyDescent="0.2">
      <c r="A556" t="s">
        <v>115</v>
      </c>
      <c r="B556" s="1">
        <v>45204</v>
      </c>
      <c r="C556" t="s">
        <v>246</v>
      </c>
      <c r="D556" t="s">
        <v>83</v>
      </c>
      <c r="E556" t="s">
        <v>14</v>
      </c>
      <c r="F556" t="s">
        <v>26</v>
      </c>
      <c r="G556">
        <v>0</v>
      </c>
      <c r="H556">
        <f>Table1[[#This Row],[UnitPrice]]*0.7*Table1[[#This Row],[UnitsSold]]</f>
        <v>0</v>
      </c>
      <c r="I556">
        <v>1002.870425531915</v>
      </c>
      <c r="J556">
        <v>0.06</v>
      </c>
      <c r="K556" t="s">
        <v>16</v>
      </c>
      <c r="L556" t="s">
        <v>17</v>
      </c>
      <c r="M556" s="3">
        <f t="shared" si="24"/>
        <v>0</v>
      </c>
      <c r="N556" t="str">
        <f t="shared" si="25"/>
        <v>October</v>
      </c>
      <c r="O556" t="str">
        <f t="shared" si="26"/>
        <v>2023</v>
      </c>
      <c r="P556" s="3">
        <f>Table1[[#This Row],[Revenue]]-Table1[[#This Row],[Cost]]</f>
        <v>0</v>
      </c>
      <c r="Q55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57" spans="1:17" x14ac:dyDescent="0.2">
      <c r="A557" t="s">
        <v>226</v>
      </c>
      <c r="B557" s="1">
        <v>45098</v>
      </c>
      <c r="C557" t="s">
        <v>57</v>
      </c>
      <c r="D557" t="s">
        <v>31</v>
      </c>
      <c r="E557" t="s">
        <v>14</v>
      </c>
      <c r="F557" t="s">
        <v>26</v>
      </c>
      <c r="G557">
        <v>0</v>
      </c>
      <c r="H557">
        <f>Table1[[#This Row],[UnitPrice]]*0.7*Table1[[#This Row],[UnitsSold]]</f>
        <v>0</v>
      </c>
      <c r="I557">
        <v>1002.870425531915</v>
      </c>
      <c r="J557">
        <v>0</v>
      </c>
      <c r="K557" t="s">
        <v>42</v>
      </c>
      <c r="L557" t="s">
        <v>55</v>
      </c>
      <c r="M557" s="3">
        <f t="shared" si="24"/>
        <v>0</v>
      </c>
      <c r="N557" t="str">
        <f t="shared" si="25"/>
        <v>June</v>
      </c>
      <c r="O557" t="str">
        <f t="shared" si="26"/>
        <v>2023</v>
      </c>
      <c r="P557" s="3">
        <f>Table1[[#This Row],[Revenue]]-Table1[[#This Row],[Cost]]</f>
        <v>0</v>
      </c>
      <c r="Q55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58" spans="1:17" x14ac:dyDescent="0.2">
      <c r="A558" t="s">
        <v>146</v>
      </c>
      <c r="B558" s="1">
        <v>44994</v>
      </c>
      <c r="C558" t="s">
        <v>24</v>
      </c>
      <c r="D558" t="s">
        <v>19</v>
      </c>
      <c r="E558" t="s">
        <v>25</v>
      </c>
      <c r="F558" t="s">
        <v>26</v>
      </c>
      <c r="G558">
        <v>0</v>
      </c>
      <c r="H558">
        <f>Table1[[#This Row],[UnitPrice]]*0.7*Table1[[#This Row],[UnitsSold]]</f>
        <v>0</v>
      </c>
      <c r="I558">
        <v>961.05661016949136</v>
      </c>
      <c r="J558">
        <v>0.23</v>
      </c>
      <c r="K558" t="s">
        <v>16</v>
      </c>
      <c r="L558" t="s">
        <v>55</v>
      </c>
      <c r="M558" s="3">
        <f t="shared" si="24"/>
        <v>0</v>
      </c>
      <c r="N558" t="str">
        <f t="shared" si="25"/>
        <v>March</v>
      </c>
      <c r="O558" t="str">
        <f t="shared" si="26"/>
        <v>2023</v>
      </c>
      <c r="P558" s="3">
        <f>Table1[[#This Row],[Revenue]]-Table1[[#This Row],[Cost]]</f>
        <v>0</v>
      </c>
      <c r="Q55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59" spans="1:17" x14ac:dyDescent="0.2">
      <c r="A559" t="s">
        <v>229</v>
      </c>
      <c r="B559" s="1">
        <v>45160</v>
      </c>
      <c r="C559" t="s">
        <v>246</v>
      </c>
      <c r="D559" t="s">
        <v>31</v>
      </c>
      <c r="E559" t="s">
        <v>247</v>
      </c>
      <c r="F559" t="s">
        <v>26</v>
      </c>
      <c r="G559">
        <v>10</v>
      </c>
      <c r="H559">
        <f>Table1[[#This Row],[UnitPrice]]*0.7*Table1[[#This Row],[UnitsSold]]</f>
        <v>6869.5214285714283</v>
      </c>
      <c r="I559">
        <v>981.36020408163256</v>
      </c>
      <c r="J559">
        <v>0</v>
      </c>
      <c r="K559" t="s">
        <v>16</v>
      </c>
      <c r="L559" t="s">
        <v>249</v>
      </c>
      <c r="M559" s="3">
        <f t="shared" si="24"/>
        <v>9813.6020408163258</v>
      </c>
      <c r="N559" t="str">
        <f t="shared" si="25"/>
        <v>August</v>
      </c>
      <c r="O559" t="str">
        <f t="shared" si="26"/>
        <v>2023</v>
      </c>
      <c r="P559" s="3">
        <f>Table1[[#This Row],[Revenue]]-Table1[[#This Row],[Cost]]</f>
        <v>2944.0806122448976</v>
      </c>
      <c r="Q55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560" spans="1:17" x14ac:dyDescent="0.2">
      <c r="A560" t="s">
        <v>198</v>
      </c>
      <c r="B560" s="1">
        <v>44986</v>
      </c>
      <c r="C560" t="s">
        <v>12</v>
      </c>
      <c r="D560" t="s">
        <v>59</v>
      </c>
      <c r="E560" t="s">
        <v>44</v>
      </c>
      <c r="F560" t="s">
        <v>26</v>
      </c>
      <c r="G560">
        <v>0</v>
      </c>
      <c r="H560">
        <f>Table1[[#This Row],[UnitPrice]]*0.7*Table1[[#This Row],[UnitsSold]]</f>
        <v>0</v>
      </c>
      <c r="I560">
        <v>745.65</v>
      </c>
      <c r="J560">
        <v>0.17</v>
      </c>
      <c r="K560" t="s">
        <v>283</v>
      </c>
      <c r="L560" t="s">
        <v>55</v>
      </c>
      <c r="M560" s="3">
        <f t="shared" si="24"/>
        <v>0</v>
      </c>
      <c r="N560" t="str">
        <f t="shared" si="25"/>
        <v>March</v>
      </c>
      <c r="O560" t="str">
        <f t="shared" si="26"/>
        <v>2023</v>
      </c>
      <c r="P560" s="3">
        <f>Table1[[#This Row],[Revenue]]-Table1[[#This Row],[Cost]]</f>
        <v>0</v>
      </c>
      <c r="Q56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61" spans="1:17" x14ac:dyDescent="0.2">
      <c r="A561" t="s">
        <v>159</v>
      </c>
      <c r="B561" s="1">
        <v>45002</v>
      </c>
      <c r="C561" t="s">
        <v>29</v>
      </c>
      <c r="D561" t="s">
        <v>83</v>
      </c>
      <c r="E561" t="s">
        <v>44</v>
      </c>
      <c r="F561" t="s">
        <v>26</v>
      </c>
      <c r="G561">
        <v>0</v>
      </c>
      <c r="H561">
        <f>Table1[[#This Row],[UnitPrice]]*0.7*Table1[[#This Row],[UnitsSold]]</f>
        <v>0</v>
      </c>
      <c r="I561">
        <v>251.77</v>
      </c>
      <c r="J561">
        <v>0</v>
      </c>
      <c r="K561" t="s">
        <v>16</v>
      </c>
      <c r="L561" t="s">
        <v>22</v>
      </c>
      <c r="M561" s="3">
        <f t="shared" si="24"/>
        <v>0</v>
      </c>
      <c r="N561" t="str">
        <f t="shared" si="25"/>
        <v>March</v>
      </c>
      <c r="O561" t="str">
        <f t="shared" si="26"/>
        <v>2023</v>
      </c>
      <c r="P561" s="3">
        <f>Table1[[#This Row],[Revenue]]-Table1[[#This Row],[Cost]]</f>
        <v>0</v>
      </c>
      <c r="Q56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62" spans="1:17" x14ac:dyDescent="0.2">
      <c r="A562" t="s">
        <v>169</v>
      </c>
      <c r="B562" s="1">
        <v>45006</v>
      </c>
      <c r="C562" t="s">
        <v>12</v>
      </c>
      <c r="D562" t="s">
        <v>13</v>
      </c>
      <c r="E562" t="s">
        <v>44</v>
      </c>
      <c r="F562" t="s">
        <v>26</v>
      </c>
      <c r="G562">
        <v>0</v>
      </c>
      <c r="H562">
        <f>Table1[[#This Row],[UnitPrice]]*0.7*Table1[[#This Row],[UnitsSold]]</f>
        <v>0</v>
      </c>
      <c r="I562">
        <v>1079.5765957446808</v>
      </c>
      <c r="J562">
        <v>0</v>
      </c>
      <c r="K562" t="s">
        <v>283</v>
      </c>
      <c r="L562" t="s">
        <v>249</v>
      </c>
      <c r="M562" s="3">
        <f t="shared" si="24"/>
        <v>0</v>
      </c>
      <c r="N562" t="str">
        <f t="shared" si="25"/>
        <v>March</v>
      </c>
      <c r="O562" t="str">
        <f t="shared" si="26"/>
        <v>2023</v>
      </c>
      <c r="P562" s="3">
        <f>Table1[[#This Row],[Revenue]]-Table1[[#This Row],[Cost]]</f>
        <v>0</v>
      </c>
      <c r="Q56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63" spans="1:17" x14ac:dyDescent="0.2">
      <c r="A563" t="s">
        <v>196</v>
      </c>
      <c r="B563" s="1">
        <v>45300</v>
      </c>
      <c r="C563" t="s">
        <v>57</v>
      </c>
      <c r="D563" t="s">
        <v>59</v>
      </c>
      <c r="E563" t="s">
        <v>48</v>
      </c>
      <c r="F563" t="s">
        <v>39</v>
      </c>
      <c r="G563">
        <v>16</v>
      </c>
      <c r="H563">
        <f>Table1[[#This Row],[UnitPrice]]*0.7*Table1[[#This Row],[UnitsSold]]</f>
        <v>11393.857702127658</v>
      </c>
      <c r="I563">
        <v>1017.3087234042553</v>
      </c>
      <c r="J563">
        <v>0.04</v>
      </c>
      <c r="K563" t="s">
        <v>42</v>
      </c>
      <c r="L563" t="s">
        <v>17</v>
      </c>
      <c r="M563" s="3">
        <f t="shared" si="24"/>
        <v>15625.861991489361</v>
      </c>
      <c r="N563" t="str">
        <f t="shared" si="25"/>
        <v>January</v>
      </c>
      <c r="O563" t="str">
        <f t="shared" si="26"/>
        <v>2024</v>
      </c>
      <c r="P563" s="3">
        <f>Table1[[#This Row],[Revenue]]-Table1[[#This Row],[Cost]]</f>
        <v>4232.0042893617028</v>
      </c>
      <c r="Q563" s="6">
        <f>IF(Table1[[#This Row],[UnitsSold]]*Table1[[#This Row],[UnitPrice]]*(1-Table1[[#This Row],[Discount]])=0, 0, ((Table1[[#This Row],[UnitsSold]]*Table1[[#This Row],[UnitPrice]]*(1-Table1[[#This Row],[Discount]])) - (Table1[[#This Row],[UnitsSold]]*Table1[[#This Row],[UnitPrice]]*0.7)) / (Table1[[#This Row],[UnitsSold]]*Table1[[#This Row],[UnitPrice]]*(1-Table1[[#This Row],[Discount]])))</f>
        <v>0.27083333333333337</v>
      </c>
    </row>
    <row r="564" spans="1:17" x14ac:dyDescent="0.2">
      <c r="A564" t="s">
        <v>23</v>
      </c>
      <c r="B564" s="1">
        <v>45155</v>
      </c>
      <c r="C564" t="s">
        <v>29</v>
      </c>
      <c r="D564" t="s">
        <v>19</v>
      </c>
      <c r="E564" t="s">
        <v>14</v>
      </c>
      <c r="F564" t="s">
        <v>26</v>
      </c>
      <c r="G564">
        <v>0</v>
      </c>
      <c r="H564">
        <f>Table1[[#This Row],[UnitPrice]]*0.7*Table1[[#This Row],[UnitsSold]]</f>
        <v>0</v>
      </c>
      <c r="I564">
        <v>1002.870425531915</v>
      </c>
      <c r="J564">
        <v>0</v>
      </c>
      <c r="K564" t="s">
        <v>16</v>
      </c>
      <c r="L564" t="s">
        <v>27</v>
      </c>
      <c r="M564" s="3">
        <f t="shared" si="24"/>
        <v>0</v>
      </c>
      <c r="N564" t="str">
        <f t="shared" si="25"/>
        <v>August</v>
      </c>
      <c r="O564" t="str">
        <f t="shared" si="26"/>
        <v>2023</v>
      </c>
      <c r="P564" s="3">
        <f>Table1[[#This Row],[Revenue]]-Table1[[#This Row],[Cost]]</f>
        <v>0</v>
      </c>
      <c r="Q56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65" spans="1:17" x14ac:dyDescent="0.2">
      <c r="A565" t="s">
        <v>174</v>
      </c>
      <c r="B565" s="1">
        <v>45202</v>
      </c>
      <c r="C565" t="s">
        <v>57</v>
      </c>
      <c r="D565" t="s">
        <v>13</v>
      </c>
      <c r="E565" t="s">
        <v>48</v>
      </c>
      <c r="F565" t="s">
        <v>39</v>
      </c>
      <c r="G565">
        <v>0</v>
      </c>
      <c r="H565">
        <f>Table1[[#This Row],[UnitPrice]]*0.7*Table1[[#This Row],[UnitsSold]]</f>
        <v>0</v>
      </c>
      <c r="I565">
        <v>1017.3087234042553</v>
      </c>
      <c r="J565">
        <v>0</v>
      </c>
      <c r="K565" t="s">
        <v>16</v>
      </c>
      <c r="L565" t="s">
        <v>55</v>
      </c>
      <c r="M565" s="3">
        <f t="shared" si="24"/>
        <v>0</v>
      </c>
      <c r="N565" t="str">
        <f t="shared" si="25"/>
        <v>October</v>
      </c>
      <c r="O565" t="str">
        <f t="shared" si="26"/>
        <v>2023</v>
      </c>
      <c r="P565" s="3">
        <f>Table1[[#This Row],[Revenue]]-Table1[[#This Row],[Cost]]</f>
        <v>0</v>
      </c>
      <c r="Q56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66" spans="1:17" x14ac:dyDescent="0.2">
      <c r="A566" t="s">
        <v>132</v>
      </c>
      <c r="B566" s="1">
        <v>45002</v>
      </c>
      <c r="C566" t="s">
        <v>57</v>
      </c>
      <c r="D566" t="s">
        <v>59</v>
      </c>
      <c r="E566" t="s">
        <v>38</v>
      </c>
      <c r="F566" t="s">
        <v>34</v>
      </c>
      <c r="G566">
        <v>0</v>
      </c>
      <c r="H566">
        <f>Table1[[#This Row],[UnitPrice]]*0.7*Table1[[#This Row],[UnitsSold]]</f>
        <v>0</v>
      </c>
      <c r="I566">
        <v>936.79681818181825</v>
      </c>
      <c r="J566">
        <v>0</v>
      </c>
      <c r="K566" t="s">
        <v>16</v>
      </c>
      <c r="L566" t="s">
        <v>249</v>
      </c>
      <c r="M566" s="3">
        <f t="shared" si="24"/>
        <v>0</v>
      </c>
      <c r="N566" t="str">
        <f t="shared" si="25"/>
        <v>March</v>
      </c>
      <c r="O566" t="str">
        <f t="shared" si="26"/>
        <v>2023</v>
      </c>
      <c r="P566" s="3">
        <f>Table1[[#This Row],[Revenue]]-Table1[[#This Row],[Cost]]</f>
        <v>0</v>
      </c>
      <c r="Q56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67" spans="1:17" x14ac:dyDescent="0.2">
      <c r="A567" t="s">
        <v>139</v>
      </c>
      <c r="B567" s="1">
        <v>45154</v>
      </c>
      <c r="C567" t="s">
        <v>57</v>
      </c>
      <c r="D567" t="s">
        <v>267</v>
      </c>
      <c r="E567" t="s">
        <v>38</v>
      </c>
      <c r="F567" t="s">
        <v>34</v>
      </c>
      <c r="G567">
        <v>0</v>
      </c>
      <c r="H567">
        <f>Table1[[#This Row],[UnitPrice]]*0.7*Table1[[#This Row],[UnitsSold]]</f>
        <v>0</v>
      </c>
      <c r="I567">
        <v>936.79681818181825</v>
      </c>
      <c r="J567">
        <v>0</v>
      </c>
      <c r="K567" t="s">
        <v>16</v>
      </c>
      <c r="L567" t="s">
        <v>17</v>
      </c>
      <c r="M567" s="3">
        <f t="shared" si="24"/>
        <v>0</v>
      </c>
      <c r="N567" t="str">
        <f t="shared" si="25"/>
        <v>August</v>
      </c>
      <c r="O567" t="str">
        <f t="shared" si="26"/>
        <v>2023</v>
      </c>
      <c r="P567" s="3">
        <f>Table1[[#This Row],[Revenue]]-Table1[[#This Row],[Cost]]</f>
        <v>0</v>
      </c>
      <c r="Q56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68" spans="1:17" x14ac:dyDescent="0.2">
      <c r="A568" t="s">
        <v>109</v>
      </c>
      <c r="B568" s="1">
        <v>44971</v>
      </c>
      <c r="C568" t="s">
        <v>246</v>
      </c>
      <c r="D568" t="s">
        <v>19</v>
      </c>
      <c r="E568" t="s">
        <v>14</v>
      </c>
      <c r="F568" t="s">
        <v>26</v>
      </c>
      <c r="G568">
        <v>0</v>
      </c>
      <c r="H568">
        <f>Table1[[#This Row],[UnitPrice]]*0.7*Table1[[#This Row],[UnitsSold]]</f>
        <v>0</v>
      </c>
      <c r="I568">
        <v>1002.870425531915</v>
      </c>
      <c r="J568">
        <v>0.23</v>
      </c>
      <c r="K568" t="s">
        <v>16</v>
      </c>
      <c r="L568" t="s">
        <v>22</v>
      </c>
      <c r="M568" s="3">
        <f t="shared" si="24"/>
        <v>0</v>
      </c>
      <c r="N568" t="str">
        <f t="shared" si="25"/>
        <v>February</v>
      </c>
      <c r="O568" t="str">
        <f t="shared" si="26"/>
        <v>2023</v>
      </c>
      <c r="P568" s="3">
        <f>Table1[[#This Row],[Revenue]]-Table1[[#This Row],[Cost]]</f>
        <v>0</v>
      </c>
      <c r="Q56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69" spans="1:17" x14ac:dyDescent="0.2">
      <c r="A569" t="s">
        <v>11</v>
      </c>
      <c r="B569" s="1">
        <v>45066</v>
      </c>
      <c r="C569" t="s">
        <v>57</v>
      </c>
      <c r="D569" t="s">
        <v>19</v>
      </c>
      <c r="E569" t="s">
        <v>44</v>
      </c>
      <c r="F569" t="s">
        <v>26</v>
      </c>
      <c r="G569">
        <v>19</v>
      </c>
      <c r="H569">
        <f>Table1[[#This Row],[UnitPrice]]*0.7*Table1[[#This Row],[UnitsSold]]</f>
        <v>14358.368723404254</v>
      </c>
      <c r="I569">
        <v>1079.5765957446808</v>
      </c>
      <c r="J569">
        <v>0</v>
      </c>
      <c r="K569" t="s">
        <v>16</v>
      </c>
      <c r="L569" t="s">
        <v>55</v>
      </c>
      <c r="M569" s="3">
        <f t="shared" si="24"/>
        <v>20511.955319148936</v>
      </c>
      <c r="N569" t="str">
        <f t="shared" si="25"/>
        <v>May</v>
      </c>
      <c r="O569" t="str">
        <f t="shared" si="26"/>
        <v>2023</v>
      </c>
      <c r="P569" s="3">
        <f>Table1[[#This Row],[Revenue]]-Table1[[#This Row],[Cost]]</f>
        <v>6153.5865957446822</v>
      </c>
      <c r="Q56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570" spans="1:17" x14ac:dyDescent="0.2">
      <c r="A570" t="s">
        <v>66</v>
      </c>
      <c r="B570" s="1">
        <v>45082</v>
      </c>
      <c r="C570" t="s">
        <v>57</v>
      </c>
      <c r="D570" t="s">
        <v>31</v>
      </c>
      <c r="E570" t="s">
        <v>48</v>
      </c>
      <c r="F570" t="s">
        <v>39</v>
      </c>
      <c r="G570">
        <v>8</v>
      </c>
      <c r="H570">
        <f>Table1[[#This Row],[UnitPrice]]*0.7*Table1[[#This Row],[UnitsSold]]</f>
        <v>8873.3679999999986</v>
      </c>
      <c r="I570">
        <v>1584.53</v>
      </c>
      <c r="J570">
        <v>0</v>
      </c>
      <c r="K570" t="s">
        <v>283</v>
      </c>
      <c r="L570" t="s">
        <v>22</v>
      </c>
      <c r="M570" s="3">
        <f t="shared" si="24"/>
        <v>12676.24</v>
      </c>
      <c r="N570" t="str">
        <f t="shared" si="25"/>
        <v>June</v>
      </c>
      <c r="O570" t="str">
        <f t="shared" si="26"/>
        <v>2023</v>
      </c>
      <c r="P570" s="3">
        <f>Table1[[#This Row],[Revenue]]-Table1[[#This Row],[Cost]]</f>
        <v>3802.8720000000012</v>
      </c>
      <c r="Q57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571" spans="1:17" x14ac:dyDescent="0.2">
      <c r="A571" t="s">
        <v>239</v>
      </c>
      <c r="B571" s="1">
        <v>45261</v>
      </c>
      <c r="C571" t="s">
        <v>24</v>
      </c>
      <c r="D571" t="s">
        <v>83</v>
      </c>
      <c r="E571" t="s">
        <v>247</v>
      </c>
      <c r="F571" t="s">
        <v>26</v>
      </c>
      <c r="G571">
        <v>8</v>
      </c>
      <c r="H571">
        <f>Table1[[#This Row],[UnitPrice]]*0.7*Table1[[#This Row],[UnitsSold]]</f>
        <v>5495.6171428571424</v>
      </c>
      <c r="I571">
        <v>981.36020408163256</v>
      </c>
      <c r="J571">
        <v>0.15</v>
      </c>
      <c r="K571" t="s">
        <v>248</v>
      </c>
      <c r="L571" t="s">
        <v>55</v>
      </c>
      <c r="M571" s="3">
        <f t="shared" si="24"/>
        <v>6673.2493877551015</v>
      </c>
      <c r="N571" t="str">
        <f t="shared" si="25"/>
        <v>December</v>
      </c>
      <c r="O571" t="str">
        <f t="shared" si="26"/>
        <v>2023</v>
      </c>
      <c r="P571" s="3">
        <f>Table1[[#This Row],[Revenue]]-Table1[[#This Row],[Cost]]</f>
        <v>1177.632244897959</v>
      </c>
      <c r="Q571" s="6">
        <f>IF(Table1[[#This Row],[UnitsSold]]*Table1[[#This Row],[UnitPrice]]*(1-Table1[[#This Row],[Discount]])=0, 0, ((Table1[[#This Row],[UnitsSold]]*Table1[[#This Row],[UnitPrice]]*(1-Table1[[#This Row],[Discount]])) - (Table1[[#This Row],[UnitsSold]]*Table1[[#This Row],[UnitPrice]]*0.7)) / (Table1[[#This Row],[UnitsSold]]*Table1[[#This Row],[UnitPrice]]*(1-Table1[[#This Row],[Discount]])))</f>
        <v>0.1764705882352941</v>
      </c>
    </row>
    <row r="572" spans="1:17" x14ac:dyDescent="0.2">
      <c r="A572" t="s">
        <v>220</v>
      </c>
      <c r="B572" s="1">
        <v>45173</v>
      </c>
      <c r="C572" t="s">
        <v>57</v>
      </c>
      <c r="D572" t="s">
        <v>267</v>
      </c>
      <c r="E572" t="s">
        <v>14</v>
      </c>
      <c r="F572" t="s">
        <v>26</v>
      </c>
      <c r="G572">
        <v>0</v>
      </c>
      <c r="H572">
        <f>Table1[[#This Row],[UnitPrice]]*0.7*Table1[[#This Row],[UnitsSold]]</f>
        <v>0</v>
      </c>
      <c r="I572">
        <v>1002.870425531915</v>
      </c>
      <c r="J572">
        <v>0</v>
      </c>
      <c r="K572" t="s">
        <v>16</v>
      </c>
      <c r="L572" t="s">
        <v>17</v>
      </c>
      <c r="M572" s="3">
        <f t="shared" si="24"/>
        <v>0</v>
      </c>
      <c r="N572" t="str">
        <f t="shared" si="25"/>
        <v>September</v>
      </c>
      <c r="O572" t="str">
        <f t="shared" si="26"/>
        <v>2023</v>
      </c>
      <c r="P572" s="3">
        <f>Table1[[#This Row],[Revenue]]-Table1[[#This Row],[Cost]]</f>
        <v>0</v>
      </c>
      <c r="Q57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73" spans="1:17" x14ac:dyDescent="0.2">
      <c r="A573" t="s">
        <v>53</v>
      </c>
      <c r="B573" s="1">
        <v>45001</v>
      </c>
      <c r="C573" t="s">
        <v>29</v>
      </c>
      <c r="D573" t="s">
        <v>83</v>
      </c>
      <c r="E573" t="s">
        <v>48</v>
      </c>
      <c r="F573" t="s">
        <v>39</v>
      </c>
      <c r="G573">
        <v>12</v>
      </c>
      <c r="H573">
        <f>Table1[[#This Row],[UnitPrice]]*0.7*Table1[[#This Row],[UnitsSold]]</f>
        <v>8545.3932765957434</v>
      </c>
      <c r="I573">
        <v>1017.3087234042553</v>
      </c>
      <c r="J573">
        <v>0</v>
      </c>
      <c r="K573" t="s">
        <v>16</v>
      </c>
      <c r="L573" t="s">
        <v>55</v>
      </c>
      <c r="M573" s="3">
        <f t="shared" si="24"/>
        <v>12207.704680851064</v>
      </c>
      <c r="N573" t="str">
        <f t="shared" si="25"/>
        <v>March</v>
      </c>
      <c r="O573" t="str">
        <f t="shared" si="26"/>
        <v>2023</v>
      </c>
      <c r="P573" s="3">
        <f>Table1[[#This Row],[Revenue]]-Table1[[#This Row],[Cost]]</f>
        <v>3662.3114042553207</v>
      </c>
      <c r="Q573"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574" spans="1:17" x14ac:dyDescent="0.2">
      <c r="A574" t="s">
        <v>152</v>
      </c>
      <c r="B574" s="1">
        <v>45198</v>
      </c>
      <c r="C574" t="s">
        <v>12</v>
      </c>
      <c r="D574" t="s">
        <v>31</v>
      </c>
      <c r="E574" t="s">
        <v>247</v>
      </c>
      <c r="F574" t="s">
        <v>26</v>
      </c>
      <c r="G574">
        <v>0</v>
      </c>
      <c r="H574">
        <f>Table1[[#This Row],[UnitPrice]]*0.7*Table1[[#This Row],[UnitsSold]]</f>
        <v>0</v>
      </c>
      <c r="I574">
        <v>981.36020408163256</v>
      </c>
      <c r="J574">
        <v>0</v>
      </c>
      <c r="K574" t="s">
        <v>283</v>
      </c>
      <c r="L574" t="s">
        <v>55</v>
      </c>
      <c r="M574" s="3">
        <f t="shared" si="24"/>
        <v>0</v>
      </c>
      <c r="N574" t="str">
        <f t="shared" si="25"/>
        <v>September</v>
      </c>
      <c r="O574" t="str">
        <f t="shared" si="26"/>
        <v>2023</v>
      </c>
      <c r="P574" s="3">
        <f>Table1[[#This Row],[Revenue]]-Table1[[#This Row],[Cost]]</f>
        <v>0</v>
      </c>
      <c r="Q57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75" spans="1:17" x14ac:dyDescent="0.2">
      <c r="A575" t="s">
        <v>175</v>
      </c>
      <c r="B575" s="1">
        <v>45277</v>
      </c>
      <c r="C575" t="s">
        <v>29</v>
      </c>
      <c r="D575" t="s">
        <v>19</v>
      </c>
      <c r="E575" t="s">
        <v>44</v>
      </c>
      <c r="F575" t="s">
        <v>26</v>
      </c>
      <c r="G575">
        <v>12</v>
      </c>
      <c r="H575">
        <f>Table1[[#This Row],[UnitPrice]]*0.7*Table1[[#This Row],[UnitsSold]]</f>
        <v>9068.4434042553185</v>
      </c>
      <c r="I575">
        <v>1079.5765957446808</v>
      </c>
      <c r="J575">
        <v>0</v>
      </c>
      <c r="K575" t="s">
        <v>42</v>
      </c>
      <c r="L575" t="s">
        <v>55</v>
      </c>
      <c r="M575" s="3">
        <f t="shared" si="24"/>
        <v>12954.919148936169</v>
      </c>
      <c r="N575" t="str">
        <f t="shared" si="25"/>
        <v>December</v>
      </c>
      <c r="O575" t="str">
        <f t="shared" si="26"/>
        <v>2023</v>
      </c>
      <c r="P575" s="3">
        <f>Table1[[#This Row],[Revenue]]-Table1[[#This Row],[Cost]]</f>
        <v>3886.4757446808508</v>
      </c>
      <c r="Q575"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576" spans="1:17" x14ac:dyDescent="0.2">
      <c r="A576" t="s">
        <v>72</v>
      </c>
      <c r="B576" s="1">
        <v>44979</v>
      </c>
      <c r="C576" t="s">
        <v>37</v>
      </c>
      <c r="D576" t="s">
        <v>19</v>
      </c>
      <c r="E576" t="s">
        <v>44</v>
      </c>
      <c r="F576" t="s">
        <v>26</v>
      </c>
      <c r="G576">
        <v>0</v>
      </c>
      <c r="H576">
        <f>Table1[[#This Row],[UnitPrice]]*0.7*Table1[[#This Row],[UnitsSold]]</f>
        <v>0</v>
      </c>
      <c r="I576">
        <v>1079.5765957446808</v>
      </c>
      <c r="J576">
        <v>0</v>
      </c>
      <c r="K576" t="s">
        <v>248</v>
      </c>
      <c r="L576" t="s">
        <v>27</v>
      </c>
      <c r="M576" s="3">
        <f t="shared" si="24"/>
        <v>0</v>
      </c>
      <c r="N576" t="str">
        <f t="shared" si="25"/>
        <v>February</v>
      </c>
      <c r="O576" t="str">
        <f t="shared" si="26"/>
        <v>2023</v>
      </c>
      <c r="P576" s="3">
        <f>Table1[[#This Row],[Revenue]]-Table1[[#This Row],[Cost]]</f>
        <v>0</v>
      </c>
      <c r="Q57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77" spans="1:17" x14ac:dyDescent="0.2">
      <c r="A577" t="s">
        <v>140</v>
      </c>
      <c r="B577" s="1">
        <v>45162</v>
      </c>
      <c r="C577" t="s">
        <v>12</v>
      </c>
      <c r="D577" t="s">
        <v>19</v>
      </c>
      <c r="E577" t="s">
        <v>25</v>
      </c>
      <c r="F577" t="s">
        <v>26</v>
      </c>
      <c r="G577">
        <v>0</v>
      </c>
      <c r="H577">
        <f>Table1[[#This Row],[UnitPrice]]*0.7*Table1[[#This Row],[UnitsSold]]</f>
        <v>0</v>
      </c>
      <c r="I577">
        <v>961.05661016949136</v>
      </c>
      <c r="J577">
        <v>0</v>
      </c>
      <c r="K577" t="s">
        <v>248</v>
      </c>
      <c r="L577" t="s">
        <v>17</v>
      </c>
      <c r="M577" s="3">
        <f t="shared" si="24"/>
        <v>0</v>
      </c>
      <c r="N577" t="str">
        <f t="shared" si="25"/>
        <v>August</v>
      </c>
      <c r="O577" t="str">
        <f t="shared" si="26"/>
        <v>2023</v>
      </c>
      <c r="P577" s="3">
        <f>Table1[[#This Row],[Revenue]]-Table1[[#This Row],[Cost]]</f>
        <v>0</v>
      </c>
      <c r="Q57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78" spans="1:17" x14ac:dyDescent="0.2">
      <c r="A578" t="s">
        <v>99</v>
      </c>
      <c r="B578" s="1">
        <v>45102</v>
      </c>
      <c r="C578" t="s">
        <v>246</v>
      </c>
      <c r="D578" t="s">
        <v>13</v>
      </c>
      <c r="E578" t="s">
        <v>14</v>
      </c>
      <c r="F578" t="s">
        <v>26</v>
      </c>
      <c r="G578">
        <v>4</v>
      </c>
      <c r="H578">
        <f>Table1[[#This Row],[UnitPrice]]*0.7*Table1[[#This Row],[UnitsSold]]</f>
        <v>2808.0371914893617</v>
      </c>
      <c r="I578">
        <v>1002.870425531915</v>
      </c>
      <c r="J578">
        <v>0.04</v>
      </c>
      <c r="K578" t="s">
        <v>52</v>
      </c>
      <c r="L578" t="s">
        <v>249</v>
      </c>
      <c r="M578" s="3">
        <f t="shared" ref="M578:M641" si="27">G578*I578*(1-J578)</f>
        <v>3851.0224340425534</v>
      </c>
      <c r="N578" t="str">
        <f t="shared" ref="N578:N641" si="28">TEXT(B578, "mmmm")</f>
        <v>June</v>
      </c>
      <c r="O578" t="str">
        <f t="shared" ref="O578:O641" si="29">TEXT(B578, "yyyy")</f>
        <v>2023</v>
      </c>
      <c r="P578" s="3">
        <f>Table1[[#This Row],[Revenue]]-Table1[[#This Row],[Cost]]</f>
        <v>1042.9852425531917</v>
      </c>
      <c r="Q578" s="6">
        <f>IF(Table1[[#This Row],[UnitsSold]]*Table1[[#This Row],[UnitPrice]]*(1-Table1[[#This Row],[Discount]])=0, 0, ((Table1[[#This Row],[UnitsSold]]*Table1[[#This Row],[UnitPrice]]*(1-Table1[[#This Row],[Discount]])) - (Table1[[#This Row],[UnitsSold]]*Table1[[#This Row],[UnitPrice]]*0.7)) / (Table1[[#This Row],[UnitsSold]]*Table1[[#This Row],[UnitPrice]]*(1-Table1[[#This Row],[Discount]])))</f>
        <v>0.27083333333333337</v>
      </c>
    </row>
    <row r="579" spans="1:17" x14ac:dyDescent="0.2">
      <c r="A579" t="s">
        <v>225</v>
      </c>
      <c r="B579" s="1">
        <v>44993</v>
      </c>
      <c r="C579" t="s">
        <v>12</v>
      </c>
      <c r="D579" t="s">
        <v>83</v>
      </c>
      <c r="E579" t="s">
        <v>48</v>
      </c>
      <c r="F579" t="s">
        <v>39</v>
      </c>
      <c r="G579">
        <v>3</v>
      </c>
      <c r="H579">
        <f>Table1[[#This Row],[UnitPrice]]*0.7*Table1[[#This Row],[UnitsSold]]</f>
        <v>2136.3483191489358</v>
      </c>
      <c r="I579">
        <v>1017.3087234042553</v>
      </c>
      <c r="J579">
        <v>0.01</v>
      </c>
      <c r="K579" t="s">
        <v>16</v>
      </c>
      <c r="L579" t="s">
        <v>17</v>
      </c>
      <c r="M579" s="3">
        <f t="shared" si="27"/>
        <v>3021.4069085106385</v>
      </c>
      <c r="N579" t="str">
        <f t="shared" si="28"/>
        <v>March</v>
      </c>
      <c r="O579" t="str">
        <f t="shared" si="29"/>
        <v>2023</v>
      </c>
      <c r="P579" s="3">
        <f>Table1[[#This Row],[Revenue]]-Table1[[#This Row],[Cost]]</f>
        <v>885.05858936170262</v>
      </c>
      <c r="Q579" s="6">
        <f>IF(Table1[[#This Row],[UnitsSold]]*Table1[[#This Row],[UnitPrice]]*(1-Table1[[#This Row],[Discount]])=0, 0, ((Table1[[#This Row],[UnitsSold]]*Table1[[#This Row],[UnitPrice]]*(1-Table1[[#This Row],[Discount]])) - (Table1[[#This Row],[UnitsSold]]*Table1[[#This Row],[UnitPrice]]*0.7)) / (Table1[[#This Row],[UnitsSold]]*Table1[[#This Row],[UnitPrice]]*(1-Table1[[#This Row],[Discount]])))</f>
        <v>0.29292929292929293</v>
      </c>
    </row>
    <row r="580" spans="1:17" x14ac:dyDescent="0.2">
      <c r="A580" t="s">
        <v>213</v>
      </c>
      <c r="B580" s="1">
        <v>44957</v>
      </c>
      <c r="C580" t="s">
        <v>57</v>
      </c>
      <c r="D580" t="s">
        <v>19</v>
      </c>
      <c r="E580" t="s">
        <v>14</v>
      </c>
      <c r="F580" t="s">
        <v>26</v>
      </c>
      <c r="G580">
        <v>0</v>
      </c>
      <c r="H580">
        <f>Table1[[#This Row],[UnitPrice]]*0.7*Table1[[#This Row],[UnitsSold]]</f>
        <v>0</v>
      </c>
      <c r="I580">
        <v>1338.5</v>
      </c>
      <c r="J580">
        <v>0</v>
      </c>
      <c r="K580" t="s">
        <v>16</v>
      </c>
      <c r="L580" t="s">
        <v>17</v>
      </c>
      <c r="M580" s="3">
        <f t="shared" si="27"/>
        <v>0</v>
      </c>
      <c r="N580" t="str">
        <f t="shared" si="28"/>
        <v>January</v>
      </c>
      <c r="O580" t="str">
        <f t="shared" si="29"/>
        <v>2023</v>
      </c>
      <c r="P580" s="3">
        <f>Table1[[#This Row],[Revenue]]-Table1[[#This Row],[Cost]]</f>
        <v>0</v>
      </c>
      <c r="Q58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81" spans="1:17" x14ac:dyDescent="0.2">
      <c r="A581" t="s">
        <v>217</v>
      </c>
      <c r="B581" s="1">
        <v>45021</v>
      </c>
      <c r="C581" t="s">
        <v>29</v>
      </c>
      <c r="D581" t="s">
        <v>19</v>
      </c>
      <c r="E581" t="s">
        <v>46</v>
      </c>
      <c r="F581" t="s">
        <v>26</v>
      </c>
      <c r="G581">
        <v>0</v>
      </c>
      <c r="H581">
        <f>Table1[[#This Row],[UnitPrice]]*0.7*Table1[[#This Row],[UnitsSold]]</f>
        <v>0</v>
      </c>
      <c r="I581">
        <v>702.19</v>
      </c>
      <c r="J581">
        <v>0</v>
      </c>
      <c r="K581" t="s">
        <v>248</v>
      </c>
      <c r="L581" t="s">
        <v>249</v>
      </c>
      <c r="M581" s="3">
        <f t="shared" si="27"/>
        <v>0</v>
      </c>
      <c r="N581" t="str">
        <f t="shared" si="28"/>
        <v>April</v>
      </c>
      <c r="O581" t="str">
        <f t="shared" si="29"/>
        <v>2023</v>
      </c>
      <c r="P581" s="3">
        <f>Table1[[#This Row],[Revenue]]-Table1[[#This Row],[Cost]]</f>
        <v>0</v>
      </c>
      <c r="Q58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82" spans="1:17" x14ac:dyDescent="0.2">
      <c r="A582" t="s">
        <v>91</v>
      </c>
      <c r="B582" s="1">
        <v>45218</v>
      </c>
      <c r="C582" t="s">
        <v>12</v>
      </c>
      <c r="D582" t="s">
        <v>19</v>
      </c>
      <c r="E582" t="s">
        <v>25</v>
      </c>
      <c r="F582" t="s">
        <v>26</v>
      </c>
      <c r="G582">
        <v>0</v>
      </c>
      <c r="H582">
        <f>Table1[[#This Row],[UnitPrice]]*0.7*Table1[[#This Row],[UnitsSold]]</f>
        <v>0</v>
      </c>
      <c r="I582">
        <v>441.83</v>
      </c>
      <c r="J582">
        <v>0.28999999999999998</v>
      </c>
      <c r="K582" t="s">
        <v>248</v>
      </c>
      <c r="L582" t="s">
        <v>27</v>
      </c>
      <c r="M582" s="3">
        <f t="shared" si="27"/>
        <v>0</v>
      </c>
      <c r="N582" t="str">
        <f t="shared" si="28"/>
        <v>October</v>
      </c>
      <c r="O582" t="str">
        <f t="shared" si="29"/>
        <v>2023</v>
      </c>
      <c r="P582" s="3">
        <f>Table1[[#This Row],[Revenue]]-Table1[[#This Row],[Cost]]</f>
        <v>0</v>
      </c>
      <c r="Q58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83" spans="1:17" x14ac:dyDescent="0.2">
      <c r="A583" t="s">
        <v>165</v>
      </c>
      <c r="B583" s="1">
        <v>44977</v>
      </c>
      <c r="C583" t="s">
        <v>37</v>
      </c>
      <c r="D583" t="s">
        <v>31</v>
      </c>
      <c r="E583" t="s">
        <v>25</v>
      </c>
      <c r="F583" t="s">
        <v>26</v>
      </c>
      <c r="G583">
        <v>0</v>
      </c>
      <c r="H583">
        <f>Table1[[#This Row],[UnitPrice]]*0.7*Table1[[#This Row],[UnitsSold]]</f>
        <v>0</v>
      </c>
      <c r="I583">
        <v>961.05661016949136</v>
      </c>
      <c r="J583">
        <v>0.2</v>
      </c>
      <c r="K583" t="s">
        <v>16</v>
      </c>
      <c r="L583" t="s">
        <v>55</v>
      </c>
      <c r="M583" s="3">
        <f t="shared" si="27"/>
        <v>0</v>
      </c>
      <c r="N583" t="str">
        <f t="shared" si="28"/>
        <v>February</v>
      </c>
      <c r="O583" t="str">
        <f t="shared" si="29"/>
        <v>2023</v>
      </c>
      <c r="P583" s="3">
        <f>Table1[[#This Row],[Revenue]]-Table1[[#This Row],[Cost]]</f>
        <v>0</v>
      </c>
      <c r="Q58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84" spans="1:17" x14ac:dyDescent="0.2">
      <c r="A584" t="s">
        <v>28</v>
      </c>
      <c r="B584" s="1">
        <v>45144</v>
      </c>
      <c r="C584" t="s">
        <v>37</v>
      </c>
      <c r="D584" t="s">
        <v>31</v>
      </c>
      <c r="E584" t="s">
        <v>247</v>
      </c>
      <c r="F584" t="s">
        <v>26</v>
      </c>
      <c r="G584">
        <v>0</v>
      </c>
      <c r="H584">
        <f>Table1[[#This Row],[UnitPrice]]*0.7*Table1[[#This Row],[UnitsSold]]</f>
        <v>0</v>
      </c>
      <c r="I584">
        <v>255.99</v>
      </c>
      <c r="J584">
        <v>0</v>
      </c>
      <c r="K584" t="s">
        <v>52</v>
      </c>
      <c r="L584" t="s">
        <v>55</v>
      </c>
      <c r="M584" s="3">
        <f t="shared" si="27"/>
        <v>0</v>
      </c>
      <c r="N584" t="str">
        <f t="shared" si="28"/>
        <v>August</v>
      </c>
      <c r="O584" t="str">
        <f t="shared" si="29"/>
        <v>2023</v>
      </c>
      <c r="P584" s="3">
        <f>Table1[[#This Row],[Revenue]]-Table1[[#This Row],[Cost]]</f>
        <v>0</v>
      </c>
      <c r="Q58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85" spans="1:17" x14ac:dyDescent="0.2">
      <c r="A585" t="s">
        <v>94</v>
      </c>
      <c r="B585" s="1">
        <v>45296</v>
      </c>
      <c r="C585" t="s">
        <v>12</v>
      </c>
      <c r="D585" t="s">
        <v>19</v>
      </c>
      <c r="E585" t="s">
        <v>14</v>
      </c>
      <c r="F585" t="s">
        <v>26</v>
      </c>
      <c r="G585">
        <v>0</v>
      </c>
      <c r="H585">
        <f>Table1[[#This Row],[UnitPrice]]*0.7*Table1[[#This Row],[UnitsSold]]</f>
        <v>0</v>
      </c>
      <c r="I585">
        <v>1002.870425531915</v>
      </c>
      <c r="J585">
        <v>0</v>
      </c>
      <c r="K585" t="s">
        <v>42</v>
      </c>
      <c r="L585" t="s">
        <v>249</v>
      </c>
      <c r="M585" s="3">
        <f t="shared" si="27"/>
        <v>0</v>
      </c>
      <c r="N585" t="str">
        <f t="shared" si="28"/>
        <v>January</v>
      </c>
      <c r="O585" t="str">
        <f t="shared" si="29"/>
        <v>2024</v>
      </c>
      <c r="P585" s="3">
        <f>Table1[[#This Row],[Revenue]]-Table1[[#This Row],[Cost]]</f>
        <v>0</v>
      </c>
      <c r="Q58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86" spans="1:17" x14ac:dyDescent="0.2">
      <c r="A586" t="s">
        <v>219</v>
      </c>
      <c r="B586" s="1">
        <v>45135</v>
      </c>
      <c r="C586" t="s">
        <v>24</v>
      </c>
      <c r="D586" t="s">
        <v>267</v>
      </c>
      <c r="E586" t="s">
        <v>38</v>
      </c>
      <c r="F586" t="s">
        <v>34</v>
      </c>
      <c r="G586">
        <v>0</v>
      </c>
      <c r="H586">
        <f>Table1[[#This Row],[UnitPrice]]*0.7*Table1[[#This Row],[UnitsSold]]</f>
        <v>0</v>
      </c>
      <c r="I586">
        <v>936.79681818181825</v>
      </c>
      <c r="J586">
        <v>0</v>
      </c>
      <c r="K586" t="s">
        <v>42</v>
      </c>
      <c r="L586" t="s">
        <v>27</v>
      </c>
      <c r="M586" s="3">
        <f t="shared" si="27"/>
        <v>0</v>
      </c>
      <c r="N586" t="str">
        <f t="shared" si="28"/>
        <v>July</v>
      </c>
      <c r="O586" t="str">
        <f t="shared" si="29"/>
        <v>2023</v>
      </c>
      <c r="P586" s="3">
        <f>Table1[[#This Row],[Revenue]]-Table1[[#This Row],[Cost]]</f>
        <v>0</v>
      </c>
      <c r="Q58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87" spans="1:17" x14ac:dyDescent="0.2">
      <c r="A587" t="s">
        <v>132</v>
      </c>
      <c r="B587" s="1">
        <v>45151</v>
      </c>
      <c r="C587" t="s">
        <v>12</v>
      </c>
      <c r="D587" t="s">
        <v>19</v>
      </c>
      <c r="E587" t="s">
        <v>247</v>
      </c>
      <c r="F587" t="s">
        <v>26</v>
      </c>
      <c r="G587">
        <v>0</v>
      </c>
      <c r="H587">
        <f>Table1[[#This Row],[UnitPrice]]*0.7*Table1[[#This Row],[UnitsSold]]</f>
        <v>0</v>
      </c>
      <c r="I587">
        <v>1185.21</v>
      </c>
      <c r="J587">
        <v>0.22</v>
      </c>
      <c r="K587" t="s">
        <v>16</v>
      </c>
      <c r="L587" t="s">
        <v>55</v>
      </c>
      <c r="M587" s="3">
        <f t="shared" si="27"/>
        <v>0</v>
      </c>
      <c r="N587" t="str">
        <f t="shared" si="28"/>
        <v>August</v>
      </c>
      <c r="O587" t="str">
        <f t="shared" si="29"/>
        <v>2023</v>
      </c>
      <c r="P587" s="3">
        <f>Table1[[#This Row],[Revenue]]-Table1[[#This Row],[Cost]]</f>
        <v>0</v>
      </c>
      <c r="Q58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88" spans="1:17" x14ac:dyDescent="0.2">
      <c r="A588" t="s">
        <v>240</v>
      </c>
      <c r="B588" s="1">
        <v>45100</v>
      </c>
      <c r="C588" t="s">
        <v>37</v>
      </c>
      <c r="D588" t="s">
        <v>31</v>
      </c>
      <c r="E588" t="s">
        <v>25</v>
      </c>
      <c r="F588" t="s">
        <v>26</v>
      </c>
      <c r="G588">
        <v>4</v>
      </c>
      <c r="H588">
        <f>Table1[[#This Row],[UnitPrice]]*0.7*Table1[[#This Row],[UnitsSold]]</f>
        <v>2690.9585084745759</v>
      </c>
      <c r="I588">
        <v>961.05661016949136</v>
      </c>
      <c r="J588">
        <v>0</v>
      </c>
      <c r="K588" t="s">
        <v>248</v>
      </c>
      <c r="L588" t="s">
        <v>17</v>
      </c>
      <c r="M588" s="3">
        <f t="shared" si="27"/>
        <v>3844.2264406779655</v>
      </c>
      <c r="N588" t="str">
        <f t="shared" si="28"/>
        <v>June</v>
      </c>
      <c r="O588" t="str">
        <f t="shared" si="29"/>
        <v>2023</v>
      </c>
      <c r="P588" s="3">
        <f>Table1[[#This Row],[Revenue]]-Table1[[#This Row],[Cost]]</f>
        <v>1153.2679322033896</v>
      </c>
      <c r="Q588"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589" spans="1:17" x14ac:dyDescent="0.2">
      <c r="A589" t="s">
        <v>175</v>
      </c>
      <c r="B589" s="1">
        <v>45314</v>
      </c>
      <c r="C589" t="s">
        <v>57</v>
      </c>
      <c r="D589" t="s">
        <v>59</v>
      </c>
      <c r="E589" t="s">
        <v>38</v>
      </c>
      <c r="F589" t="s">
        <v>34</v>
      </c>
      <c r="G589">
        <v>0</v>
      </c>
      <c r="H589">
        <f>Table1[[#This Row],[UnitPrice]]*0.7*Table1[[#This Row],[UnitsSold]]</f>
        <v>0</v>
      </c>
      <c r="I589">
        <v>1027.71</v>
      </c>
      <c r="J589">
        <v>0.23</v>
      </c>
      <c r="K589" t="s">
        <v>16</v>
      </c>
      <c r="L589" t="s">
        <v>55</v>
      </c>
      <c r="M589" s="3">
        <f t="shared" si="27"/>
        <v>0</v>
      </c>
      <c r="N589" t="str">
        <f t="shared" si="28"/>
        <v>January</v>
      </c>
      <c r="O589" t="str">
        <f t="shared" si="29"/>
        <v>2024</v>
      </c>
      <c r="P589" s="3">
        <f>Table1[[#This Row],[Revenue]]-Table1[[#This Row],[Cost]]</f>
        <v>0</v>
      </c>
      <c r="Q58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90" spans="1:17" x14ac:dyDescent="0.2">
      <c r="A590" t="s">
        <v>164</v>
      </c>
      <c r="B590" s="1">
        <v>45181</v>
      </c>
      <c r="C590" t="s">
        <v>37</v>
      </c>
      <c r="D590" t="s">
        <v>13</v>
      </c>
      <c r="E590" t="s">
        <v>247</v>
      </c>
      <c r="F590" t="s">
        <v>26</v>
      </c>
      <c r="G590">
        <v>0</v>
      </c>
      <c r="H590">
        <f>Table1[[#This Row],[UnitPrice]]*0.7*Table1[[#This Row],[UnitsSold]]</f>
        <v>0</v>
      </c>
      <c r="I590">
        <v>115.18</v>
      </c>
      <c r="J590">
        <v>0.15</v>
      </c>
      <c r="K590" t="s">
        <v>16</v>
      </c>
      <c r="L590" t="s">
        <v>22</v>
      </c>
      <c r="M590" s="3">
        <f t="shared" si="27"/>
        <v>0</v>
      </c>
      <c r="N590" t="str">
        <f t="shared" si="28"/>
        <v>September</v>
      </c>
      <c r="O590" t="str">
        <f t="shared" si="29"/>
        <v>2023</v>
      </c>
      <c r="P590" s="3">
        <f>Table1[[#This Row],[Revenue]]-Table1[[#This Row],[Cost]]</f>
        <v>0</v>
      </c>
      <c r="Q59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91" spans="1:17" x14ac:dyDescent="0.2">
      <c r="A591" t="s">
        <v>136</v>
      </c>
      <c r="B591" s="1">
        <v>45274</v>
      </c>
      <c r="C591" t="s">
        <v>29</v>
      </c>
      <c r="D591" t="s">
        <v>19</v>
      </c>
      <c r="E591" t="s">
        <v>14</v>
      </c>
      <c r="F591" t="s">
        <v>26</v>
      </c>
      <c r="G591">
        <v>20</v>
      </c>
      <c r="H591">
        <f>Table1[[#This Row],[UnitPrice]]*0.7*Table1[[#This Row],[UnitsSold]]</f>
        <v>14040.185957446809</v>
      </c>
      <c r="I591">
        <v>1002.870425531915</v>
      </c>
      <c r="J591">
        <v>0</v>
      </c>
      <c r="K591" t="s">
        <v>42</v>
      </c>
      <c r="L591" t="s">
        <v>249</v>
      </c>
      <c r="M591" s="3">
        <f t="shared" si="27"/>
        <v>20057.408510638299</v>
      </c>
      <c r="N591" t="str">
        <f t="shared" si="28"/>
        <v>December</v>
      </c>
      <c r="O591" t="str">
        <f t="shared" si="29"/>
        <v>2023</v>
      </c>
      <c r="P591" s="3">
        <f>Table1[[#This Row],[Revenue]]-Table1[[#This Row],[Cost]]</f>
        <v>6017.2225531914901</v>
      </c>
      <c r="Q59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592" spans="1:17" x14ac:dyDescent="0.2">
      <c r="A592" t="s">
        <v>30</v>
      </c>
      <c r="B592" s="1">
        <v>45265</v>
      </c>
      <c r="C592" t="s">
        <v>57</v>
      </c>
      <c r="D592" t="s">
        <v>83</v>
      </c>
      <c r="E592" t="s">
        <v>44</v>
      </c>
      <c r="F592" t="s">
        <v>26</v>
      </c>
      <c r="G592">
        <v>0</v>
      </c>
      <c r="H592">
        <f>Table1[[#This Row],[UnitPrice]]*0.7*Table1[[#This Row],[UnitsSold]]</f>
        <v>0</v>
      </c>
      <c r="I592">
        <v>1079.5765957446808</v>
      </c>
      <c r="J592">
        <v>0.16</v>
      </c>
      <c r="K592" t="s">
        <v>42</v>
      </c>
      <c r="L592" t="s">
        <v>27</v>
      </c>
      <c r="M592" s="3">
        <f t="shared" si="27"/>
        <v>0</v>
      </c>
      <c r="N592" t="str">
        <f t="shared" si="28"/>
        <v>December</v>
      </c>
      <c r="O592" t="str">
        <f t="shared" si="29"/>
        <v>2023</v>
      </c>
      <c r="P592" s="3">
        <f>Table1[[#This Row],[Revenue]]-Table1[[#This Row],[Cost]]</f>
        <v>0</v>
      </c>
      <c r="Q59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93" spans="1:17" x14ac:dyDescent="0.2">
      <c r="A593" t="s">
        <v>142</v>
      </c>
      <c r="B593" s="1">
        <v>45157</v>
      </c>
      <c r="C593" t="s">
        <v>29</v>
      </c>
      <c r="D593" t="s">
        <v>267</v>
      </c>
      <c r="E593" t="s">
        <v>38</v>
      </c>
      <c r="F593" t="s">
        <v>34</v>
      </c>
      <c r="G593">
        <v>15</v>
      </c>
      <c r="H593">
        <f>Table1[[#This Row],[UnitPrice]]*0.7*Table1[[#This Row],[UnitsSold]]</f>
        <v>9836.3665909090905</v>
      </c>
      <c r="I593">
        <v>936.79681818181825</v>
      </c>
      <c r="J593">
        <v>0</v>
      </c>
      <c r="K593" t="s">
        <v>283</v>
      </c>
      <c r="L593" t="s">
        <v>249</v>
      </c>
      <c r="M593" s="3">
        <f t="shared" si="27"/>
        <v>14051.952272727274</v>
      </c>
      <c r="N593" t="str">
        <f t="shared" si="28"/>
        <v>August</v>
      </c>
      <c r="O593" t="str">
        <f t="shared" si="29"/>
        <v>2023</v>
      </c>
      <c r="P593" s="3">
        <f>Table1[[#This Row],[Revenue]]-Table1[[#This Row],[Cost]]</f>
        <v>4215.5856818181837</v>
      </c>
      <c r="Q593"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594" spans="1:17" x14ac:dyDescent="0.2">
      <c r="A594" t="s">
        <v>164</v>
      </c>
      <c r="B594" s="1">
        <v>45147</v>
      </c>
      <c r="C594" t="s">
        <v>246</v>
      </c>
      <c r="D594" t="s">
        <v>59</v>
      </c>
      <c r="E594" t="s">
        <v>48</v>
      </c>
      <c r="F594" t="s">
        <v>39</v>
      </c>
      <c r="G594">
        <v>16</v>
      </c>
      <c r="H594">
        <f>Table1[[#This Row],[UnitPrice]]*0.7*Table1[[#This Row],[UnitsSold]]</f>
        <v>11393.857702127658</v>
      </c>
      <c r="I594">
        <v>1017.3087234042553</v>
      </c>
      <c r="J594">
        <v>0</v>
      </c>
      <c r="K594" t="s">
        <v>248</v>
      </c>
      <c r="L594" t="s">
        <v>17</v>
      </c>
      <c r="M594" s="3">
        <f t="shared" si="27"/>
        <v>16276.939574468084</v>
      </c>
      <c r="N594" t="str">
        <f t="shared" si="28"/>
        <v>August</v>
      </c>
      <c r="O594" t="str">
        <f t="shared" si="29"/>
        <v>2023</v>
      </c>
      <c r="P594" s="3">
        <f>Table1[[#This Row],[Revenue]]-Table1[[#This Row],[Cost]]</f>
        <v>4883.0818723404263</v>
      </c>
      <c r="Q594"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595" spans="1:17" x14ac:dyDescent="0.2">
      <c r="A595" t="s">
        <v>103</v>
      </c>
      <c r="B595" s="1">
        <v>45170</v>
      </c>
      <c r="C595" t="s">
        <v>246</v>
      </c>
      <c r="D595" t="s">
        <v>31</v>
      </c>
      <c r="E595" t="s">
        <v>46</v>
      </c>
      <c r="F595" t="s">
        <v>26</v>
      </c>
      <c r="G595">
        <v>0</v>
      </c>
      <c r="H595">
        <f>Table1[[#This Row],[UnitPrice]]*0.7*Table1[[#This Row],[UnitsSold]]</f>
        <v>0</v>
      </c>
      <c r="I595">
        <v>1106.0261904761899</v>
      </c>
      <c r="J595">
        <v>0</v>
      </c>
      <c r="K595" t="s">
        <v>52</v>
      </c>
      <c r="L595" t="s">
        <v>55</v>
      </c>
      <c r="M595" s="3">
        <f t="shared" si="27"/>
        <v>0</v>
      </c>
      <c r="N595" t="str">
        <f t="shared" si="28"/>
        <v>September</v>
      </c>
      <c r="O595" t="str">
        <f t="shared" si="29"/>
        <v>2023</v>
      </c>
      <c r="P595" s="3">
        <f>Table1[[#This Row],[Revenue]]-Table1[[#This Row],[Cost]]</f>
        <v>0</v>
      </c>
      <c r="Q59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96" spans="1:17" x14ac:dyDescent="0.2">
      <c r="A596" t="s">
        <v>62</v>
      </c>
      <c r="B596" s="1">
        <v>44941</v>
      </c>
      <c r="C596" t="s">
        <v>12</v>
      </c>
      <c r="D596" t="s">
        <v>19</v>
      </c>
      <c r="E596" t="s">
        <v>25</v>
      </c>
      <c r="F596" t="s">
        <v>26</v>
      </c>
      <c r="G596">
        <v>0</v>
      </c>
      <c r="H596">
        <f>Table1[[#This Row],[UnitPrice]]*0.7*Table1[[#This Row],[UnitsSold]]</f>
        <v>0</v>
      </c>
      <c r="I596">
        <v>961.05661016949136</v>
      </c>
      <c r="J596">
        <v>0.1</v>
      </c>
      <c r="K596" t="s">
        <v>42</v>
      </c>
      <c r="L596" t="s">
        <v>55</v>
      </c>
      <c r="M596" s="3">
        <f t="shared" si="27"/>
        <v>0</v>
      </c>
      <c r="N596" t="str">
        <f t="shared" si="28"/>
        <v>January</v>
      </c>
      <c r="O596" t="str">
        <f t="shared" si="29"/>
        <v>2023</v>
      </c>
      <c r="P596" s="3">
        <f>Table1[[#This Row],[Revenue]]-Table1[[#This Row],[Cost]]</f>
        <v>0</v>
      </c>
      <c r="Q59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97" spans="1:17" x14ac:dyDescent="0.2">
      <c r="A597" t="s">
        <v>230</v>
      </c>
      <c r="B597" s="1">
        <v>45137</v>
      </c>
      <c r="C597" t="s">
        <v>29</v>
      </c>
      <c r="D597" t="s">
        <v>19</v>
      </c>
      <c r="E597" t="s">
        <v>48</v>
      </c>
      <c r="F597" t="s">
        <v>39</v>
      </c>
      <c r="G597">
        <v>8</v>
      </c>
      <c r="H597">
        <f>Table1[[#This Row],[UnitPrice]]*0.7*Table1[[#This Row],[UnitsSold]]</f>
        <v>5696.9288510638289</v>
      </c>
      <c r="I597">
        <v>1017.3087234042553</v>
      </c>
      <c r="J597">
        <v>0</v>
      </c>
      <c r="K597" t="s">
        <v>16</v>
      </c>
      <c r="L597" t="s">
        <v>55</v>
      </c>
      <c r="M597" s="3">
        <f t="shared" si="27"/>
        <v>8138.4697872340421</v>
      </c>
      <c r="N597" t="str">
        <f t="shared" si="28"/>
        <v>July</v>
      </c>
      <c r="O597" t="str">
        <f t="shared" si="29"/>
        <v>2023</v>
      </c>
      <c r="P597" s="3">
        <f>Table1[[#This Row],[Revenue]]-Table1[[#This Row],[Cost]]</f>
        <v>2441.5409361702132</v>
      </c>
      <c r="Q59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598" spans="1:17" x14ac:dyDescent="0.2">
      <c r="A598" t="s">
        <v>118</v>
      </c>
      <c r="B598" s="1">
        <v>45099</v>
      </c>
      <c r="C598" t="s">
        <v>246</v>
      </c>
      <c r="D598" t="s">
        <v>19</v>
      </c>
      <c r="E598" t="s">
        <v>44</v>
      </c>
      <c r="F598" t="s">
        <v>26</v>
      </c>
      <c r="G598">
        <v>0</v>
      </c>
      <c r="H598">
        <f>Table1[[#This Row],[UnitPrice]]*0.7*Table1[[#This Row],[UnitsSold]]</f>
        <v>0</v>
      </c>
      <c r="I598">
        <v>1079.5765957446808</v>
      </c>
      <c r="J598">
        <v>0</v>
      </c>
      <c r="K598" t="s">
        <v>52</v>
      </c>
      <c r="L598" t="s">
        <v>27</v>
      </c>
      <c r="M598" s="3">
        <f t="shared" si="27"/>
        <v>0</v>
      </c>
      <c r="N598" t="str">
        <f t="shared" si="28"/>
        <v>June</v>
      </c>
      <c r="O598" t="str">
        <f t="shared" si="29"/>
        <v>2023</v>
      </c>
      <c r="P598" s="3">
        <f>Table1[[#This Row],[Revenue]]-Table1[[#This Row],[Cost]]</f>
        <v>0</v>
      </c>
      <c r="Q59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599" spans="1:17" x14ac:dyDescent="0.2">
      <c r="A599" t="s">
        <v>65</v>
      </c>
      <c r="B599" s="1">
        <v>45167</v>
      </c>
      <c r="C599" t="s">
        <v>12</v>
      </c>
      <c r="D599" t="s">
        <v>59</v>
      </c>
      <c r="E599" t="s">
        <v>38</v>
      </c>
      <c r="F599" t="s">
        <v>34</v>
      </c>
      <c r="G599">
        <v>0</v>
      </c>
      <c r="H599">
        <f>Table1[[#This Row],[UnitPrice]]*0.7*Table1[[#This Row],[UnitsSold]]</f>
        <v>0</v>
      </c>
      <c r="I599">
        <v>936.79681818181825</v>
      </c>
      <c r="J599">
        <v>0</v>
      </c>
      <c r="K599" t="s">
        <v>16</v>
      </c>
      <c r="L599" t="s">
        <v>55</v>
      </c>
      <c r="M599" s="3">
        <f t="shared" si="27"/>
        <v>0</v>
      </c>
      <c r="N599" t="str">
        <f t="shared" si="28"/>
        <v>August</v>
      </c>
      <c r="O599" t="str">
        <f t="shared" si="29"/>
        <v>2023</v>
      </c>
      <c r="P599" s="3">
        <f>Table1[[#This Row],[Revenue]]-Table1[[#This Row],[Cost]]</f>
        <v>0</v>
      </c>
      <c r="Q59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00" spans="1:17" x14ac:dyDescent="0.2">
      <c r="A600" t="s">
        <v>108</v>
      </c>
      <c r="B600" s="1">
        <v>45184</v>
      </c>
      <c r="C600" t="s">
        <v>29</v>
      </c>
      <c r="D600" t="s">
        <v>19</v>
      </c>
      <c r="E600" t="s">
        <v>44</v>
      </c>
      <c r="F600" t="s">
        <v>26</v>
      </c>
      <c r="G600">
        <v>0</v>
      </c>
      <c r="H600">
        <f>Table1[[#This Row],[UnitPrice]]*0.7*Table1[[#This Row],[UnitsSold]]</f>
        <v>0</v>
      </c>
      <c r="I600">
        <v>1079.5765957446808</v>
      </c>
      <c r="J600">
        <v>0.25</v>
      </c>
      <c r="K600" t="s">
        <v>248</v>
      </c>
      <c r="L600" t="s">
        <v>249</v>
      </c>
      <c r="M600" s="3">
        <f t="shared" si="27"/>
        <v>0</v>
      </c>
      <c r="N600" t="str">
        <f t="shared" si="28"/>
        <v>September</v>
      </c>
      <c r="O600" t="str">
        <f t="shared" si="29"/>
        <v>2023</v>
      </c>
      <c r="P600" s="3">
        <f>Table1[[#This Row],[Revenue]]-Table1[[#This Row],[Cost]]</f>
        <v>0</v>
      </c>
      <c r="Q60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01" spans="1:17" x14ac:dyDescent="0.2">
      <c r="A601" t="s">
        <v>101</v>
      </c>
      <c r="B601" s="1">
        <v>45062</v>
      </c>
      <c r="C601" t="s">
        <v>12</v>
      </c>
      <c r="D601" t="s">
        <v>59</v>
      </c>
      <c r="E601" t="s">
        <v>44</v>
      </c>
      <c r="F601" t="s">
        <v>26</v>
      </c>
      <c r="G601">
        <v>0</v>
      </c>
      <c r="H601">
        <f>Table1[[#This Row],[UnitPrice]]*0.7*Table1[[#This Row],[UnitsSold]]</f>
        <v>0</v>
      </c>
      <c r="I601">
        <v>1488.35</v>
      </c>
      <c r="J601">
        <v>0</v>
      </c>
      <c r="K601" t="s">
        <v>16</v>
      </c>
      <c r="L601" t="s">
        <v>17</v>
      </c>
      <c r="M601" s="3">
        <f t="shared" si="27"/>
        <v>0</v>
      </c>
      <c r="N601" t="str">
        <f t="shared" si="28"/>
        <v>May</v>
      </c>
      <c r="O601" t="str">
        <f t="shared" si="29"/>
        <v>2023</v>
      </c>
      <c r="P601" s="3">
        <f>Table1[[#This Row],[Revenue]]-Table1[[#This Row],[Cost]]</f>
        <v>0</v>
      </c>
      <c r="Q60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02" spans="1:17" x14ac:dyDescent="0.2">
      <c r="A602" t="s">
        <v>150</v>
      </c>
      <c r="B602" s="1">
        <v>45066</v>
      </c>
      <c r="C602" t="s">
        <v>12</v>
      </c>
      <c r="D602" t="s">
        <v>31</v>
      </c>
      <c r="E602" t="s">
        <v>25</v>
      </c>
      <c r="F602" t="s">
        <v>26</v>
      </c>
      <c r="G602">
        <v>0</v>
      </c>
      <c r="H602">
        <f>Table1[[#This Row],[UnitPrice]]*0.7*Table1[[#This Row],[UnitsSold]]</f>
        <v>0</v>
      </c>
      <c r="I602">
        <v>427.38</v>
      </c>
      <c r="J602">
        <v>0</v>
      </c>
      <c r="K602" t="s">
        <v>248</v>
      </c>
      <c r="L602" t="s">
        <v>55</v>
      </c>
      <c r="M602" s="3">
        <f t="shared" si="27"/>
        <v>0</v>
      </c>
      <c r="N602" t="str">
        <f t="shared" si="28"/>
        <v>May</v>
      </c>
      <c r="O602" t="str">
        <f t="shared" si="29"/>
        <v>2023</v>
      </c>
      <c r="P602" s="3">
        <f>Table1[[#This Row],[Revenue]]-Table1[[#This Row],[Cost]]</f>
        <v>0</v>
      </c>
      <c r="Q60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03" spans="1:17" x14ac:dyDescent="0.2">
      <c r="A603" t="s">
        <v>234</v>
      </c>
      <c r="B603" s="1">
        <v>45266</v>
      </c>
      <c r="C603" t="s">
        <v>29</v>
      </c>
      <c r="D603" t="s">
        <v>19</v>
      </c>
      <c r="E603" t="s">
        <v>38</v>
      </c>
      <c r="F603" t="s">
        <v>34</v>
      </c>
      <c r="G603">
        <v>0</v>
      </c>
      <c r="H603">
        <f>Table1[[#This Row],[UnitPrice]]*0.7*Table1[[#This Row],[UnitsSold]]</f>
        <v>0</v>
      </c>
      <c r="I603">
        <v>936.79681818181825</v>
      </c>
      <c r="J603">
        <v>0.23</v>
      </c>
      <c r="K603" t="s">
        <v>16</v>
      </c>
      <c r="L603" t="s">
        <v>17</v>
      </c>
      <c r="M603" s="3">
        <f t="shared" si="27"/>
        <v>0</v>
      </c>
      <c r="N603" t="str">
        <f t="shared" si="28"/>
        <v>December</v>
      </c>
      <c r="O603" t="str">
        <f t="shared" si="29"/>
        <v>2023</v>
      </c>
      <c r="P603" s="3">
        <f>Table1[[#This Row],[Revenue]]-Table1[[#This Row],[Cost]]</f>
        <v>0</v>
      </c>
      <c r="Q60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04" spans="1:17" x14ac:dyDescent="0.2">
      <c r="A604" t="s">
        <v>171</v>
      </c>
      <c r="B604" s="1">
        <v>45222</v>
      </c>
      <c r="C604" t="s">
        <v>57</v>
      </c>
      <c r="D604" t="s">
        <v>19</v>
      </c>
      <c r="E604" t="s">
        <v>48</v>
      </c>
      <c r="F604" t="s">
        <v>39</v>
      </c>
      <c r="G604">
        <v>0</v>
      </c>
      <c r="H604">
        <f>Table1[[#This Row],[UnitPrice]]*0.7*Table1[[#This Row],[UnitsSold]]</f>
        <v>0</v>
      </c>
      <c r="I604">
        <v>1017.3087234042553</v>
      </c>
      <c r="J604">
        <v>0</v>
      </c>
      <c r="K604" t="s">
        <v>248</v>
      </c>
      <c r="L604" t="s">
        <v>27</v>
      </c>
      <c r="M604" s="3">
        <f t="shared" si="27"/>
        <v>0</v>
      </c>
      <c r="N604" t="str">
        <f t="shared" si="28"/>
        <v>October</v>
      </c>
      <c r="O604" t="str">
        <f t="shared" si="29"/>
        <v>2023</v>
      </c>
      <c r="P604" s="3">
        <f>Table1[[#This Row],[Revenue]]-Table1[[#This Row],[Cost]]</f>
        <v>0</v>
      </c>
      <c r="Q60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05" spans="1:17" x14ac:dyDescent="0.2">
      <c r="A605" t="s">
        <v>223</v>
      </c>
      <c r="B605" s="1">
        <v>45029</v>
      </c>
      <c r="C605" t="s">
        <v>29</v>
      </c>
      <c r="D605" t="s">
        <v>83</v>
      </c>
      <c r="E605" t="s">
        <v>247</v>
      </c>
      <c r="F605" t="s">
        <v>26</v>
      </c>
      <c r="G605">
        <v>0</v>
      </c>
      <c r="H605">
        <f>Table1[[#This Row],[UnitPrice]]*0.7*Table1[[#This Row],[UnitsSold]]</f>
        <v>0</v>
      </c>
      <c r="I605">
        <v>981.36020408163256</v>
      </c>
      <c r="J605">
        <v>0</v>
      </c>
      <c r="K605" t="s">
        <v>52</v>
      </c>
      <c r="L605" t="s">
        <v>27</v>
      </c>
      <c r="M605" s="3">
        <f t="shared" si="27"/>
        <v>0</v>
      </c>
      <c r="N605" t="str">
        <f t="shared" si="28"/>
        <v>April</v>
      </c>
      <c r="O605" t="str">
        <f t="shared" si="29"/>
        <v>2023</v>
      </c>
      <c r="P605" s="3">
        <f>Table1[[#This Row],[Revenue]]-Table1[[#This Row],[Cost]]</f>
        <v>0</v>
      </c>
      <c r="Q60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06" spans="1:17" x14ac:dyDescent="0.2">
      <c r="A606" t="s">
        <v>69</v>
      </c>
      <c r="B606" s="1">
        <v>45031</v>
      </c>
      <c r="C606" t="s">
        <v>57</v>
      </c>
      <c r="D606" t="s">
        <v>59</v>
      </c>
      <c r="E606" t="s">
        <v>25</v>
      </c>
      <c r="F606" t="s">
        <v>26</v>
      </c>
      <c r="G606">
        <v>0</v>
      </c>
      <c r="H606">
        <f>Table1[[#This Row],[UnitPrice]]*0.7*Table1[[#This Row],[UnitsSold]]</f>
        <v>0</v>
      </c>
      <c r="I606">
        <v>1376.84</v>
      </c>
      <c r="J606">
        <v>0.12</v>
      </c>
      <c r="K606" t="s">
        <v>16</v>
      </c>
      <c r="L606" t="s">
        <v>249</v>
      </c>
      <c r="M606" s="3">
        <f t="shared" si="27"/>
        <v>0</v>
      </c>
      <c r="N606" t="str">
        <f t="shared" si="28"/>
        <v>April</v>
      </c>
      <c r="O606" t="str">
        <f t="shared" si="29"/>
        <v>2023</v>
      </c>
      <c r="P606" s="3">
        <f>Table1[[#This Row],[Revenue]]-Table1[[#This Row],[Cost]]</f>
        <v>0</v>
      </c>
      <c r="Q60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07" spans="1:17" x14ac:dyDescent="0.2">
      <c r="A607" t="s">
        <v>209</v>
      </c>
      <c r="B607" s="1">
        <v>45052</v>
      </c>
      <c r="C607" t="s">
        <v>24</v>
      </c>
      <c r="D607" t="s">
        <v>83</v>
      </c>
      <c r="E607" t="s">
        <v>38</v>
      </c>
      <c r="F607" t="s">
        <v>34</v>
      </c>
      <c r="G607">
        <v>0</v>
      </c>
      <c r="H607">
        <f>Table1[[#This Row],[UnitPrice]]*0.7*Table1[[#This Row],[UnitsSold]]</f>
        <v>0</v>
      </c>
      <c r="I607">
        <v>1297.3699999999999</v>
      </c>
      <c r="J607">
        <v>0</v>
      </c>
      <c r="K607" t="s">
        <v>16</v>
      </c>
      <c r="L607" t="s">
        <v>27</v>
      </c>
      <c r="M607" s="3">
        <f t="shared" si="27"/>
        <v>0</v>
      </c>
      <c r="N607" t="str">
        <f t="shared" si="28"/>
        <v>May</v>
      </c>
      <c r="O607" t="str">
        <f t="shared" si="29"/>
        <v>2023</v>
      </c>
      <c r="P607" s="3">
        <f>Table1[[#This Row],[Revenue]]-Table1[[#This Row],[Cost]]</f>
        <v>0</v>
      </c>
      <c r="Q60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08" spans="1:17" x14ac:dyDescent="0.2">
      <c r="A608" t="s">
        <v>206</v>
      </c>
      <c r="B608" s="1">
        <v>45069</v>
      </c>
      <c r="C608" t="s">
        <v>246</v>
      </c>
      <c r="D608" t="s">
        <v>13</v>
      </c>
      <c r="E608" t="s">
        <v>25</v>
      </c>
      <c r="F608" t="s">
        <v>26</v>
      </c>
      <c r="G608">
        <v>16</v>
      </c>
      <c r="H608">
        <f>Table1[[#This Row],[UnitPrice]]*0.7*Table1[[#This Row],[UnitsSold]]</f>
        <v>1345.12</v>
      </c>
      <c r="I608">
        <v>120.1</v>
      </c>
      <c r="J608">
        <v>0</v>
      </c>
      <c r="K608" t="s">
        <v>16</v>
      </c>
      <c r="L608" t="s">
        <v>22</v>
      </c>
      <c r="M608" s="3">
        <f t="shared" si="27"/>
        <v>1921.6</v>
      </c>
      <c r="N608" t="str">
        <f t="shared" si="28"/>
        <v>May</v>
      </c>
      <c r="O608" t="str">
        <f t="shared" si="29"/>
        <v>2023</v>
      </c>
      <c r="P608" s="3">
        <f>Table1[[#This Row],[Revenue]]-Table1[[#This Row],[Cost]]</f>
        <v>576.48</v>
      </c>
      <c r="Q608"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609" spans="1:17" x14ac:dyDescent="0.2">
      <c r="A609" t="s">
        <v>77</v>
      </c>
      <c r="B609" s="1">
        <v>45270</v>
      </c>
      <c r="C609" t="s">
        <v>12</v>
      </c>
      <c r="D609" t="s">
        <v>83</v>
      </c>
      <c r="E609" t="s">
        <v>25</v>
      </c>
      <c r="F609" t="s">
        <v>26</v>
      </c>
      <c r="G609">
        <v>8</v>
      </c>
      <c r="H609">
        <f>Table1[[#This Row],[UnitPrice]]*0.7*Table1[[#This Row],[UnitsSold]]</f>
        <v>5381.9170169491517</v>
      </c>
      <c r="I609">
        <v>961.05661016949136</v>
      </c>
      <c r="J609">
        <v>0</v>
      </c>
      <c r="K609" t="s">
        <v>283</v>
      </c>
      <c r="L609" t="s">
        <v>17</v>
      </c>
      <c r="M609" s="3">
        <f t="shared" si="27"/>
        <v>7688.4528813559309</v>
      </c>
      <c r="N609" t="str">
        <f t="shared" si="28"/>
        <v>December</v>
      </c>
      <c r="O609" t="str">
        <f t="shared" si="29"/>
        <v>2023</v>
      </c>
      <c r="P609" s="3">
        <f>Table1[[#This Row],[Revenue]]-Table1[[#This Row],[Cost]]</f>
        <v>2306.5358644067792</v>
      </c>
      <c r="Q609"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610" spans="1:17" x14ac:dyDescent="0.2">
      <c r="A610" t="s">
        <v>129</v>
      </c>
      <c r="B610" s="1">
        <v>45195</v>
      </c>
      <c r="C610" t="s">
        <v>24</v>
      </c>
      <c r="D610" t="s">
        <v>83</v>
      </c>
      <c r="E610" t="s">
        <v>46</v>
      </c>
      <c r="F610" t="s">
        <v>26</v>
      </c>
      <c r="G610">
        <v>20</v>
      </c>
      <c r="H610">
        <f>Table1[[#This Row],[UnitPrice]]*0.7*Table1[[#This Row],[UnitsSold]]</f>
        <v>15484.366666666658</v>
      </c>
      <c r="I610">
        <v>1106.0261904761899</v>
      </c>
      <c r="J610">
        <v>0</v>
      </c>
      <c r="K610" t="s">
        <v>283</v>
      </c>
      <c r="L610" t="s">
        <v>22</v>
      </c>
      <c r="M610" s="3">
        <f t="shared" si="27"/>
        <v>22120.523809523798</v>
      </c>
      <c r="N610" t="str">
        <f t="shared" si="28"/>
        <v>September</v>
      </c>
      <c r="O610" t="str">
        <f t="shared" si="29"/>
        <v>2023</v>
      </c>
      <c r="P610" s="3">
        <f>Table1[[#This Row],[Revenue]]-Table1[[#This Row],[Cost]]</f>
        <v>6636.1571428571406</v>
      </c>
      <c r="Q61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611" spans="1:17" x14ac:dyDescent="0.2">
      <c r="A611" t="s">
        <v>89</v>
      </c>
      <c r="B611" s="1">
        <v>45307</v>
      </c>
      <c r="C611" t="s">
        <v>37</v>
      </c>
      <c r="D611" t="s">
        <v>83</v>
      </c>
      <c r="E611" t="s">
        <v>247</v>
      </c>
      <c r="F611" t="s">
        <v>26</v>
      </c>
      <c r="G611">
        <v>4</v>
      </c>
      <c r="H611">
        <f>Table1[[#This Row],[UnitPrice]]*0.7*Table1[[#This Row],[UnitsSold]]</f>
        <v>2747.8085714285712</v>
      </c>
      <c r="I611">
        <v>981.36020408163256</v>
      </c>
      <c r="J611">
        <v>0</v>
      </c>
      <c r="K611" t="s">
        <v>248</v>
      </c>
      <c r="L611" t="s">
        <v>27</v>
      </c>
      <c r="M611" s="3">
        <f t="shared" si="27"/>
        <v>3925.4408163265302</v>
      </c>
      <c r="N611" t="str">
        <f t="shared" si="28"/>
        <v>January</v>
      </c>
      <c r="O611" t="str">
        <f t="shared" si="29"/>
        <v>2024</v>
      </c>
      <c r="P611" s="3">
        <f>Table1[[#This Row],[Revenue]]-Table1[[#This Row],[Cost]]</f>
        <v>1177.632244897959</v>
      </c>
      <c r="Q611"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612" spans="1:17" x14ac:dyDescent="0.2">
      <c r="A612" t="s">
        <v>164</v>
      </c>
      <c r="B612" s="1">
        <v>45200</v>
      </c>
      <c r="C612" t="s">
        <v>29</v>
      </c>
      <c r="D612" t="s">
        <v>13</v>
      </c>
      <c r="E612" t="s">
        <v>46</v>
      </c>
      <c r="F612" t="s">
        <v>26</v>
      </c>
      <c r="G612">
        <v>0</v>
      </c>
      <c r="H612">
        <f>Table1[[#This Row],[UnitPrice]]*0.7*Table1[[#This Row],[UnitsSold]]</f>
        <v>0</v>
      </c>
      <c r="I612">
        <v>954.96</v>
      </c>
      <c r="J612">
        <v>0.28999999999999998</v>
      </c>
      <c r="K612" t="s">
        <v>52</v>
      </c>
      <c r="L612" t="s">
        <v>22</v>
      </c>
      <c r="M612" s="3">
        <f t="shared" si="27"/>
        <v>0</v>
      </c>
      <c r="N612" t="str">
        <f t="shared" si="28"/>
        <v>October</v>
      </c>
      <c r="O612" t="str">
        <f t="shared" si="29"/>
        <v>2023</v>
      </c>
      <c r="P612" s="3">
        <f>Table1[[#This Row],[Revenue]]-Table1[[#This Row],[Cost]]</f>
        <v>0</v>
      </c>
      <c r="Q61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13" spans="1:17" x14ac:dyDescent="0.2">
      <c r="A613" t="s">
        <v>82</v>
      </c>
      <c r="B613" s="1">
        <v>45115</v>
      </c>
      <c r="C613" t="s">
        <v>24</v>
      </c>
      <c r="D613" t="s">
        <v>19</v>
      </c>
      <c r="E613" t="s">
        <v>48</v>
      </c>
      <c r="F613" t="s">
        <v>39</v>
      </c>
      <c r="G613">
        <v>0</v>
      </c>
      <c r="H613">
        <f>Table1[[#This Row],[UnitPrice]]*0.7*Table1[[#This Row],[UnitsSold]]</f>
        <v>0</v>
      </c>
      <c r="I613">
        <v>1327.82</v>
      </c>
      <c r="J613">
        <v>0</v>
      </c>
      <c r="K613" t="s">
        <v>16</v>
      </c>
      <c r="L613" t="s">
        <v>55</v>
      </c>
      <c r="M613" s="3">
        <f t="shared" si="27"/>
        <v>0</v>
      </c>
      <c r="N613" t="str">
        <f t="shared" si="28"/>
        <v>July</v>
      </c>
      <c r="O613" t="str">
        <f t="shared" si="29"/>
        <v>2023</v>
      </c>
      <c r="P613" s="3">
        <f>Table1[[#This Row],[Revenue]]-Table1[[#This Row],[Cost]]</f>
        <v>0</v>
      </c>
      <c r="Q61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14" spans="1:17" x14ac:dyDescent="0.2">
      <c r="A614" t="s">
        <v>219</v>
      </c>
      <c r="B614" s="1">
        <v>45123</v>
      </c>
      <c r="C614" t="s">
        <v>24</v>
      </c>
      <c r="D614" t="s">
        <v>13</v>
      </c>
      <c r="E614" t="s">
        <v>48</v>
      </c>
      <c r="F614" t="s">
        <v>39</v>
      </c>
      <c r="G614">
        <v>0</v>
      </c>
      <c r="H614">
        <f>Table1[[#This Row],[UnitPrice]]*0.7*Table1[[#This Row],[UnitsSold]]</f>
        <v>0</v>
      </c>
      <c r="I614">
        <v>1017.3087234042553</v>
      </c>
      <c r="J614">
        <v>0</v>
      </c>
      <c r="K614" t="s">
        <v>52</v>
      </c>
      <c r="L614" t="s">
        <v>55</v>
      </c>
      <c r="M614" s="3">
        <f t="shared" si="27"/>
        <v>0</v>
      </c>
      <c r="N614" t="str">
        <f t="shared" si="28"/>
        <v>July</v>
      </c>
      <c r="O614" t="str">
        <f t="shared" si="29"/>
        <v>2023</v>
      </c>
      <c r="P614" s="3">
        <f>Table1[[#This Row],[Revenue]]-Table1[[#This Row],[Cost]]</f>
        <v>0</v>
      </c>
      <c r="Q61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15" spans="1:17" x14ac:dyDescent="0.2">
      <c r="A615" t="s">
        <v>126</v>
      </c>
      <c r="B615" s="1">
        <v>45314</v>
      </c>
      <c r="C615" t="s">
        <v>37</v>
      </c>
      <c r="D615" t="s">
        <v>59</v>
      </c>
      <c r="E615" t="s">
        <v>247</v>
      </c>
      <c r="F615" t="s">
        <v>26</v>
      </c>
      <c r="G615">
        <v>0</v>
      </c>
      <c r="H615">
        <f>Table1[[#This Row],[UnitPrice]]*0.7*Table1[[#This Row],[UnitsSold]]</f>
        <v>0</v>
      </c>
      <c r="I615">
        <v>981.36020408163256</v>
      </c>
      <c r="J615">
        <v>0.12</v>
      </c>
      <c r="K615" t="s">
        <v>52</v>
      </c>
      <c r="L615" t="s">
        <v>27</v>
      </c>
      <c r="M615" s="3">
        <f t="shared" si="27"/>
        <v>0</v>
      </c>
      <c r="N615" t="str">
        <f t="shared" si="28"/>
        <v>January</v>
      </c>
      <c r="O615" t="str">
        <f t="shared" si="29"/>
        <v>2024</v>
      </c>
      <c r="P615" s="3">
        <f>Table1[[#This Row],[Revenue]]-Table1[[#This Row],[Cost]]</f>
        <v>0</v>
      </c>
      <c r="Q61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16" spans="1:17" x14ac:dyDescent="0.2">
      <c r="A616" t="s">
        <v>191</v>
      </c>
      <c r="B616" s="1">
        <v>45178</v>
      </c>
      <c r="C616" t="s">
        <v>57</v>
      </c>
      <c r="D616" t="s">
        <v>13</v>
      </c>
      <c r="E616" t="s">
        <v>38</v>
      </c>
      <c r="F616" t="s">
        <v>34</v>
      </c>
      <c r="G616">
        <v>14</v>
      </c>
      <c r="H616">
        <f>Table1[[#This Row],[UnitPrice]]*0.7*Table1[[#This Row],[UnitsSold]]</f>
        <v>9180.6088181818177</v>
      </c>
      <c r="I616">
        <v>936.79681818181825</v>
      </c>
      <c r="J616">
        <v>0.08</v>
      </c>
      <c r="K616" t="s">
        <v>52</v>
      </c>
      <c r="L616" t="s">
        <v>22</v>
      </c>
      <c r="M616" s="3">
        <f t="shared" si="27"/>
        <v>12065.943018181821</v>
      </c>
      <c r="N616" t="str">
        <f t="shared" si="28"/>
        <v>September</v>
      </c>
      <c r="O616" t="str">
        <f t="shared" si="29"/>
        <v>2023</v>
      </c>
      <c r="P616" s="3">
        <f>Table1[[#This Row],[Revenue]]-Table1[[#This Row],[Cost]]</f>
        <v>2885.334200000003</v>
      </c>
      <c r="Q616" s="6">
        <f>IF(Table1[[#This Row],[UnitsSold]]*Table1[[#This Row],[UnitPrice]]*(1-Table1[[#This Row],[Discount]])=0, 0, ((Table1[[#This Row],[UnitsSold]]*Table1[[#This Row],[UnitPrice]]*(1-Table1[[#This Row],[Discount]])) - (Table1[[#This Row],[UnitsSold]]*Table1[[#This Row],[UnitPrice]]*0.7)) / (Table1[[#This Row],[UnitsSold]]*Table1[[#This Row],[UnitPrice]]*(1-Table1[[#This Row],[Discount]])))</f>
        <v>0.23913043478260873</v>
      </c>
    </row>
    <row r="617" spans="1:17" x14ac:dyDescent="0.2">
      <c r="A617" t="s">
        <v>136</v>
      </c>
      <c r="B617" s="1">
        <v>45300</v>
      </c>
      <c r="C617" t="s">
        <v>29</v>
      </c>
      <c r="D617" t="s">
        <v>83</v>
      </c>
      <c r="E617" t="s">
        <v>48</v>
      </c>
      <c r="F617" t="s">
        <v>39</v>
      </c>
      <c r="G617">
        <v>0</v>
      </c>
      <c r="H617">
        <f>Table1[[#This Row],[UnitPrice]]*0.7*Table1[[#This Row],[UnitsSold]]</f>
        <v>0</v>
      </c>
      <c r="I617">
        <v>1017.3087234042553</v>
      </c>
      <c r="J617">
        <v>0</v>
      </c>
      <c r="K617" t="s">
        <v>16</v>
      </c>
      <c r="L617" t="s">
        <v>27</v>
      </c>
      <c r="M617" s="3">
        <f t="shared" si="27"/>
        <v>0</v>
      </c>
      <c r="N617" t="str">
        <f t="shared" si="28"/>
        <v>January</v>
      </c>
      <c r="O617" t="str">
        <f t="shared" si="29"/>
        <v>2024</v>
      </c>
      <c r="P617" s="3">
        <f>Table1[[#This Row],[Revenue]]-Table1[[#This Row],[Cost]]</f>
        <v>0</v>
      </c>
      <c r="Q61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18" spans="1:17" x14ac:dyDescent="0.2">
      <c r="A618" t="s">
        <v>98</v>
      </c>
      <c r="B618" s="1">
        <v>45029</v>
      </c>
      <c r="C618" t="s">
        <v>24</v>
      </c>
      <c r="D618" t="s">
        <v>59</v>
      </c>
      <c r="E618" t="s">
        <v>44</v>
      </c>
      <c r="F618" t="s">
        <v>26</v>
      </c>
      <c r="G618">
        <v>4</v>
      </c>
      <c r="H618">
        <f>Table1[[#This Row],[UnitPrice]]*0.7*Table1[[#This Row],[UnitsSold]]</f>
        <v>3022.814468085106</v>
      </c>
      <c r="I618">
        <v>1079.5765957446808</v>
      </c>
      <c r="J618">
        <v>0</v>
      </c>
      <c r="K618" t="s">
        <v>16</v>
      </c>
      <c r="L618" t="s">
        <v>17</v>
      </c>
      <c r="M618" s="3">
        <f t="shared" si="27"/>
        <v>4318.3063829787234</v>
      </c>
      <c r="N618" t="str">
        <f t="shared" si="28"/>
        <v>April</v>
      </c>
      <c r="O618" t="str">
        <f t="shared" si="29"/>
        <v>2023</v>
      </c>
      <c r="P618" s="3">
        <f>Table1[[#This Row],[Revenue]]-Table1[[#This Row],[Cost]]</f>
        <v>1295.4919148936174</v>
      </c>
      <c r="Q618"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619" spans="1:17" x14ac:dyDescent="0.2">
      <c r="A619" t="s">
        <v>232</v>
      </c>
      <c r="B619" s="1">
        <v>45137</v>
      </c>
      <c r="C619" t="s">
        <v>29</v>
      </c>
      <c r="D619" t="s">
        <v>83</v>
      </c>
      <c r="E619" t="s">
        <v>38</v>
      </c>
      <c r="F619" t="s">
        <v>34</v>
      </c>
      <c r="G619">
        <v>9</v>
      </c>
      <c r="H619">
        <f>Table1[[#This Row],[UnitPrice]]*0.7*Table1[[#This Row],[UnitsSold]]</f>
        <v>5901.8199545454545</v>
      </c>
      <c r="I619">
        <v>936.79681818181825</v>
      </c>
      <c r="J619">
        <v>0.24</v>
      </c>
      <c r="K619" t="s">
        <v>16</v>
      </c>
      <c r="L619" t="s">
        <v>22</v>
      </c>
      <c r="M619" s="3">
        <f t="shared" si="27"/>
        <v>6407.6902363636364</v>
      </c>
      <c r="N619" t="str">
        <f t="shared" si="28"/>
        <v>July</v>
      </c>
      <c r="O619" t="str">
        <f t="shared" si="29"/>
        <v>2023</v>
      </c>
      <c r="P619" s="3">
        <f>Table1[[#This Row],[Revenue]]-Table1[[#This Row],[Cost]]</f>
        <v>505.87028181818187</v>
      </c>
      <c r="Q619" s="6">
        <f>IF(Table1[[#This Row],[UnitsSold]]*Table1[[#This Row],[UnitPrice]]*(1-Table1[[#This Row],[Discount]])=0, 0, ((Table1[[#This Row],[UnitsSold]]*Table1[[#This Row],[UnitPrice]]*(1-Table1[[#This Row],[Discount]])) - (Table1[[#This Row],[UnitsSold]]*Table1[[#This Row],[UnitPrice]]*0.7)) / (Table1[[#This Row],[UnitsSold]]*Table1[[#This Row],[UnitPrice]]*(1-Table1[[#This Row],[Discount]])))</f>
        <v>7.8947368421052641E-2</v>
      </c>
    </row>
    <row r="620" spans="1:17" x14ac:dyDescent="0.2">
      <c r="A620" t="s">
        <v>95</v>
      </c>
      <c r="B620" s="1">
        <v>45020</v>
      </c>
      <c r="C620" t="s">
        <v>57</v>
      </c>
      <c r="D620" t="s">
        <v>83</v>
      </c>
      <c r="E620" t="s">
        <v>25</v>
      </c>
      <c r="F620" t="s">
        <v>26</v>
      </c>
      <c r="G620">
        <v>8</v>
      </c>
      <c r="H620">
        <f>Table1[[#This Row],[UnitPrice]]*0.7*Table1[[#This Row],[UnitsSold]]</f>
        <v>5381.9170169491517</v>
      </c>
      <c r="I620">
        <v>961.05661016949136</v>
      </c>
      <c r="J620">
        <v>0</v>
      </c>
      <c r="K620" t="s">
        <v>16</v>
      </c>
      <c r="L620" t="s">
        <v>27</v>
      </c>
      <c r="M620" s="3">
        <f t="shared" si="27"/>
        <v>7688.4528813559309</v>
      </c>
      <c r="N620" t="str">
        <f t="shared" si="28"/>
        <v>April</v>
      </c>
      <c r="O620" t="str">
        <f t="shared" si="29"/>
        <v>2023</v>
      </c>
      <c r="P620" s="3">
        <f>Table1[[#This Row],[Revenue]]-Table1[[#This Row],[Cost]]</f>
        <v>2306.5358644067792</v>
      </c>
      <c r="Q620"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621" spans="1:17" x14ac:dyDescent="0.2">
      <c r="A621" t="s">
        <v>84</v>
      </c>
      <c r="B621" s="1">
        <v>45028</v>
      </c>
      <c r="C621" t="s">
        <v>24</v>
      </c>
      <c r="D621" t="s">
        <v>13</v>
      </c>
      <c r="E621" t="s">
        <v>25</v>
      </c>
      <c r="F621" t="s">
        <v>26</v>
      </c>
      <c r="G621">
        <v>0</v>
      </c>
      <c r="H621">
        <f>Table1[[#This Row],[UnitPrice]]*0.7*Table1[[#This Row],[UnitsSold]]</f>
        <v>0</v>
      </c>
      <c r="I621">
        <v>961.05661016949136</v>
      </c>
      <c r="J621">
        <v>0.08</v>
      </c>
      <c r="K621" t="s">
        <v>52</v>
      </c>
      <c r="L621" t="s">
        <v>249</v>
      </c>
      <c r="M621" s="3">
        <f t="shared" si="27"/>
        <v>0</v>
      </c>
      <c r="N621" t="str">
        <f t="shared" si="28"/>
        <v>April</v>
      </c>
      <c r="O621" t="str">
        <f t="shared" si="29"/>
        <v>2023</v>
      </c>
      <c r="P621" s="3">
        <f>Table1[[#This Row],[Revenue]]-Table1[[#This Row],[Cost]]</f>
        <v>0</v>
      </c>
      <c r="Q62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22" spans="1:17" x14ac:dyDescent="0.2">
      <c r="A622" t="s">
        <v>146</v>
      </c>
      <c r="B622" s="1">
        <v>44987</v>
      </c>
      <c r="C622" t="s">
        <v>12</v>
      </c>
      <c r="D622" t="s">
        <v>13</v>
      </c>
      <c r="E622" t="s">
        <v>44</v>
      </c>
      <c r="F622" t="s">
        <v>26</v>
      </c>
      <c r="G622">
        <v>0</v>
      </c>
      <c r="H622">
        <f>Table1[[#This Row],[UnitPrice]]*0.7*Table1[[#This Row],[UnitsSold]]</f>
        <v>0</v>
      </c>
      <c r="I622">
        <v>993.36</v>
      </c>
      <c r="J622">
        <v>0.21</v>
      </c>
      <c r="K622" t="s">
        <v>52</v>
      </c>
      <c r="L622" t="s">
        <v>55</v>
      </c>
      <c r="M622" s="3">
        <f t="shared" si="27"/>
        <v>0</v>
      </c>
      <c r="N622" t="str">
        <f t="shared" si="28"/>
        <v>March</v>
      </c>
      <c r="O622" t="str">
        <f t="shared" si="29"/>
        <v>2023</v>
      </c>
      <c r="P622" s="3">
        <f>Table1[[#This Row],[Revenue]]-Table1[[#This Row],[Cost]]</f>
        <v>0</v>
      </c>
      <c r="Q62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23" spans="1:17" x14ac:dyDescent="0.2">
      <c r="A623" t="s">
        <v>89</v>
      </c>
      <c r="B623" s="1">
        <v>45180</v>
      </c>
      <c r="C623" t="s">
        <v>57</v>
      </c>
      <c r="D623" t="s">
        <v>19</v>
      </c>
      <c r="E623" t="s">
        <v>38</v>
      </c>
      <c r="F623" t="s">
        <v>34</v>
      </c>
      <c r="G623">
        <v>20</v>
      </c>
      <c r="H623">
        <f>Table1[[#This Row],[UnitPrice]]*0.7*Table1[[#This Row],[UnitsSold]]</f>
        <v>13115.155454545455</v>
      </c>
      <c r="I623">
        <v>936.79681818181825</v>
      </c>
      <c r="J623">
        <v>0.22</v>
      </c>
      <c r="K623" t="s">
        <v>42</v>
      </c>
      <c r="L623" t="s">
        <v>249</v>
      </c>
      <c r="M623" s="3">
        <f t="shared" si="27"/>
        <v>14614.030363636364</v>
      </c>
      <c r="N623" t="str">
        <f t="shared" si="28"/>
        <v>September</v>
      </c>
      <c r="O623" t="str">
        <f t="shared" si="29"/>
        <v>2023</v>
      </c>
      <c r="P623" s="3">
        <f>Table1[[#This Row],[Revenue]]-Table1[[#This Row],[Cost]]</f>
        <v>1498.8749090909096</v>
      </c>
      <c r="Q623" s="6">
        <f>IF(Table1[[#This Row],[UnitsSold]]*Table1[[#This Row],[UnitPrice]]*(1-Table1[[#This Row],[Discount]])=0, 0, ((Table1[[#This Row],[UnitsSold]]*Table1[[#This Row],[UnitPrice]]*(1-Table1[[#This Row],[Discount]])) - (Table1[[#This Row],[UnitsSold]]*Table1[[#This Row],[UnitPrice]]*0.7)) / (Table1[[#This Row],[UnitsSold]]*Table1[[#This Row],[UnitPrice]]*(1-Table1[[#This Row],[Discount]])))</f>
        <v>0.10256410256410271</v>
      </c>
    </row>
    <row r="624" spans="1:17" x14ac:dyDescent="0.2">
      <c r="A624" t="s">
        <v>64</v>
      </c>
      <c r="B624" s="1">
        <v>45001</v>
      </c>
      <c r="C624" t="s">
        <v>12</v>
      </c>
      <c r="D624" t="s">
        <v>59</v>
      </c>
      <c r="E624" t="s">
        <v>14</v>
      </c>
      <c r="F624" t="s">
        <v>26</v>
      </c>
      <c r="G624">
        <v>0</v>
      </c>
      <c r="H624">
        <f>Table1[[#This Row],[UnitPrice]]*0.7*Table1[[#This Row],[UnitsSold]]</f>
        <v>0</v>
      </c>
      <c r="I624">
        <v>1002.870425531915</v>
      </c>
      <c r="J624">
        <v>0</v>
      </c>
      <c r="K624" t="s">
        <v>42</v>
      </c>
      <c r="L624" t="s">
        <v>27</v>
      </c>
      <c r="M624" s="3">
        <f t="shared" si="27"/>
        <v>0</v>
      </c>
      <c r="N624" t="str">
        <f t="shared" si="28"/>
        <v>March</v>
      </c>
      <c r="O624" t="str">
        <f t="shared" si="29"/>
        <v>2023</v>
      </c>
      <c r="P624" s="3">
        <f>Table1[[#This Row],[Revenue]]-Table1[[#This Row],[Cost]]</f>
        <v>0</v>
      </c>
      <c r="Q62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25" spans="1:17" x14ac:dyDescent="0.2">
      <c r="A625" t="s">
        <v>190</v>
      </c>
      <c r="B625" s="1">
        <v>45167</v>
      </c>
      <c r="C625" t="s">
        <v>246</v>
      </c>
      <c r="D625" t="s">
        <v>267</v>
      </c>
      <c r="E625" t="s">
        <v>14</v>
      </c>
      <c r="F625" t="s">
        <v>26</v>
      </c>
      <c r="G625">
        <v>0</v>
      </c>
      <c r="H625">
        <f>Table1[[#This Row],[UnitPrice]]*0.7*Table1[[#This Row],[UnitsSold]]</f>
        <v>0</v>
      </c>
      <c r="I625">
        <v>1002.870425531915</v>
      </c>
      <c r="J625">
        <v>0</v>
      </c>
      <c r="K625" t="s">
        <v>16</v>
      </c>
      <c r="L625" t="s">
        <v>27</v>
      </c>
      <c r="M625" s="3">
        <f t="shared" si="27"/>
        <v>0</v>
      </c>
      <c r="N625" t="str">
        <f t="shared" si="28"/>
        <v>August</v>
      </c>
      <c r="O625" t="str">
        <f t="shared" si="29"/>
        <v>2023</v>
      </c>
      <c r="P625" s="3">
        <f>Table1[[#This Row],[Revenue]]-Table1[[#This Row],[Cost]]</f>
        <v>0</v>
      </c>
      <c r="Q62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26" spans="1:17" x14ac:dyDescent="0.2">
      <c r="A626" t="s">
        <v>94</v>
      </c>
      <c r="B626" s="1">
        <v>44957</v>
      </c>
      <c r="C626" t="s">
        <v>12</v>
      </c>
      <c r="D626" t="s">
        <v>59</v>
      </c>
      <c r="E626" t="s">
        <v>247</v>
      </c>
      <c r="F626" t="s">
        <v>26</v>
      </c>
      <c r="G626">
        <v>0</v>
      </c>
      <c r="H626">
        <f>Table1[[#This Row],[UnitPrice]]*0.7*Table1[[#This Row],[UnitsSold]]</f>
        <v>0</v>
      </c>
      <c r="I626">
        <v>981.36020408163256</v>
      </c>
      <c r="J626">
        <v>0.21</v>
      </c>
      <c r="K626" t="s">
        <v>16</v>
      </c>
      <c r="L626" t="s">
        <v>55</v>
      </c>
      <c r="M626" s="3">
        <f t="shared" si="27"/>
        <v>0</v>
      </c>
      <c r="N626" t="str">
        <f t="shared" si="28"/>
        <v>January</v>
      </c>
      <c r="O626" t="str">
        <f t="shared" si="29"/>
        <v>2023</v>
      </c>
      <c r="P626" s="3">
        <f>Table1[[#This Row],[Revenue]]-Table1[[#This Row],[Cost]]</f>
        <v>0</v>
      </c>
      <c r="Q62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27" spans="1:17" x14ac:dyDescent="0.2">
      <c r="A627" t="s">
        <v>91</v>
      </c>
      <c r="B627" s="1">
        <v>45244</v>
      </c>
      <c r="C627" t="s">
        <v>57</v>
      </c>
      <c r="D627" t="s">
        <v>59</v>
      </c>
      <c r="E627" t="s">
        <v>38</v>
      </c>
      <c r="F627" t="s">
        <v>34</v>
      </c>
      <c r="G627">
        <v>0</v>
      </c>
      <c r="H627">
        <f>Table1[[#This Row],[UnitPrice]]*0.7*Table1[[#This Row],[UnitsSold]]</f>
        <v>0</v>
      </c>
      <c r="I627">
        <v>91.84</v>
      </c>
      <c r="J627">
        <v>0</v>
      </c>
      <c r="K627" t="s">
        <v>42</v>
      </c>
      <c r="L627" t="s">
        <v>55</v>
      </c>
      <c r="M627" s="3">
        <f t="shared" si="27"/>
        <v>0</v>
      </c>
      <c r="N627" t="str">
        <f t="shared" si="28"/>
        <v>November</v>
      </c>
      <c r="O627" t="str">
        <f t="shared" si="29"/>
        <v>2023</v>
      </c>
      <c r="P627" s="3">
        <f>Table1[[#This Row],[Revenue]]-Table1[[#This Row],[Cost]]</f>
        <v>0</v>
      </c>
      <c r="Q62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28" spans="1:17" x14ac:dyDescent="0.2">
      <c r="A628" t="s">
        <v>204</v>
      </c>
      <c r="B628" s="1">
        <v>44994</v>
      </c>
      <c r="C628" t="s">
        <v>12</v>
      </c>
      <c r="D628" t="s">
        <v>59</v>
      </c>
      <c r="E628" t="s">
        <v>48</v>
      </c>
      <c r="F628" t="s">
        <v>39</v>
      </c>
      <c r="G628">
        <v>14</v>
      </c>
      <c r="H628">
        <f>Table1[[#This Row],[UnitPrice]]*0.7*Table1[[#This Row],[UnitsSold]]</f>
        <v>9969.6254893617006</v>
      </c>
      <c r="I628">
        <v>1017.3087234042553</v>
      </c>
      <c r="J628">
        <v>0.01</v>
      </c>
      <c r="K628" t="s">
        <v>42</v>
      </c>
      <c r="L628" t="s">
        <v>55</v>
      </c>
      <c r="M628" s="3">
        <f t="shared" si="27"/>
        <v>14099.898906382978</v>
      </c>
      <c r="N628" t="str">
        <f t="shared" si="28"/>
        <v>March</v>
      </c>
      <c r="O628" t="str">
        <f t="shared" si="29"/>
        <v>2023</v>
      </c>
      <c r="P628" s="3">
        <f>Table1[[#This Row],[Revenue]]-Table1[[#This Row],[Cost]]</f>
        <v>4130.2734170212771</v>
      </c>
      <c r="Q628" s="6">
        <f>IF(Table1[[#This Row],[UnitsSold]]*Table1[[#This Row],[UnitPrice]]*(1-Table1[[#This Row],[Discount]])=0, 0, ((Table1[[#This Row],[UnitsSold]]*Table1[[#This Row],[UnitPrice]]*(1-Table1[[#This Row],[Discount]])) - (Table1[[#This Row],[UnitsSold]]*Table1[[#This Row],[UnitPrice]]*0.7)) / (Table1[[#This Row],[UnitsSold]]*Table1[[#This Row],[UnitPrice]]*(1-Table1[[#This Row],[Discount]])))</f>
        <v>0.29292929292929298</v>
      </c>
    </row>
    <row r="629" spans="1:17" x14ac:dyDescent="0.2">
      <c r="A629" t="s">
        <v>89</v>
      </c>
      <c r="B629" s="1">
        <v>45111</v>
      </c>
      <c r="C629" t="s">
        <v>57</v>
      </c>
      <c r="D629" t="s">
        <v>59</v>
      </c>
      <c r="E629" t="s">
        <v>14</v>
      </c>
      <c r="F629" t="s">
        <v>26</v>
      </c>
      <c r="G629">
        <v>0</v>
      </c>
      <c r="H629">
        <f>Table1[[#This Row],[UnitPrice]]*0.7*Table1[[#This Row],[UnitsSold]]</f>
        <v>0</v>
      </c>
      <c r="I629">
        <v>632.89</v>
      </c>
      <c r="J629">
        <v>0</v>
      </c>
      <c r="K629" t="s">
        <v>16</v>
      </c>
      <c r="L629" t="s">
        <v>17</v>
      </c>
      <c r="M629" s="3">
        <f t="shared" si="27"/>
        <v>0</v>
      </c>
      <c r="N629" t="str">
        <f t="shared" si="28"/>
        <v>July</v>
      </c>
      <c r="O629" t="str">
        <f t="shared" si="29"/>
        <v>2023</v>
      </c>
      <c r="P629" s="3">
        <f>Table1[[#This Row],[Revenue]]-Table1[[#This Row],[Cost]]</f>
        <v>0</v>
      </c>
      <c r="Q62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30" spans="1:17" x14ac:dyDescent="0.2">
      <c r="A630" t="s">
        <v>224</v>
      </c>
      <c r="B630" s="1">
        <v>45252</v>
      </c>
      <c r="C630" t="s">
        <v>57</v>
      </c>
      <c r="D630" t="s">
        <v>19</v>
      </c>
      <c r="E630" t="s">
        <v>247</v>
      </c>
      <c r="F630" t="s">
        <v>26</v>
      </c>
      <c r="G630">
        <v>2</v>
      </c>
      <c r="H630">
        <f>Table1[[#This Row],[UnitPrice]]*0.7*Table1[[#This Row],[UnitsSold]]</f>
        <v>1373.9042857142856</v>
      </c>
      <c r="I630">
        <v>981.36020408163256</v>
      </c>
      <c r="J630">
        <v>0</v>
      </c>
      <c r="K630" t="s">
        <v>42</v>
      </c>
      <c r="L630" t="s">
        <v>22</v>
      </c>
      <c r="M630" s="3">
        <f t="shared" si="27"/>
        <v>1962.7204081632651</v>
      </c>
      <c r="N630" t="str">
        <f t="shared" si="28"/>
        <v>November</v>
      </c>
      <c r="O630" t="str">
        <f t="shared" si="29"/>
        <v>2023</v>
      </c>
      <c r="P630" s="3">
        <f>Table1[[#This Row],[Revenue]]-Table1[[#This Row],[Cost]]</f>
        <v>588.81612244897951</v>
      </c>
      <c r="Q630"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631" spans="1:17" x14ac:dyDescent="0.2">
      <c r="A631" t="s">
        <v>118</v>
      </c>
      <c r="B631" s="1">
        <v>45180</v>
      </c>
      <c r="C631" t="s">
        <v>12</v>
      </c>
      <c r="D631" t="s">
        <v>83</v>
      </c>
      <c r="E631" t="s">
        <v>14</v>
      </c>
      <c r="F631" t="s">
        <v>26</v>
      </c>
      <c r="G631">
        <v>0</v>
      </c>
      <c r="H631">
        <f>Table1[[#This Row],[UnitPrice]]*0.7*Table1[[#This Row],[UnitsSold]]</f>
        <v>0</v>
      </c>
      <c r="I631">
        <v>1002.870425531915</v>
      </c>
      <c r="J631">
        <v>0.26</v>
      </c>
      <c r="K631" t="s">
        <v>52</v>
      </c>
      <c r="L631" t="s">
        <v>27</v>
      </c>
      <c r="M631" s="3">
        <f t="shared" si="27"/>
        <v>0</v>
      </c>
      <c r="N631" t="str">
        <f t="shared" si="28"/>
        <v>September</v>
      </c>
      <c r="O631" t="str">
        <f t="shared" si="29"/>
        <v>2023</v>
      </c>
      <c r="P631" s="3">
        <f>Table1[[#This Row],[Revenue]]-Table1[[#This Row],[Cost]]</f>
        <v>0</v>
      </c>
      <c r="Q63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32" spans="1:17" x14ac:dyDescent="0.2">
      <c r="A632" t="s">
        <v>197</v>
      </c>
      <c r="B632" s="1">
        <v>45072</v>
      </c>
      <c r="C632" t="s">
        <v>246</v>
      </c>
      <c r="D632" t="s">
        <v>267</v>
      </c>
      <c r="E632" t="s">
        <v>247</v>
      </c>
      <c r="F632" t="s">
        <v>26</v>
      </c>
      <c r="G632">
        <v>0</v>
      </c>
      <c r="H632">
        <f>Table1[[#This Row],[UnitPrice]]*0.7*Table1[[#This Row],[UnitsSold]]</f>
        <v>0</v>
      </c>
      <c r="I632">
        <v>981.36020408163256</v>
      </c>
      <c r="J632">
        <v>0.06</v>
      </c>
      <c r="K632" t="s">
        <v>248</v>
      </c>
      <c r="L632" t="s">
        <v>17</v>
      </c>
      <c r="M632" s="3">
        <f t="shared" si="27"/>
        <v>0</v>
      </c>
      <c r="N632" t="str">
        <f t="shared" si="28"/>
        <v>May</v>
      </c>
      <c r="O632" t="str">
        <f t="shared" si="29"/>
        <v>2023</v>
      </c>
      <c r="P632" s="3">
        <f>Table1[[#This Row],[Revenue]]-Table1[[#This Row],[Cost]]</f>
        <v>0</v>
      </c>
      <c r="Q63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33" spans="1:17" x14ac:dyDescent="0.2">
      <c r="A633" t="s">
        <v>143</v>
      </c>
      <c r="B633" s="1">
        <v>45140</v>
      </c>
      <c r="C633" t="s">
        <v>12</v>
      </c>
      <c r="D633" t="s">
        <v>19</v>
      </c>
      <c r="E633" t="s">
        <v>25</v>
      </c>
      <c r="F633" t="s">
        <v>26</v>
      </c>
      <c r="G633">
        <v>0</v>
      </c>
      <c r="H633">
        <f>Table1[[#This Row],[UnitPrice]]*0.7*Table1[[#This Row],[UnitsSold]]</f>
        <v>0</v>
      </c>
      <c r="I633">
        <v>961.05661016949136</v>
      </c>
      <c r="J633">
        <v>0.28999999999999998</v>
      </c>
      <c r="K633" t="s">
        <v>42</v>
      </c>
      <c r="L633" t="s">
        <v>55</v>
      </c>
      <c r="M633" s="3">
        <f t="shared" si="27"/>
        <v>0</v>
      </c>
      <c r="N633" t="str">
        <f t="shared" si="28"/>
        <v>August</v>
      </c>
      <c r="O633" t="str">
        <f t="shared" si="29"/>
        <v>2023</v>
      </c>
      <c r="P633" s="3">
        <f>Table1[[#This Row],[Revenue]]-Table1[[#This Row],[Cost]]</f>
        <v>0</v>
      </c>
      <c r="Q63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34" spans="1:17" x14ac:dyDescent="0.2">
      <c r="A634" t="s">
        <v>213</v>
      </c>
      <c r="B634" s="1">
        <v>44981</v>
      </c>
      <c r="C634" t="s">
        <v>29</v>
      </c>
      <c r="D634" t="s">
        <v>19</v>
      </c>
      <c r="E634" t="s">
        <v>46</v>
      </c>
      <c r="F634" t="s">
        <v>26</v>
      </c>
      <c r="G634">
        <v>0</v>
      </c>
      <c r="H634">
        <f>Table1[[#This Row],[UnitPrice]]*0.7*Table1[[#This Row],[UnitsSold]]</f>
        <v>0</v>
      </c>
      <c r="I634">
        <v>1106.0261904761899</v>
      </c>
      <c r="J634">
        <v>0</v>
      </c>
      <c r="K634" t="s">
        <v>248</v>
      </c>
      <c r="L634" t="s">
        <v>27</v>
      </c>
      <c r="M634" s="3">
        <f t="shared" si="27"/>
        <v>0</v>
      </c>
      <c r="N634" t="str">
        <f t="shared" si="28"/>
        <v>February</v>
      </c>
      <c r="O634" t="str">
        <f t="shared" si="29"/>
        <v>2023</v>
      </c>
      <c r="P634" s="3">
        <f>Table1[[#This Row],[Revenue]]-Table1[[#This Row],[Cost]]</f>
        <v>0</v>
      </c>
      <c r="Q63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35" spans="1:17" x14ac:dyDescent="0.2">
      <c r="A635" t="s">
        <v>74</v>
      </c>
      <c r="B635" s="1">
        <v>44949</v>
      </c>
      <c r="C635" t="s">
        <v>57</v>
      </c>
      <c r="D635" t="s">
        <v>59</v>
      </c>
      <c r="E635" t="s">
        <v>48</v>
      </c>
      <c r="F635" t="s">
        <v>39</v>
      </c>
      <c r="G635">
        <v>5</v>
      </c>
      <c r="H635">
        <f>Table1[[#This Row],[UnitPrice]]*0.7*Table1[[#This Row],[UnitsSold]]</f>
        <v>3560.5805319148931</v>
      </c>
      <c r="I635">
        <v>1017.3087234042553</v>
      </c>
      <c r="J635">
        <v>0.08</v>
      </c>
      <c r="K635" t="s">
        <v>283</v>
      </c>
      <c r="L635" t="s">
        <v>27</v>
      </c>
      <c r="M635" s="3">
        <f t="shared" si="27"/>
        <v>4679.6201276595739</v>
      </c>
      <c r="N635" t="str">
        <f t="shared" si="28"/>
        <v>January</v>
      </c>
      <c r="O635" t="str">
        <f t="shared" si="29"/>
        <v>2023</v>
      </c>
      <c r="P635" s="3">
        <f>Table1[[#This Row],[Revenue]]-Table1[[#This Row],[Cost]]</f>
        <v>1119.0395957446808</v>
      </c>
      <c r="Q635" s="6">
        <f>IF(Table1[[#This Row],[UnitsSold]]*Table1[[#This Row],[UnitPrice]]*(1-Table1[[#This Row],[Discount]])=0, 0, ((Table1[[#This Row],[UnitsSold]]*Table1[[#This Row],[UnitPrice]]*(1-Table1[[#This Row],[Discount]])) - (Table1[[#This Row],[UnitsSold]]*Table1[[#This Row],[UnitPrice]]*0.7)) / (Table1[[#This Row],[UnitsSold]]*Table1[[#This Row],[UnitPrice]]*(1-Table1[[#This Row],[Discount]])))</f>
        <v>0.23913043478260873</v>
      </c>
    </row>
    <row r="636" spans="1:17" x14ac:dyDescent="0.2">
      <c r="A636" t="s">
        <v>163</v>
      </c>
      <c r="B636" s="1">
        <v>45235</v>
      </c>
      <c r="C636" t="s">
        <v>57</v>
      </c>
      <c r="D636" t="s">
        <v>19</v>
      </c>
      <c r="E636" t="s">
        <v>38</v>
      </c>
      <c r="F636" t="s">
        <v>34</v>
      </c>
      <c r="G636">
        <v>6</v>
      </c>
      <c r="H636">
        <f>Table1[[#This Row],[UnitPrice]]*0.7*Table1[[#This Row],[UnitsSold]]</f>
        <v>3934.546636363636</v>
      </c>
      <c r="I636">
        <v>936.79681818181825</v>
      </c>
      <c r="J636">
        <v>0.03</v>
      </c>
      <c r="K636" t="s">
        <v>16</v>
      </c>
      <c r="L636" t="s">
        <v>22</v>
      </c>
      <c r="M636" s="3">
        <f t="shared" si="27"/>
        <v>5452.1574818181825</v>
      </c>
      <c r="N636" t="str">
        <f t="shared" si="28"/>
        <v>November</v>
      </c>
      <c r="O636" t="str">
        <f t="shared" si="29"/>
        <v>2023</v>
      </c>
      <c r="P636" s="3">
        <f>Table1[[#This Row],[Revenue]]-Table1[[#This Row],[Cost]]</f>
        <v>1517.6108454545465</v>
      </c>
      <c r="Q636" s="6">
        <f>IF(Table1[[#This Row],[UnitsSold]]*Table1[[#This Row],[UnitPrice]]*(1-Table1[[#This Row],[Discount]])=0, 0, ((Table1[[#This Row],[UnitsSold]]*Table1[[#This Row],[UnitPrice]]*(1-Table1[[#This Row],[Discount]])) - (Table1[[#This Row],[UnitsSold]]*Table1[[#This Row],[UnitPrice]]*0.7)) / (Table1[[#This Row],[UnitsSold]]*Table1[[#This Row],[UnitPrice]]*(1-Table1[[#This Row],[Discount]])))</f>
        <v>0.27835051546391759</v>
      </c>
    </row>
    <row r="637" spans="1:17" x14ac:dyDescent="0.2">
      <c r="A637" t="s">
        <v>191</v>
      </c>
      <c r="B637" s="1">
        <v>45133</v>
      </c>
      <c r="C637" t="s">
        <v>24</v>
      </c>
      <c r="D637" t="s">
        <v>13</v>
      </c>
      <c r="E637" t="s">
        <v>25</v>
      </c>
      <c r="F637" t="s">
        <v>26</v>
      </c>
      <c r="G637">
        <v>0</v>
      </c>
      <c r="H637">
        <f>Table1[[#This Row],[UnitPrice]]*0.7*Table1[[#This Row],[UnitsSold]]</f>
        <v>0</v>
      </c>
      <c r="I637">
        <v>961.05661016949136</v>
      </c>
      <c r="J637">
        <v>0</v>
      </c>
      <c r="K637" t="s">
        <v>283</v>
      </c>
      <c r="L637" t="s">
        <v>17</v>
      </c>
      <c r="M637" s="3">
        <f t="shared" si="27"/>
        <v>0</v>
      </c>
      <c r="N637" t="str">
        <f t="shared" si="28"/>
        <v>July</v>
      </c>
      <c r="O637" t="str">
        <f t="shared" si="29"/>
        <v>2023</v>
      </c>
      <c r="P637" s="3">
        <f>Table1[[#This Row],[Revenue]]-Table1[[#This Row],[Cost]]</f>
        <v>0</v>
      </c>
      <c r="Q63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38" spans="1:17" x14ac:dyDescent="0.2">
      <c r="A638" t="s">
        <v>193</v>
      </c>
      <c r="B638" s="1">
        <v>45110</v>
      </c>
      <c r="C638" t="s">
        <v>12</v>
      </c>
      <c r="D638" t="s">
        <v>267</v>
      </c>
      <c r="E638" t="s">
        <v>14</v>
      </c>
      <c r="F638" t="s">
        <v>26</v>
      </c>
      <c r="G638">
        <v>0</v>
      </c>
      <c r="H638">
        <f>Table1[[#This Row],[UnitPrice]]*0.7*Table1[[#This Row],[UnitsSold]]</f>
        <v>0</v>
      </c>
      <c r="I638">
        <v>1002.870425531915</v>
      </c>
      <c r="J638">
        <v>0</v>
      </c>
      <c r="K638" t="s">
        <v>248</v>
      </c>
      <c r="L638" t="s">
        <v>22</v>
      </c>
      <c r="M638" s="3">
        <f t="shared" si="27"/>
        <v>0</v>
      </c>
      <c r="N638" t="str">
        <f t="shared" si="28"/>
        <v>July</v>
      </c>
      <c r="O638" t="str">
        <f t="shared" si="29"/>
        <v>2023</v>
      </c>
      <c r="P638" s="3">
        <f>Table1[[#This Row],[Revenue]]-Table1[[#This Row],[Cost]]</f>
        <v>0</v>
      </c>
      <c r="Q63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39" spans="1:17" x14ac:dyDescent="0.2">
      <c r="A639" t="s">
        <v>126</v>
      </c>
      <c r="B639" s="1">
        <v>45314</v>
      </c>
      <c r="C639" t="s">
        <v>57</v>
      </c>
      <c r="D639" t="s">
        <v>267</v>
      </c>
      <c r="E639" t="s">
        <v>14</v>
      </c>
      <c r="F639" t="s">
        <v>26</v>
      </c>
      <c r="G639">
        <v>0</v>
      </c>
      <c r="H639">
        <f>Table1[[#This Row],[UnitPrice]]*0.7*Table1[[#This Row],[UnitsSold]]</f>
        <v>0</v>
      </c>
      <c r="I639">
        <v>1265.07</v>
      </c>
      <c r="J639">
        <v>0</v>
      </c>
      <c r="K639" t="s">
        <v>42</v>
      </c>
      <c r="L639" t="s">
        <v>249</v>
      </c>
      <c r="M639" s="3">
        <f t="shared" si="27"/>
        <v>0</v>
      </c>
      <c r="N639" t="str">
        <f t="shared" si="28"/>
        <v>January</v>
      </c>
      <c r="O639" t="str">
        <f t="shared" si="29"/>
        <v>2024</v>
      </c>
      <c r="P639" s="3">
        <f>Table1[[#This Row],[Revenue]]-Table1[[#This Row],[Cost]]</f>
        <v>0</v>
      </c>
      <c r="Q63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40" spans="1:17" x14ac:dyDescent="0.2">
      <c r="A640" t="s">
        <v>226</v>
      </c>
      <c r="B640" s="1">
        <v>45278</v>
      </c>
      <c r="C640" t="s">
        <v>246</v>
      </c>
      <c r="D640" t="s">
        <v>83</v>
      </c>
      <c r="E640" t="s">
        <v>44</v>
      </c>
      <c r="F640" t="s">
        <v>26</v>
      </c>
      <c r="G640">
        <v>0</v>
      </c>
      <c r="H640">
        <f>Table1[[#This Row],[UnitPrice]]*0.7*Table1[[#This Row],[UnitsSold]]</f>
        <v>0</v>
      </c>
      <c r="I640">
        <v>941.76</v>
      </c>
      <c r="J640">
        <v>0</v>
      </c>
      <c r="K640" t="s">
        <v>52</v>
      </c>
      <c r="L640" t="s">
        <v>249</v>
      </c>
      <c r="M640" s="3">
        <f t="shared" si="27"/>
        <v>0</v>
      </c>
      <c r="N640" t="str">
        <f t="shared" si="28"/>
        <v>December</v>
      </c>
      <c r="O640" t="str">
        <f t="shared" si="29"/>
        <v>2023</v>
      </c>
      <c r="P640" s="3">
        <f>Table1[[#This Row],[Revenue]]-Table1[[#This Row],[Cost]]</f>
        <v>0</v>
      </c>
      <c r="Q64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41" spans="1:17" x14ac:dyDescent="0.2">
      <c r="A641" t="s">
        <v>88</v>
      </c>
      <c r="B641" s="1">
        <v>45277</v>
      </c>
      <c r="C641" t="s">
        <v>24</v>
      </c>
      <c r="D641" t="s">
        <v>267</v>
      </c>
      <c r="E641" t="s">
        <v>247</v>
      </c>
      <c r="F641" t="s">
        <v>26</v>
      </c>
      <c r="G641">
        <v>0</v>
      </c>
      <c r="H641">
        <f>Table1[[#This Row],[UnitPrice]]*0.7*Table1[[#This Row],[UnitsSold]]</f>
        <v>0</v>
      </c>
      <c r="I641">
        <v>981.36020408163256</v>
      </c>
      <c r="J641">
        <v>0.02</v>
      </c>
      <c r="K641" t="s">
        <v>248</v>
      </c>
      <c r="L641" t="s">
        <v>27</v>
      </c>
      <c r="M641" s="3">
        <f t="shared" si="27"/>
        <v>0</v>
      </c>
      <c r="N641" t="str">
        <f t="shared" si="28"/>
        <v>December</v>
      </c>
      <c r="O641" t="str">
        <f t="shared" si="29"/>
        <v>2023</v>
      </c>
      <c r="P641" s="3">
        <f>Table1[[#This Row],[Revenue]]-Table1[[#This Row],[Cost]]</f>
        <v>0</v>
      </c>
      <c r="Q64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42" spans="1:17" x14ac:dyDescent="0.2">
      <c r="A642" t="s">
        <v>80</v>
      </c>
      <c r="B642" s="1">
        <v>45144</v>
      </c>
      <c r="C642" t="s">
        <v>57</v>
      </c>
      <c r="D642" t="s">
        <v>19</v>
      </c>
      <c r="E642" t="s">
        <v>38</v>
      </c>
      <c r="F642" t="s">
        <v>34</v>
      </c>
      <c r="G642">
        <v>0</v>
      </c>
      <c r="H642">
        <f>Table1[[#This Row],[UnitPrice]]*0.7*Table1[[#This Row],[UnitsSold]]</f>
        <v>0</v>
      </c>
      <c r="I642">
        <v>517.16999999999996</v>
      </c>
      <c r="J642">
        <v>0.23</v>
      </c>
      <c r="K642" t="s">
        <v>16</v>
      </c>
      <c r="L642" t="s">
        <v>22</v>
      </c>
      <c r="M642" s="3">
        <f t="shared" ref="M642:M705" si="30">G642*I642*(1-J642)</f>
        <v>0</v>
      </c>
      <c r="N642" t="str">
        <f t="shared" ref="N642:N705" si="31">TEXT(B642, "mmmm")</f>
        <v>August</v>
      </c>
      <c r="O642" t="str">
        <f t="shared" ref="O642:O705" si="32">TEXT(B642, "yyyy")</f>
        <v>2023</v>
      </c>
      <c r="P642" s="3">
        <f>Table1[[#This Row],[Revenue]]-Table1[[#This Row],[Cost]]</f>
        <v>0</v>
      </c>
      <c r="Q64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43" spans="1:17" x14ac:dyDescent="0.2">
      <c r="A643" t="s">
        <v>75</v>
      </c>
      <c r="B643" s="1">
        <v>45020</v>
      </c>
      <c r="C643" t="s">
        <v>57</v>
      </c>
      <c r="D643" t="s">
        <v>19</v>
      </c>
      <c r="E643" t="s">
        <v>46</v>
      </c>
      <c r="F643" t="s">
        <v>26</v>
      </c>
      <c r="G643">
        <v>0</v>
      </c>
      <c r="H643">
        <f>Table1[[#This Row],[UnitPrice]]*0.7*Table1[[#This Row],[UnitsSold]]</f>
        <v>0</v>
      </c>
      <c r="I643">
        <v>1106.0261904761899</v>
      </c>
      <c r="J643">
        <v>0</v>
      </c>
      <c r="K643" t="s">
        <v>248</v>
      </c>
      <c r="L643" t="s">
        <v>55</v>
      </c>
      <c r="M643" s="3">
        <f t="shared" si="30"/>
        <v>0</v>
      </c>
      <c r="N643" t="str">
        <f t="shared" si="31"/>
        <v>April</v>
      </c>
      <c r="O643" t="str">
        <f t="shared" si="32"/>
        <v>2023</v>
      </c>
      <c r="P643" s="3">
        <f>Table1[[#This Row],[Revenue]]-Table1[[#This Row],[Cost]]</f>
        <v>0</v>
      </c>
      <c r="Q64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44" spans="1:17" x14ac:dyDescent="0.2">
      <c r="A644" t="s">
        <v>216</v>
      </c>
      <c r="B644" s="1">
        <v>45022</v>
      </c>
      <c r="C644" t="s">
        <v>37</v>
      </c>
      <c r="D644" t="s">
        <v>19</v>
      </c>
      <c r="E644" t="s">
        <v>46</v>
      </c>
      <c r="F644" t="s">
        <v>26</v>
      </c>
      <c r="G644">
        <v>0</v>
      </c>
      <c r="H644">
        <f>Table1[[#This Row],[UnitPrice]]*0.7*Table1[[#This Row],[UnitsSold]]</f>
        <v>0</v>
      </c>
      <c r="I644">
        <v>1106.0261904761899</v>
      </c>
      <c r="J644">
        <v>0</v>
      </c>
      <c r="K644" t="s">
        <v>16</v>
      </c>
      <c r="L644" t="s">
        <v>27</v>
      </c>
      <c r="M644" s="3">
        <f t="shared" si="30"/>
        <v>0</v>
      </c>
      <c r="N644" t="str">
        <f t="shared" si="31"/>
        <v>April</v>
      </c>
      <c r="O644" t="str">
        <f t="shared" si="32"/>
        <v>2023</v>
      </c>
      <c r="P644" s="3">
        <f>Table1[[#This Row],[Revenue]]-Table1[[#This Row],[Cost]]</f>
        <v>0</v>
      </c>
      <c r="Q64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45" spans="1:17" x14ac:dyDescent="0.2">
      <c r="A645" t="s">
        <v>187</v>
      </c>
      <c r="B645" s="1">
        <v>45262</v>
      </c>
      <c r="C645" t="s">
        <v>57</v>
      </c>
      <c r="D645" t="s">
        <v>83</v>
      </c>
      <c r="E645" t="s">
        <v>48</v>
      </c>
      <c r="F645" t="s">
        <v>39</v>
      </c>
      <c r="G645">
        <v>0</v>
      </c>
      <c r="H645">
        <f>Table1[[#This Row],[UnitPrice]]*0.7*Table1[[#This Row],[UnitsSold]]</f>
        <v>0</v>
      </c>
      <c r="I645">
        <v>1017.3087234042553</v>
      </c>
      <c r="J645">
        <v>0</v>
      </c>
      <c r="K645" t="s">
        <v>52</v>
      </c>
      <c r="L645" t="s">
        <v>22</v>
      </c>
      <c r="M645" s="3">
        <f t="shared" si="30"/>
        <v>0</v>
      </c>
      <c r="N645" t="str">
        <f t="shared" si="31"/>
        <v>December</v>
      </c>
      <c r="O645" t="str">
        <f t="shared" si="32"/>
        <v>2023</v>
      </c>
      <c r="P645" s="3">
        <f>Table1[[#This Row],[Revenue]]-Table1[[#This Row],[Cost]]</f>
        <v>0</v>
      </c>
      <c r="Q64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46" spans="1:17" x14ac:dyDescent="0.2">
      <c r="A646" t="s">
        <v>79</v>
      </c>
      <c r="B646" s="1">
        <v>44971</v>
      </c>
      <c r="C646" t="s">
        <v>246</v>
      </c>
      <c r="D646" t="s">
        <v>19</v>
      </c>
      <c r="E646" t="s">
        <v>46</v>
      </c>
      <c r="F646" t="s">
        <v>26</v>
      </c>
      <c r="G646">
        <v>4</v>
      </c>
      <c r="H646">
        <f>Table1[[#This Row],[UnitPrice]]*0.7*Table1[[#This Row],[UnitsSold]]</f>
        <v>3906.2799999999993</v>
      </c>
      <c r="I646">
        <v>1395.1</v>
      </c>
      <c r="J646">
        <v>0.26</v>
      </c>
      <c r="K646" t="s">
        <v>42</v>
      </c>
      <c r="L646" t="s">
        <v>249</v>
      </c>
      <c r="M646" s="3">
        <f t="shared" si="30"/>
        <v>4129.4960000000001</v>
      </c>
      <c r="N646" t="str">
        <f t="shared" si="31"/>
        <v>February</v>
      </c>
      <c r="O646" t="str">
        <f t="shared" si="32"/>
        <v>2023</v>
      </c>
      <c r="P646" s="3">
        <f>Table1[[#This Row],[Revenue]]-Table1[[#This Row],[Cost]]</f>
        <v>223.2160000000008</v>
      </c>
      <c r="Q646" s="6">
        <f>IF(Table1[[#This Row],[UnitsSold]]*Table1[[#This Row],[UnitPrice]]*(1-Table1[[#This Row],[Discount]])=0, 0, ((Table1[[#This Row],[UnitsSold]]*Table1[[#This Row],[UnitPrice]]*(1-Table1[[#This Row],[Discount]])) - (Table1[[#This Row],[UnitsSold]]*Table1[[#This Row],[UnitPrice]]*0.7)) / (Table1[[#This Row],[UnitsSold]]*Table1[[#This Row],[UnitPrice]]*(1-Table1[[#This Row],[Discount]])))</f>
        <v>5.4054054054054244E-2</v>
      </c>
    </row>
    <row r="647" spans="1:17" x14ac:dyDescent="0.2">
      <c r="A647" t="s">
        <v>147</v>
      </c>
      <c r="B647" s="1">
        <v>45050</v>
      </c>
      <c r="C647" t="s">
        <v>57</v>
      </c>
      <c r="D647" t="s">
        <v>267</v>
      </c>
      <c r="E647" t="s">
        <v>48</v>
      </c>
      <c r="F647" t="s">
        <v>39</v>
      </c>
      <c r="G647">
        <v>7</v>
      </c>
      <c r="H647">
        <f>Table1[[#This Row],[UnitPrice]]*0.7*Table1[[#This Row],[UnitsSold]]</f>
        <v>4984.8127446808503</v>
      </c>
      <c r="I647">
        <v>1017.3087234042553</v>
      </c>
      <c r="J647">
        <v>0</v>
      </c>
      <c r="K647" t="s">
        <v>16</v>
      </c>
      <c r="L647" t="s">
        <v>27</v>
      </c>
      <c r="M647" s="3">
        <f t="shared" si="30"/>
        <v>7121.1610638297871</v>
      </c>
      <c r="N647" t="str">
        <f t="shared" si="31"/>
        <v>May</v>
      </c>
      <c r="O647" t="str">
        <f t="shared" si="32"/>
        <v>2023</v>
      </c>
      <c r="P647" s="3">
        <f>Table1[[#This Row],[Revenue]]-Table1[[#This Row],[Cost]]</f>
        <v>2136.3483191489368</v>
      </c>
      <c r="Q64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648" spans="1:17" x14ac:dyDescent="0.2">
      <c r="A648" t="s">
        <v>114</v>
      </c>
      <c r="B648" s="1">
        <v>45005</v>
      </c>
      <c r="C648" t="s">
        <v>57</v>
      </c>
      <c r="D648" t="s">
        <v>83</v>
      </c>
      <c r="E648" t="s">
        <v>38</v>
      </c>
      <c r="F648" t="s">
        <v>34</v>
      </c>
      <c r="G648">
        <v>0</v>
      </c>
      <c r="H648">
        <f>Table1[[#This Row],[UnitPrice]]*0.7*Table1[[#This Row],[UnitsSold]]</f>
        <v>0</v>
      </c>
      <c r="I648">
        <v>936.79681818181825</v>
      </c>
      <c r="J648">
        <v>0</v>
      </c>
      <c r="K648" t="s">
        <v>16</v>
      </c>
      <c r="L648" t="s">
        <v>55</v>
      </c>
      <c r="M648" s="3">
        <f t="shared" si="30"/>
        <v>0</v>
      </c>
      <c r="N648" t="str">
        <f t="shared" si="31"/>
        <v>March</v>
      </c>
      <c r="O648" t="str">
        <f t="shared" si="32"/>
        <v>2023</v>
      </c>
      <c r="P648" s="3">
        <f>Table1[[#This Row],[Revenue]]-Table1[[#This Row],[Cost]]</f>
        <v>0</v>
      </c>
      <c r="Q64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49" spans="1:17" x14ac:dyDescent="0.2">
      <c r="A649" t="s">
        <v>190</v>
      </c>
      <c r="B649" s="1">
        <v>44979</v>
      </c>
      <c r="C649" t="s">
        <v>57</v>
      </c>
      <c r="D649" t="s">
        <v>83</v>
      </c>
      <c r="E649" t="s">
        <v>25</v>
      </c>
      <c r="F649" t="s">
        <v>26</v>
      </c>
      <c r="G649">
        <v>0</v>
      </c>
      <c r="H649">
        <f>Table1[[#This Row],[UnitPrice]]*0.7*Table1[[#This Row],[UnitsSold]]</f>
        <v>0</v>
      </c>
      <c r="I649">
        <v>961.05661016949136</v>
      </c>
      <c r="J649">
        <v>0</v>
      </c>
      <c r="K649" t="s">
        <v>42</v>
      </c>
      <c r="L649" t="s">
        <v>17</v>
      </c>
      <c r="M649" s="3">
        <f t="shared" si="30"/>
        <v>0</v>
      </c>
      <c r="N649" t="str">
        <f t="shared" si="31"/>
        <v>February</v>
      </c>
      <c r="O649" t="str">
        <f t="shared" si="32"/>
        <v>2023</v>
      </c>
      <c r="P649" s="3">
        <f>Table1[[#This Row],[Revenue]]-Table1[[#This Row],[Cost]]</f>
        <v>0</v>
      </c>
      <c r="Q64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50" spans="1:17" x14ac:dyDescent="0.2">
      <c r="A650" t="s">
        <v>213</v>
      </c>
      <c r="B650" s="1">
        <v>45298</v>
      </c>
      <c r="C650" t="s">
        <v>57</v>
      </c>
      <c r="D650" t="s">
        <v>19</v>
      </c>
      <c r="E650" t="s">
        <v>48</v>
      </c>
      <c r="F650" t="s">
        <v>39</v>
      </c>
      <c r="G650">
        <v>17</v>
      </c>
      <c r="H650">
        <f>Table1[[#This Row],[UnitPrice]]*0.7*Table1[[#This Row],[UnitsSold]]</f>
        <v>12105.973808510636</v>
      </c>
      <c r="I650">
        <v>1017.3087234042553</v>
      </c>
      <c r="J650">
        <v>0</v>
      </c>
      <c r="K650" t="s">
        <v>283</v>
      </c>
      <c r="L650" t="s">
        <v>22</v>
      </c>
      <c r="M650" s="3">
        <f t="shared" si="30"/>
        <v>17294.248297872338</v>
      </c>
      <c r="N650" t="str">
        <f t="shared" si="31"/>
        <v>January</v>
      </c>
      <c r="O650" t="str">
        <f t="shared" si="32"/>
        <v>2024</v>
      </c>
      <c r="P650" s="3">
        <f>Table1[[#This Row],[Revenue]]-Table1[[#This Row],[Cost]]</f>
        <v>5188.2744893617019</v>
      </c>
      <c r="Q65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651" spans="1:17" x14ac:dyDescent="0.2">
      <c r="A651" t="s">
        <v>205</v>
      </c>
      <c r="B651" s="1">
        <v>44986</v>
      </c>
      <c r="C651" t="s">
        <v>57</v>
      </c>
      <c r="D651" t="s">
        <v>31</v>
      </c>
      <c r="E651" t="s">
        <v>48</v>
      </c>
      <c r="F651" t="s">
        <v>39</v>
      </c>
      <c r="G651">
        <v>0</v>
      </c>
      <c r="H651">
        <f>Table1[[#This Row],[UnitPrice]]*0.7*Table1[[#This Row],[UnitsSold]]</f>
        <v>0</v>
      </c>
      <c r="I651">
        <v>878.1</v>
      </c>
      <c r="J651">
        <v>0.09</v>
      </c>
      <c r="K651" t="s">
        <v>42</v>
      </c>
      <c r="L651" t="s">
        <v>55</v>
      </c>
      <c r="M651" s="3">
        <f t="shared" si="30"/>
        <v>0</v>
      </c>
      <c r="N651" t="str">
        <f t="shared" si="31"/>
        <v>March</v>
      </c>
      <c r="O651" t="str">
        <f t="shared" si="32"/>
        <v>2023</v>
      </c>
      <c r="P651" s="3">
        <f>Table1[[#This Row],[Revenue]]-Table1[[#This Row],[Cost]]</f>
        <v>0</v>
      </c>
      <c r="Q65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52" spans="1:17" x14ac:dyDescent="0.2">
      <c r="A652" t="s">
        <v>183</v>
      </c>
      <c r="B652" s="1">
        <v>45045</v>
      </c>
      <c r="C652" t="s">
        <v>37</v>
      </c>
      <c r="D652" t="s">
        <v>31</v>
      </c>
      <c r="E652" t="s">
        <v>48</v>
      </c>
      <c r="F652" t="s">
        <v>39</v>
      </c>
      <c r="G652">
        <v>0</v>
      </c>
      <c r="H652">
        <f>Table1[[#This Row],[UnitPrice]]*0.7*Table1[[#This Row],[UnitsSold]]</f>
        <v>0</v>
      </c>
      <c r="I652">
        <v>1317.35</v>
      </c>
      <c r="J652">
        <v>0</v>
      </c>
      <c r="K652" t="s">
        <v>283</v>
      </c>
      <c r="L652" t="s">
        <v>22</v>
      </c>
      <c r="M652" s="3">
        <f t="shared" si="30"/>
        <v>0</v>
      </c>
      <c r="N652" t="str">
        <f t="shared" si="31"/>
        <v>April</v>
      </c>
      <c r="O652" t="str">
        <f t="shared" si="32"/>
        <v>2023</v>
      </c>
      <c r="P652" s="3">
        <f>Table1[[#This Row],[Revenue]]-Table1[[#This Row],[Cost]]</f>
        <v>0</v>
      </c>
      <c r="Q65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53" spans="1:17" x14ac:dyDescent="0.2">
      <c r="A653" t="s">
        <v>140</v>
      </c>
      <c r="B653" s="1">
        <v>45271</v>
      </c>
      <c r="C653" t="s">
        <v>29</v>
      </c>
      <c r="D653" t="s">
        <v>267</v>
      </c>
      <c r="E653" t="s">
        <v>38</v>
      </c>
      <c r="F653" t="s">
        <v>34</v>
      </c>
      <c r="G653">
        <v>20</v>
      </c>
      <c r="H653">
        <f>Table1[[#This Row],[UnitPrice]]*0.7*Table1[[#This Row],[UnitsSold]]</f>
        <v>13115.155454545455</v>
      </c>
      <c r="I653">
        <v>936.79681818181825</v>
      </c>
      <c r="J653">
        <v>0</v>
      </c>
      <c r="K653" t="s">
        <v>16</v>
      </c>
      <c r="L653" t="s">
        <v>249</v>
      </c>
      <c r="M653" s="3">
        <f t="shared" si="30"/>
        <v>18735.936363636363</v>
      </c>
      <c r="N653" t="str">
        <f t="shared" si="31"/>
        <v>December</v>
      </c>
      <c r="O653" t="str">
        <f t="shared" si="32"/>
        <v>2023</v>
      </c>
      <c r="P653" s="3">
        <f>Table1[[#This Row],[Revenue]]-Table1[[#This Row],[Cost]]</f>
        <v>5620.7809090909086</v>
      </c>
      <c r="Q653"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654" spans="1:17" x14ac:dyDescent="0.2">
      <c r="A654" t="s">
        <v>217</v>
      </c>
      <c r="B654" s="1">
        <v>45007</v>
      </c>
      <c r="C654" t="s">
        <v>57</v>
      </c>
      <c r="D654" t="s">
        <v>19</v>
      </c>
      <c r="E654" t="s">
        <v>25</v>
      </c>
      <c r="F654" t="s">
        <v>26</v>
      </c>
      <c r="G654">
        <v>0</v>
      </c>
      <c r="H654">
        <f>Table1[[#This Row],[UnitPrice]]*0.7*Table1[[#This Row],[UnitsSold]]</f>
        <v>0</v>
      </c>
      <c r="I654">
        <v>961.05661016949136</v>
      </c>
      <c r="J654">
        <v>0.01</v>
      </c>
      <c r="K654" t="s">
        <v>52</v>
      </c>
      <c r="L654" t="s">
        <v>55</v>
      </c>
      <c r="M654" s="3">
        <f t="shared" si="30"/>
        <v>0</v>
      </c>
      <c r="N654" t="str">
        <f t="shared" si="31"/>
        <v>March</v>
      </c>
      <c r="O654" t="str">
        <f t="shared" si="32"/>
        <v>2023</v>
      </c>
      <c r="P654" s="3">
        <f>Table1[[#This Row],[Revenue]]-Table1[[#This Row],[Cost]]</f>
        <v>0</v>
      </c>
      <c r="Q65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55" spans="1:17" x14ac:dyDescent="0.2">
      <c r="A655" t="s">
        <v>230</v>
      </c>
      <c r="B655" s="1">
        <v>45273</v>
      </c>
      <c r="C655" t="s">
        <v>246</v>
      </c>
      <c r="D655" t="s">
        <v>19</v>
      </c>
      <c r="E655" t="s">
        <v>25</v>
      </c>
      <c r="F655" t="s">
        <v>26</v>
      </c>
      <c r="G655">
        <v>2</v>
      </c>
      <c r="H655">
        <f>Table1[[#This Row],[UnitPrice]]*0.7*Table1[[#This Row],[UnitsSold]]</f>
        <v>954.92599999999993</v>
      </c>
      <c r="I655">
        <v>682.09</v>
      </c>
      <c r="J655">
        <v>0.19</v>
      </c>
      <c r="K655" t="s">
        <v>248</v>
      </c>
      <c r="L655" t="s">
        <v>249</v>
      </c>
      <c r="M655" s="3">
        <f t="shared" si="30"/>
        <v>1104.9858000000002</v>
      </c>
      <c r="N655" t="str">
        <f t="shared" si="31"/>
        <v>December</v>
      </c>
      <c r="O655" t="str">
        <f t="shared" si="32"/>
        <v>2023</v>
      </c>
      <c r="P655" s="3">
        <f>Table1[[#This Row],[Revenue]]-Table1[[#This Row],[Cost]]</f>
        <v>150.05980000000022</v>
      </c>
      <c r="Q655" s="6">
        <f>IF(Table1[[#This Row],[UnitsSold]]*Table1[[#This Row],[UnitPrice]]*(1-Table1[[#This Row],[Discount]])=0, 0, ((Table1[[#This Row],[UnitsSold]]*Table1[[#This Row],[UnitPrice]]*(1-Table1[[#This Row],[Discount]])) - (Table1[[#This Row],[UnitsSold]]*Table1[[#This Row],[UnitPrice]]*0.7)) / (Table1[[#This Row],[UnitsSold]]*Table1[[#This Row],[UnitPrice]]*(1-Table1[[#This Row],[Discount]])))</f>
        <v>0.13580246913580266</v>
      </c>
    </row>
    <row r="656" spans="1:17" x14ac:dyDescent="0.2">
      <c r="A656" t="s">
        <v>214</v>
      </c>
      <c r="B656" s="1">
        <v>45059</v>
      </c>
      <c r="C656" t="s">
        <v>29</v>
      </c>
      <c r="D656" t="s">
        <v>267</v>
      </c>
      <c r="E656" t="s">
        <v>14</v>
      </c>
      <c r="F656" t="s">
        <v>26</v>
      </c>
      <c r="G656">
        <v>0</v>
      </c>
      <c r="H656">
        <f>Table1[[#This Row],[UnitPrice]]*0.7*Table1[[#This Row],[UnitsSold]]</f>
        <v>0</v>
      </c>
      <c r="I656">
        <v>1002.870425531915</v>
      </c>
      <c r="J656">
        <v>0</v>
      </c>
      <c r="K656" t="s">
        <v>283</v>
      </c>
      <c r="L656" t="s">
        <v>27</v>
      </c>
      <c r="M656" s="3">
        <f t="shared" si="30"/>
        <v>0</v>
      </c>
      <c r="N656" t="str">
        <f t="shared" si="31"/>
        <v>May</v>
      </c>
      <c r="O656" t="str">
        <f t="shared" si="32"/>
        <v>2023</v>
      </c>
      <c r="P656" s="3">
        <f>Table1[[#This Row],[Revenue]]-Table1[[#This Row],[Cost]]</f>
        <v>0</v>
      </c>
      <c r="Q65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57" spans="1:17" x14ac:dyDescent="0.2">
      <c r="A657" t="s">
        <v>157</v>
      </c>
      <c r="B657" s="1">
        <v>44952</v>
      </c>
      <c r="C657" t="s">
        <v>57</v>
      </c>
      <c r="D657" t="s">
        <v>267</v>
      </c>
      <c r="E657" t="s">
        <v>38</v>
      </c>
      <c r="F657" t="s">
        <v>34</v>
      </c>
      <c r="G657">
        <v>0</v>
      </c>
      <c r="H657">
        <f>Table1[[#This Row],[UnitPrice]]*0.7*Table1[[#This Row],[UnitsSold]]</f>
        <v>0</v>
      </c>
      <c r="I657">
        <v>1223.22</v>
      </c>
      <c r="J657">
        <v>0.25</v>
      </c>
      <c r="K657" t="s">
        <v>248</v>
      </c>
      <c r="L657" t="s">
        <v>27</v>
      </c>
      <c r="M657" s="3">
        <f t="shared" si="30"/>
        <v>0</v>
      </c>
      <c r="N657" t="str">
        <f t="shared" si="31"/>
        <v>January</v>
      </c>
      <c r="O657" t="str">
        <f t="shared" si="32"/>
        <v>2023</v>
      </c>
      <c r="P657" s="3">
        <f>Table1[[#This Row],[Revenue]]-Table1[[#This Row],[Cost]]</f>
        <v>0</v>
      </c>
      <c r="Q65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58" spans="1:17" x14ac:dyDescent="0.2">
      <c r="A658" t="s">
        <v>114</v>
      </c>
      <c r="B658" s="1">
        <v>45249</v>
      </c>
      <c r="C658" t="s">
        <v>12</v>
      </c>
      <c r="D658" t="s">
        <v>267</v>
      </c>
      <c r="E658" t="s">
        <v>247</v>
      </c>
      <c r="F658" t="s">
        <v>26</v>
      </c>
      <c r="G658">
        <v>0</v>
      </c>
      <c r="H658">
        <f>Table1[[#This Row],[UnitPrice]]*0.7*Table1[[#This Row],[UnitsSold]]</f>
        <v>0</v>
      </c>
      <c r="I658">
        <v>981.36020408163256</v>
      </c>
      <c r="J658">
        <v>0</v>
      </c>
      <c r="K658" t="s">
        <v>283</v>
      </c>
      <c r="L658" t="s">
        <v>27</v>
      </c>
      <c r="M658" s="3">
        <f t="shared" si="30"/>
        <v>0</v>
      </c>
      <c r="N658" t="str">
        <f t="shared" si="31"/>
        <v>November</v>
      </c>
      <c r="O658" t="str">
        <f t="shared" si="32"/>
        <v>2023</v>
      </c>
      <c r="P658" s="3">
        <f>Table1[[#This Row],[Revenue]]-Table1[[#This Row],[Cost]]</f>
        <v>0</v>
      </c>
      <c r="Q65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59" spans="1:17" x14ac:dyDescent="0.2">
      <c r="A659" t="s">
        <v>50</v>
      </c>
      <c r="B659" s="1">
        <v>45258</v>
      </c>
      <c r="C659" t="s">
        <v>29</v>
      </c>
      <c r="D659" t="s">
        <v>59</v>
      </c>
      <c r="E659" t="s">
        <v>25</v>
      </c>
      <c r="F659" t="s">
        <v>26</v>
      </c>
      <c r="G659">
        <v>4</v>
      </c>
      <c r="H659">
        <f>Table1[[#This Row],[UnitPrice]]*0.7*Table1[[#This Row],[UnitsSold]]</f>
        <v>2690.9585084745759</v>
      </c>
      <c r="I659">
        <v>961.05661016949136</v>
      </c>
      <c r="J659">
        <v>0.23</v>
      </c>
      <c r="K659" t="s">
        <v>16</v>
      </c>
      <c r="L659" t="s">
        <v>22</v>
      </c>
      <c r="M659" s="3">
        <f t="shared" si="30"/>
        <v>2960.0543593220336</v>
      </c>
      <c r="N659" t="str">
        <f t="shared" si="31"/>
        <v>November</v>
      </c>
      <c r="O659" t="str">
        <f t="shared" si="32"/>
        <v>2023</v>
      </c>
      <c r="P659" s="3">
        <f>Table1[[#This Row],[Revenue]]-Table1[[#This Row],[Cost]]</f>
        <v>269.09585084745777</v>
      </c>
      <c r="Q659" s="6">
        <f>IF(Table1[[#This Row],[UnitsSold]]*Table1[[#This Row],[UnitPrice]]*(1-Table1[[#This Row],[Discount]])=0, 0, ((Table1[[#This Row],[UnitsSold]]*Table1[[#This Row],[UnitPrice]]*(1-Table1[[#This Row],[Discount]])) - (Table1[[#This Row],[UnitsSold]]*Table1[[#This Row],[UnitPrice]]*0.7)) / (Table1[[#This Row],[UnitsSold]]*Table1[[#This Row],[UnitPrice]]*(1-Table1[[#This Row],[Discount]])))</f>
        <v>9.0909090909090967E-2</v>
      </c>
    </row>
    <row r="660" spans="1:17" x14ac:dyDescent="0.2">
      <c r="A660" t="s">
        <v>216</v>
      </c>
      <c r="B660" s="1">
        <v>45073</v>
      </c>
      <c r="C660" t="s">
        <v>246</v>
      </c>
      <c r="D660" t="s">
        <v>19</v>
      </c>
      <c r="E660" t="s">
        <v>14</v>
      </c>
      <c r="F660" t="s">
        <v>26</v>
      </c>
      <c r="G660">
        <v>0</v>
      </c>
      <c r="H660">
        <f>Table1[[#This Row],[UnitPrice]]*0.7*Table1[[#This Row],[UnitsSold]]</f>
        <v>0</v>
      </c>
      <c r="I660">
        <v>1262.5899999999999</v>
      </c>
      <c r="J660">
        <v>0</v>
      </c>
      <c r="K660" t="s">
        <v>42</v>
      </c>
      <c r="L660" t="s">
        <v>249</v>
      </c>
      <c r="M660" s="3">
        <f t="shared" si="30"/>
        <v>0</v>
      </c>
      <c r="N660" t="str">
        <f t="shared" si="31"/>
        <v>May</v>
      </c>
      <c r="O660" t="str">
        <f t="shared" si="32"/>
        <v>2023</v>
      </c>
      <c r="P660" s="3">
        <f>Table1[[#This Row],[Revenue]]-Table1[[#This Row],[Cost]]</f>
        <v>0</v>
      </c>
      <c r="Q66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61" spans="1:17" x14ac:dyDescent="0.2">
      <c r="A661" t="s">
        <v>138</v>
      </c>
      <c r="B661" s="1">
        <v>45146</v>
      </c>
      <c r="C661" t="s">
        <v>57</v>
      </c>
      <c r="D661" t="s">
        <v>83</v>
      </c>
      <c r="E661" t="s">
        <v>38</v>
      </c>
      <c r="F661" t="s">
        <v>34</v>
      </c>
      <c r="G661">
        <v>12</v>
      </c>
      <c r="H661">
        <f>Table1[[#This Row],[UnitPrice]]*0.7*Table1[[#This Row],[UnitsSold]]</f>
        <v>7482.1319999999996</v>
      </c>
      <c r="I661">
        <v>890.73</v>
      </c>
      <c r="J661">
        <v>0</v>
      </c>
      <c r="K661" t="s">
        <v>16</v>
      </c>
      <c r="L661" t="s">
        <v>27</v>
      </c>
      <c r="M661" s="3">
        <f t="shared" si="30"/>
        <v>10688.76</v>
      </c>
      <c r="N661" t="str">
        <f t="shared" si="31"/>
        <v>August</v>
      </c>
      <c r="O661" t="str">
        <f t="shared" si="32"/>
        <v>2023</v>
      </c>
      <c r="P661" s="3">
        <f>Table1[[#This Row],[Revenue]]-Table1[[#This Row],[Cost]]</f>
        <v>3206.6280000000006</v>
      </c>
      <c r="Q66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662" spans="1:17" x14ac:dyDescent="0.2">
      <c r="A662" t="s">
        <v>150</v>
      </c>
      <c r="B662" s="1">
        <v>45088</v>
      </c>
      <c r="C662" t="s">
        <v>57</v>
      </c>
      <c r="D662" t="s">
        <v>267</v>
      </c>
      <c r="E662" t="s">
        <v>247</v>
      </c>
      <c r="F662" t="s">
        <v>26</v>
      </c>
      <c r="G662">
        <v>0</v>
      </c>
      <c r="H662">
        <f>Table1[[#This Row],[UnitPrice]]*0.7*Table1[[#This Row],[UnitsSold]]</f>
        <v>0</v>
      </c>
      <c r="I662">
        <v>981.36020408163256</v>
      </c>
      <c r="J662">
        <v>0.28000000000000003</v>
      </c>
      <c r="K662" t="s">
        <v>248</v>
      </c>
      <c r="L662" t="s">
        <v>27</v>
      </c>
      <c r="M662" s="3">
        <f t="shared" si="30"/>
        <v>0</v>
      </c>
      <c r="N662" t="str">
        <f t="shared" si="31"/>
        <v>June</v>
      </c>
      <c r="O662" t="str">
        <f t="shared" si="32"/>
        <v>2023</v>
      </c>
      <c r="P662" s="3">
        <f>Table1[[#This Row],[Revenue]]-Table1[[#This Row],[Cost]]</f>
        <v>0</v>
      </c>
      <c r="Q66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63" spans="1:17" x14ac:dyDescent="0.2">
      <c r="A663" t="s">
        <v>235</v>
      </c>
      <c r="B663" s="1">
        <v>45292</v>
      </c>
      <c r="C663" t="s">
        <v>24</v>
      </c>
      <c r="D663" t="s">
        <v>83</v>
      </c>
      <c r="E663" t="s">
        <v>38</v>
      </c>
      <c r="F663" t="s">
        <v>34</v>
      </c>
      <c r="G663">
        <v>0</v>
      </c>
      <c r="H663">
        <f>Table1[[#This Row],[UnitPrice]]*0.7*Table1[[#This Row],[UnitsSold]]</f>
        <v>0</v>
      </c>
      <c r="I663">
        <v>936.79681818181825</v>
      </c>
      <c r="J663">
        <v>0</v>
      </c>
      <c r="K663" t="s">
        <v>248</v>
      </c>
      <c r="L663" t="s">
        <v>17</v>
      </c>
      <c r="M663" s="3">
        <f t="shared" si="30"/>
        <v>0</v>
      </c>
      <c r="N663" t="str">
        <f t="shared" si="31"/>
        <v>January</v>
      </c>
      <c r="O663" t="str">
        <f t="shared" si="32"/>
        <v>2024</v>
      </c>
      <c r="P663" s="3">
        <f>Table1[[#This Row],[Revenue]]-Table1[[#This Row],[Cost]]</f>
        <v>0</v>
      </c>
      <c r="Q66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64" spans="1:17" x14ac:dyDescent="0.2">
      <c r="A664" t="s">
        <v>203</v>
      </c>
      <c r="B664" s="1">
        <v>45285</v>
      </c>
      <c r="C664" t="s">
        <v>57</v>
      </c>
      <c r="D664" t="s">
        <v>83</v>
      </c>
      <c r="E664" t="s">
        <v>48</v>
      </c>
      <c r="F664" t="s">
        <v>39</v>
      </c>
      <c r="G664">
        <v>0</v>
      </c>
      <c r="H664">
        <f>Table1[[#This Row],[UnitPrice]]*0.7*Table1[[#This Row],[UnitsSold]]</f>
        <v>0</v>
      </c>
      <c r="I664">
        <v>1017.3087234042553</v>
      </c>
      <c r="J664">
        <v>0</v>
      </c>
      <c r="K664" t="s">
        <v>283</v>
      </c>
      <c r="L664" t="s">
        <v>22</v>
      </c>
      <c r="M664" s="3">
        <f t="shared" si="30"/>
        <v>0</v>
      </c>
      <c r="N664" t="str">
        <f t="shared" si="31"/>
        <v>December</v>
      </c>
      <c r="O664" t="str">
        <f t="shared" si="32"/>
        <v>2023</v>
      </c>
      <c r="P664" s="3">
        <f>Table1[[#This Row],[Revenue]]-Table1[[#This Row],[Cost]]</f>
        <v>0</v>
      </c>
      <c r="Q66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65" spans="1:17" x14ac:dyDescent="0.2">
      <c r="A665" t="s">
        <v>129</v>
      </c>
      <c r="B665" s="1">
        <v>45028</v>
      </c>
      <c r="C665" t="s">
        <v>24</v>
      </c>
      <c r="D665" t="s">
        <v>19</v>
      </c>
      <c r="E665" t="s">
        <v>46</v>
      </c>
      <c r="F665" t="s">
        <v>26</v>
      </c>
      <c r="G665">
        <v>0</v>
      </c>
      <c r="H665">
        <f>Table1[[#This Row],[UnitPrice]]*0.7*Table1[[#This Row],[UnitsSold]]</f>
        <v>0</v>
      </c>
      <c r="I665">
        <v>1106.0261904761899</v>
      </c>
      <c r="J665">
        <v>0</v>
      </c>
      <c r="K665" t="s">
        <v>248</v>
      </c>
      <c r="L665" t="s">
        <v>55</v>
      </c>
      <c r="M665" s="3">
        <f t="shared" si="30"/>
        <v>0</v>
      </c>
      <c r="N665" t="str">
        <f t="shared" si="31"/>
        <v>April</v>
      </c>
      <c r="O665" t="str">
        <f t="shared" si="32"/>
        <v>2023</v>
      </c>
      <c r="P665" s="3">
        <f>Table1[[#This Row],[Revenue]]-Table1[[#This Row],[Cost]]</f>
        <v>0</v>
      </c>
      <c r="Q66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66" spans="1:17" x14ac:dyDescent="0.2">
      <c r="A666" t="s">
        <v>93</v>
      </c>
      <c r="B666" s="1">
        <v>44974</v>
      </c>
      <c r="C666" t="s">
        <v>24</v>
      </c>
      <c r="D666" t="s">
        <v>31</v>
      </c>
      <c r="E666" t="s">
        <v>14</v>
      </c>
      <c r="F666" t="s">
        <v>26</v>
      </c>
      <c r="G666">
        <v>1</v>
      </c>
      <c r="H666">
        <f>Table1[[#This Row],[UnitPrice]]*0.7*Table1[[#This Row],[UnitsSold]]</f>
        <v>702.00929787234043</v>
      </c>
      <c r="I666">
        <v>1002.870425531915</v>
      </c>
      <c r="J666">
        <v>0.18</v>
      </c>
      <c r="K666" t="s">
        <v>52</v>
      </c>
      <c r="L666" t="s">
        <v>22</v>
      </c>
      <c r="M666" s="3">
        <f t="shared" si="30"/>
        <v>822.35374893617029</v>
      </c>
      <c r="N666" t="str">
        <f t="shared" si="31"/>
        <v>February</v>
      </c>
      <c r="O666" t="str">
        <f t="shared" si="32"/>
        <v>2023</v>
      </c>
      <c r="P666" s="3">
        <f>Table1[[#This Row],[Revenue]]-Table1[[#This Row],[Cost]]</f>
        <v>120.34445106382987</v>
      </c>
      <c r="Q666" s="6">
        <f>IF(Table1[[#This Row],[UnitsSold]]*Table1[[#This Row],[UnitPrice]]*(1-Table1[[#This Row],[Discount]])=0, 0, ((Table1[[#This Row],[UnitsSold]]*Table1[[#This Row],[UnitPrice]]*(1-Table1[[#This Row],[Discount]])) - (Table1[[#This Row],[UnitsSold]]*Table1[[#This Row],[UnitPrice]]*0.7)) / (Table1[[#This Row],[UnitsSold]]*Table1[[#This Row],[UnitPrice]]*(1-Table1[[#This Row],[Discount]])))</f>
        <v>0.14634146341463422</v>
      </c>
    </row>
    <row r="667" spans="1:17" x14ac:dyDescent="0.2">
      <c r="A667" t="s">
        <v>91</v>
      </c>
      <c r="B667" s="1">
        <v>44983</v>
      </c>
      <c r="C667" t="s">
        <v>12</v>
      </c>
      <c r="D667" t="s">
        <v>267</v>
      </c>
      <c r="E667" t="s">
        <v>14</v>
      </c>
      <c r="F667" t="s">
        <v>26</v>
      </c>
      <c r="G667">
        <v>0</v>
      </c>
      <c r="H667">
        <f>Table1[[#This Row],[UnitPrice]]*0.7*Table1[[#This Row],[UnitsSold]]</f>
        <v>0</v>
      </c>
      <c r="I667">
        <v>1002.870425531915</v>
      </c>
      <c r="J667">
        <v>0</v>
      </c>
      <c r="K667" t="s">
        <v>52</v>
      </c>
      <c r="L667" t="s">
        <v>17</v>
      </c>
      <c r="M667" s="3">
        <f t="shared" si="30"/>
        <v>0</v>
      </c>
      <c r="N667" t="str">
        <f t="shared" si="31"/>
        <v>February</v>
      </c>
      <c r="O667" t="str">
        <f t="shared" si="32"/>
        <v>2023</v>
      </c>
      <c r="P667" s="3">
        <f>Table1[[#This Row],[Revenue]]-Table1[[#This Row],[Cost]]</f>
        <v>0</v>
      </c>
      <c r="Q66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68" spans="1:17" x14ac:dyDescent="0.2">
      <c r="A668" t="s">
        <v>102</v>
      </c>
      <c r="B668" s="1">
        <v>44929</v>
      </c>
      <c r="C668" t="s">
        <v>57</v>
      </c>
      <c r="D668" t="s">
        <v>59</v>
      </c>
      <c r="E668" t="s">
        <v>247</v>
      </c>
      <c r="F668" t="s">
        <v>26</v>
      </c>
      <c r="G668">
        <v>0</v>
      </c>
      <c r="H668">
        <f>Table1[[#This Row],[UnitPrice]]*0.7*Table1[[#This Row],[UnitsSold]]</f>
        <v>0</v>
      </c>
      <c r="I668">
        <v>981.36020408163256</v>
      </c>
      <c r="J668">
        <v>0</v>
      </c>
      <c r="K668" t="s">
        <v>16</v>
      </c>
      <c r="L668" t="s">
        <v>55</v>
      </c>
      <c r="M668" s="3">
        <f t="shared" si="30"/>
        <v>0</v>
      </c>
      <c r="N668" t="str">
        <f t="shared" si="31"/>
        <v>January</v>
      </c>
      <c r="O668" t="str">
        <f t="shared" si="32"/>
        <v>2023</v>
      </c>
      <c r="P668" s="3">
        <f>Table1[[#This Row],[Revenue]]-Table1[[#This Row],[Cost]]</f>
        <v>0</v>
      </c>
      <c r="Q66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69" spans="1:17" x14ac:dyDescent="0.2">
      <c r="A669" t="s">
        <v>173</v>
      </c>
      <c r="B669" s="1">
        <v>45072</v>
      </c>
      <c r="C669" t="s">
        <v>246</v>
      </c>
      <c r="D669" t="s">
        <v>13</v>
      </c>
      <c r="E669" t="s">
        <v>38</v>
      </c>
      <c r="F669" t="s">
        <v>34</v>
      </c>
      <c r="G669">
        <v>8</v>
      </c>
      <c r="H669">
        <f>Table1[[#This Row],[UnitPrice]]*0.7*Table1[[#This Row],[UnitsSold]]</f>
        <v>5246.0621818181817</v>
      </c>
      <c r="I669">
        <v>936.79681818181825</v>
      </c>
      <c r="J669">
        <v>0</v>
      </c>
      <c r="K669" t="s">
        <v>42</v>
      </c>
      <c r="L669" t="s">
        <v>27</v>
      </c>
      <c r="M669" s="3">
        <f t="shared" si="30"/>
        <v>7494.374545454546</v>
      </c>
      <c r="N669" t="str">
        <f t="shared" si="31"/>
        <v>May</v>
      </c>
      <c r="O669" t="str">
        <f t="shared" si="32"/>
        <v>2023</v>
      </c>
      <c r="P669" s="3">
        <f>Table1[[#This Row],[Revenue]]-Table1[[#This Row],[Cost]]</f>
        <v>2248.3123636363644</v>
      </c>
      <c r="Q66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670" spans="1:17" x14ac:dyDescent="0.2">
      <c r="A670" t="s">
        <v>203</v>
      </c>
      <c r="B670" s="1">
        <v>45291</v>
      </c>
      <c r="C670" t="s">
        <v>57</v>
      </c>
      <c r="D670" t="s">
        <v>267</v>
      </c>
      <c r="E670" t="s">
        <v>38</v>
      </c>
      <c r="F670" t="s">
        <v>34</v>
      </c>
      <c r="G670">
        <v>3</v>
      </c>
      <c r="H670">
        <f>Table1[[#This Row],[UnitPrice]]*0.7*Table1[[#This Row],[UnitsSold]]</f>
        <v>1796.5919999999996</v>
      </c>
      <c r="I670">
        <v>855.52</v>
      </c>
      <c r="J670">
        <v>0</v>
      </c>
      <c r="K670" t="s">
        <v>16</v>
      </c>
      <c r="L670" t="s">
        <v>55</v>
      </c>
      <c r="M670" s="3">
        <f t="shared" si="30"/>
        <v>2566.56</v>
      </c>
      <c r="N670" t="str">
        <f t="shared" si="31"/>
        <v>December</v>
      </c>
      <c r="O670" t="str">
        <f t="shared" si="32"/>
        <v>2023</v>
      </c>
      <c r="P670" s="3">
        <f>Table1[[#This Row],[Revenue]]-Table1[[#This Row],[Cost]]</f>
        <v>769.9680000000003</v>
      </c>
      <c r="Q67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671" spans="1:17" x14ac:dyDescent="0.2">
      <c r="A671" t="s">
        <v>218</v>
      </c>
      <c r="B671" s="1">
        <v>45196</v>
      </c>
      <c r="C671" t="s">
        <v>57</v>
      </c>
      <c r="D671" t="s">
        <v>31</v>
      </c>
      <c r="E671" t="s">
        <v>44</v>
      </c>
      <c r="F671" t="s">
        <v>26</v>
      </c>
      <c r="G671">
        <v>0</v>
      </c>
      <c r="H671">
        <f>Table1[[#This Row],[UnitPrice]]*0.7*Table1[[#This Row],[UnitsSold]]</f>
        <v>0</v>
      </c>
      <c r="I671">
        <v>1079.5765957446808</v>
      </c>
      <c r="J671">
        <v>0</v>
      </c>
      <c r="K671" t="s">
        <v>283</v>
      </c>
      <c r="L671" t="s">
        <v>22</v>
      </c>
      <c r="M671" s="3">
        <f t="shared" si="30"/>
        <v>0</v>
      </c>
      <c r="N671" t="str">
        <f t="shared" si="31"/>
        <v>September</v>
      </c>
      <c r="O671" t="str">
        <f t="shared" si="32"/>
        <v>2023</v>
      </c>
      <c r="P671" s="3">
        <f>Table1[[#This Row],[Revenue]]-Table1[[#This Row],[Cost]]</f>
        <v>0</v>
      </c>
      <c r="Q67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72" spans="1:17" x14ac:dyDescent="0.2">
      <c r="A672" t="s">
        <v>210</v>
      </c>
      <c r="B672" s="1">
        <v>45140</v>
      </c>
      <c r="C672" t="s">
        <v>246</v>
      </c>
      <c r="D672" t="s">
        <v>19</v>
      </c>
      <c r="E672" t="s">
        <v>44</v>
      </c>
      <c r="F672" t="s">
        <v>26</v>
      </c>
      <c r="G672">
        <v>0</v>
      </c>
      <c r="H672">
        <f>Table1[[#This Row],[UnitPrice]]*0.7*Table1[[#This Row],[UnitsSold]]</f>
        <v>0</v>
      </c>
      <c r="I672">
        <v>1079.5765957446808</v>
      </c>
      <c r="J672">
        <v>0</v>
      </c>
      <c r="K672" t="s">
        <v>16</v>
      </c>
      <c r="L672" t="s">
        <v>249</v>
      </c>
      <c r="M672" s="3">
        <f t="shared" si="30"/>
        <v>0</v>
      </c>
      <c r="N672" t="str">
        <f t="shared" si="31"/>
        <v>August</v>
      </c>
      <c r="O672" t="str">
        <f t="shared" si="32"/>
        <v>2023</v>
      </c>
      <c r="P672" s="3">
        <f>Table1[[#This Row],[Revenue]]-Table1[[#This Row],[Cost]]</f>
        <v>0</v>
      </c>
      <c r="Q67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73" spans="1:17" x14ac:dyDescent="0.2">
      <c r="A673" t="s">
        <v>125</v>
      </c>
      <c r="B673" s="1">
        <v>45169</v>
      </c>
      <c r="C673" t="s">
        <v>12</v>
      </c>
      <c r="D673" t="s">
        <v>13</v>
      </c>
      <c r="E673" t="s">
        <v>247</v>
      </c>
      <c r="F673" t="s">
        <v>26</v>
      </c>
      <c r="G673">
        <v>12</v>
      </c>
      <c r="H673">
        <f>Table1[[#This Row],[UnitPrice]]*0.7*Table1[[#This Row],[UnitsSold]]</f>
        <v>8243.4257142857132</v>
      </c>
      <c r="I673">
        <v>981.36020408163256</v>
      </c>
      <c r="J673">
        <v>0</v>
      </c>
      <c r="K673" t="s">
        <v>248</v>
      </c>
      <c r="L673" t="s">
        <v>55</v>
      </c>
      <c r="M673" s="3">
        <f t="shared" si="30"/>
        <v>11776.32244897959</v>
      </c>
      <c r="N673" t="str">
        <f t="shared" si="31"/>
        <v>August</v>
      </c>
      <c r="O673" t="str">
        <f t="shared" si="32"/>
        <v>2023</v>
      </c>
      <c r="P673" s="3">
        <f>Table1[[#This Row],[Revenue]]-Table1[[#This Row],[Cost]]</f>
        <v>3532.8967346938771</v>
      </c>
      <c r="Q673"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674" spans="1:17" x14ac:dyDescent="0.2">
      <c r="A674" t="s">
        <v>200</v>
      </c>
      <c r="B674" s="1">
        <v>45194</v>
      </c>
      <c r="C674" t="s">
        <v>246</v>
      </c>
      <c r="D674" t="s">
        <v>19</v>
      </c>
      <c r="E674" t="s">
        <v>14</v>
      </c>
      <c r="F674" t="s">
        <v>26</v>
      </c>
      <c r="G674">
        <v>0</v>
      </c>
      <c r="H674">
        <f>Table1[[#This Row],[UnitPrice]]*0.7*Table1[[#This Row],[UnitsSold]]</f>
        <v>0</v>
      </c>
      <c r="I674">
        <v>595.02</v>
      </c>
      <c r="J674">
        <v>0.24</v>
      </c>
      <c r="K674" t="s">
        <v>248</v>
      </c>
      <c r="L674" t="s">
        <v>22</v>
      </c>
      <c r="M674" s="3">
        <f t="shared" si="30"/>
        <v>0</v>
      </c>
      <c r="N674" t="str">
        <f t="shared" si="31"/>
        <v>September</v>
      </c>
      <c r="O674" t="str">
        <f t="shared" si="32"/>
        <v>2023</v>
      </c>
      <c r="P674" s="3">
        <f>Table1[[#This Row],[Revenue]]-Table1[[#This Row],[Cost]]</f>
        <v>0</v>
      </c>
      <c r="Q67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75" spans="1:17" x14ac:dyDescent="0.2">
      <c r="A675" t="s">
        <v>208</v>
      </c>
      <c r="B675" s="1">
        <v>45083</v>
      </c>
      <c r="C675" t="s">
        <v>24</v>
      </c>
      <c r="D675" t="s">
        <v>19</v>
      </c>
      <c r="E675" t="s">
        <v>247</v>
      </c>
      <c r="F675" t="s">
        <v>26</v>
      </c>
      <c r="G675">
        <v>1</v>
      </c>
      <c r="H675">
        <f>Table1[[#This Row],[UnitPrice]]*0.7*Table1[[#This Row],[UnitsSold]]</f>
        <v>769.71999999999991</v>
      </c>
      <c r="I675">
        <v>1099.5999999999999</v>
      </c>
      <c r="J675">
        <v>0</v>
      </c>
      <c r="K675" t="s">
        <v>42</v>
      </c>
      <c r="L675" t="s">
        <v>17</v>
      </c>
      <c r="M675" s="3">
        <f t="shared" si="30"/>
        <v>1099.5999999999999</v>
      </c>
      <c r="N675" t="str">
        <f t="shared" si="31"/>
        <v>June</v>
      </c>
      <c r="O675" t="str">
        <f t="shared" si="32"/>
        <v>2023</v>
      </c>
      <c r="P675" s="3">
        <f>Table1[[#This Row],[Revenue]]-Table1[[#This Row],[Cost]]</f>
        <v>329.88</v>
      </c>
      <c r="Q67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676" spans="1:17" x14ac:dyDescent="0.2">
      <c r="A676" t="s">
        <v>90</v>
      </c>
      <c r="B676" s="1">
        <v>45216</v>
      </c>
      <c r="C676" t="s">
        <v>57</v>
      </c>
      <c r="D676" t="s">
        <v>59</v>
      </c>
      <c r="E676" t="s">
        <v>25</v>
      </c>
      <c r="F676" t="s">
        <v>26</v>
      </c>
      <c r="G676">
        <v>0</v>
      </c>
      <c r="H676">
        <f>Table1[[#This Row],[UnitPrice]]*0.7*Table1[[#This Row],[UnitsSold]]</f>
        <v>0</v>
      </c>
      <c r="I676">
        <v>1669.03</v>
      </c>
      <c r="J676">
        <v>0</v>
      </c>
      <c r="K676" t="s">
        <v>283</v>
      </c>
      <c r="L676" t="s">
        <v>22</v>
      </c>
      <c r="M676" s="3">
        <f t="shared" si="30"/>
        <v>0</v>
      </c>
      <c r="N676" t="str">
        <f t="shared" si="31"/>
        <v>October</v>
      </c>
      <c r="O676" t="str">
        <f t="shared" si="32"/>
        <v>2023</v>
      </c>
      <c r="P676" s="3">
        <f>Table1[[#This Row],[Revenue]]-Table1[[#This Row],[Cost]]</f>
        <v>0</v>
      </c>
      <c r="Q67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77" spans="1:17" x14ac:dyDescent="0.2">
      <c r="A677" t="s">
        <v>106</v>
      </c>
      <c r="B677" s="1">
        <v>45157</v>
      </c>
      <c r="C677" t="s">
        <v>57</v>
      </c>
      <c r="D677" t="s">
        <v>19</v>
      </c>
      <c r="E677" t="s">
        <v>25</v>
      </c>
      <c r="F677" t="s">
        <v>26</v>
      </c>
      <c r="G677">
        <v>0</v>
      </c>
      <c r="H677">
        <f>Table1[[#This Row],[UnitPrice]]*0.7*Table1[[#This Row],[UnitsSold]]</f>
        <v>0</v>
      </c>
      <c r="I677">
        <v>961.05661016949136</v>
      </c>
      <c r="J677">
        <v>0</v>
      </c>
      <c r="K677" t="s">
        <v>52</v>
      </c>
      <c r="L677" t="s">
        <v>17</v>
      </c>
      <c r="M677" s="3">
        <f t="shared" si="30"/>
        <v>0</v>
      </c>
      <c r="N677" t="str">
        <f t="shared" si="31"/>
        <v>August</v>
      </c>
      <c r="O677" t="str">
        <f t="shared" si="32"/>
        <v>2023</v>
      </c>
      <c r="P677" s="3">
        <f>Table1[[#This Row],[Revenue]]-Table1[[#This Row],[Cost]]</f>
        <v>0</v>
      </c>
      <c r="Q67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78" spans="1:17" x14ac:dyDescent="0.2">
      <c r="A678" t="s">
        <v>153</v>
      </c>
      <c r="B678" s="1">
        <v>45270</v>
      </c>
      <c r="C678" t="s">
        <v>57</v>
      </c>
      <c r="D678" t="s">
        <v>13</v>
      </c>
      <c r="E678" t="s">
        <v>14</v>
      </c>
      <c r="F678" t="s">
        <v>26</v>
      </c>
      <c r="G678">
        <v>0</v>
      </c>
      <c r="H678">
        <f>Table1[[#This Row],[UnitPrice]]*0.7*Table1[[#This Row],[UnitsSold]]</f>
        <v>0</v>
      </c>
      <c r="I678">
        <v>1002.870425531915</v>
      </c>
      <c r="J678">
        <v>0</v>
      </c>
      <c r="K678" t="s">
        <v>52</v>
      </c>
      <c r="L678" t="s">
        <v>17</v>
      </c>
      <c r="M678" s="3">
        <f t="shared" si="30"/>
        <v>0</v>
      </c>
      <c r="N678" t="str">
        <f t="shared" si="31"/>
        <v>December</v>
      </c>
      <c r="O678" t="str">
        <f t="shared" si="32"/>
        <v>2023</v>
      </c>
      <c r="P678" s="3">
        <f>Table1[[#This Row],[Revenue]]-Table1[[#This Row],[Cost]]</f>
        <v>0</v>
      </c>
      <c r="Q67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79" spans="1:17" x14ac:dyDescent="0.2">
      <c r="A679" t="s">
        <v>226</v>
      </c>
      <c r="B679" s="1">
        <v>44990</v>
      </c>
      <c r="C679" t="s">
        <v>12</v>
      </c>
      <c r="D679" t="s">
        <v>19</v>
      </c>
      <c r="E679" t="s">
        <v>44</v>
      </c>
      <c r="F679" t="s">
        <v>26</v>
      </c>
      <c r="G679">
        <v>19</v>
      </c>
      <c r="H679">
        <f>Table1[[#This Row],[UnitPrice]]*0.7*Table1[[#This Row],[UnitsSold]]</f>
        <v>14358.368723404254</v>
      </c>
      <c r="I679">
        <v>1079.5765957446808</v>
      </c>
      <c r="J679">
        <v>0</v>
      </c>
      <c r="K679" t="s">
        <v>248</v>
      </c>
      <c r="L679" t="s">
        <v>27</v>
      </c>
      <c r="M679" s="3">
        <f t="shared" si="30"/>
        <v>20511.955319148936</v>
      </c>
      <c r="N679" t="str">
        <f t="shared" si="31"/>
        <v>March</v>
      </c>
      <c r="O679" t="str">
        <f t="shared" si="32"/>
        <v>2023</v>
      </c>
      <c r="P679" s="3">
        <f>Table1[[#This Row],[Revenue]]-Table1[[#This Row],[Cost]]</f>
        <v>6153.5865957446822</v>
      </c>
      <c r="Q67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680" spans="1:17" x14ac:dyDescent="0.2">
      <c r="A680" t="s">
        <v>131</v>
      </c>
      <c r="B680" s="1">
        <v>45264</v>
      </c>
      <c r="C680" t="s">
        <v>246</v>
      </c>
      <c r="D680" t="s">
        <v>19</v>
      </c>
      <c r="E680" t="s">
        <v>14</v>
      </c>
      <c r="F680" t="s">
        <v>26</v>
      </c>
      <c r="G680">
        <v>0</v>
      </c>
      <c r="H680">
        <f>Table1[[#This Row],[UnitPrice]]*0.7*Table1[[#This Row],[UnitsSold]]</f>
        <v>0</v>
      </c>
      <c r="I680">
        <v>1002.870425531915</v>
      </c>
      <c r="J680">
        <v>0</v>
      </c>
      <c r="K680" t="s">
        <v>248</v>
      </c>
      <c r="L680" t="s">
        <v>55</v>
      </c>
      <c r="M680" s="3">
        <f t="shared" si="30"/>
        <v>0</v>
      </c>
      <c r="N680" t="str">
        <f t="shared" si="31"/>
        <v>December</v>
      </c>
      <c r="O680" t="str">
        <f t="shared" si="32"/>
        <v>2023</v>
      </c>
      <c r="P680" s="3">
        <f>Table1[[#This Row],[Revenue]]-Table1[[#This Row],[Cost]]</f>
        <v>0</v>
      </c>
      <c r="Q68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81" spans="1:17" x14ac:dyDescent="0.2">
      <c r="A681" t="s">
        <v>98</v>
      </c>
      <c r="B681" s="1">
        <v>45228</v>
      </c>
      <c r="C681" t="s">
        <v>12</v>
      </c>
      <c r="D681" t="s">
        <v>83</v>
      </c>
      <c r="E681" t="s">
        <v>25</v>
      </c>
      <c r="F681" t="s">
        <v>26</v>
      </c>
      <c r="G681">
        <v>0</v>
      </c>
      <c r="H681">
        <f>Table1[[#This Row],[UnitPrice]]*0.7*Table1[[#This Row],[UnitsSold]]</f>
        <v>0</v>
      </c>
      <c r="I681">
        <v>369.21</v>
      </c>
      <c r="J681">
        <v>0</v>
      </c>
      <c r="K681" t="s">
        <v>42</v>
      </c>
      <c r="L681" t="s">
        <v>55</v>
      </c>
      <c r="M681" s="3">
        <f t="shared" si="30"/>
        <v>0</v>
      </c>
      <c r="N681" t="str">
        <f t="shared" si="31"/>
        <v>October</v>
      </c>
      <c r="O681" t="str">
        <f t="shared" si="32"/>
        <v>2023</v>
      </c>
      <c r="P681" s="3">
        <f>Table1[[#This Row],[Revenue]]-Table1[[#This Row],[Cost]]</f>
        <v>0</v>
      </c>
      <c r="Q68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82" spans="1:17" x14ac:dyDescent="0.2">
      <c r="A682" t="s">
        <v>126</v>
      </c>
      <c r="B682" s="1">
        <v>44985</v>
      </c>
      <c r="C682" t="s">
        <v>12</v>
      </c>
      <c r="D682" t="s">
        <v>31</v>
      </c>
      <c r="E682" t="s">
        <v>247</v>
      </c>
      <c r="F682" t="s">
        <v>26</v>
      </c>
      <c r="G682">
        <v>5</v>
      </c>
      <c r="H682">
        <f>Table1[[#This Row],[UnitPrice]]*0.7*Table1[[#This Row],[UnitsSold]]</f>
        <v>1814.9249999999997</v>
      </c>
      <c r="I682">
        <v>518.54999999999995</v>
      </c>
      <c r="J682">
        <v>0</v>
      </c>
      <c r="K682" t="s">
        <v>283</v>
      </c>
      <c r="L682" t="s">
        <v>249</v>
      </c>
      <c r="M682" s="3">
        <f t="shared" si="30"/>
        <v>2592.75</v>
      </c>
      <c r="N682" t="str">
        <f t="shared" si="31"/>
        <v>February</v>
      </c>
      <c r="O682" t="str">
        <f t="shared" si="32"/>
        <v>2023</v>
      </c>
      <c r="P682" s="3">
        <f>Table1[[#This Row],[Revenue]]-Table1[[#This Row],[Cost]]</f>
        <v>777.82500000000027</v>
      </c>
      <c r="Q68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683" spans="1:17" x14ac:dyDescent="0.2">
      <c r="A683" t="s">
        <v>62</v>
      </c>
      <c r="B683" s="1">
        <v>45241</v>
      </c>
      <c r="C683" t="s">
        <v>29</v>
      </c>
      <c r="D683" t="s">
        <v>19</v>
      </c>
      <c r="E683" t="s">
        <v>46</v>
      </c>
      <c r="F683" t="s">
        <v>26</v>
      </c>
      <c r="G683">
        <v>0</v>
      </c>
      <c r="H683">
        <f>Table1[[#This Row],[UnitPrice]]*0.7*Table1[[#This Row],[UnitsSold]]</f>
        <v>0</v>
      </c>
      <c r="I683">
        <v>206.5</v>
      </c>
      <c r="J683">
        <v>0</v>
      </c>
      <c r="K683" t="s">
        <v>52</v>
      </c>
      <c r="L683" t="s">
        <v>22</v>
      </c>
      <c r="M683" s="3">
        <f t="shared" si="30"/>
        <v>0</v>
      </c>
      <c r="N683" t="str">
        <f t="shared" si="31"/>
        <v>November</v>
      </c>
      <c r="O683" t="str">
        <f t="shared" si="32"/>
        <v>2023</v>
      </c>
      <c r="P683" s="3">
        <f>Table1[[#This Row],[Revenue]]-Table1[[#This Row],[Cost]]</f>
        <v>0</v>
      </c>
      <c r="Q68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84" spans="1:17" x14ac:dyDescent="0.2">
      <c r="A684" t="s">
        <v>131</v>
      </c>
      <c r="B684" s="1">
        <v>44953</v>
      </c>
      <c r="C684" t="s">
        <v>37</v>
      </c>
      <c r="D684" t="s">
        <v>19</v>
      </c>
      <c r="E684" t="s">
        <v>25</v>
      </c>
      <c r="F684" t="s">
        <v>26</v>
      </c>
      <c r="G684">
        <v>19</v>
      </c>
      <c r="H684">
        <f>Table1[[#This Row],[UnitPrice]]*0.7*Table1[[#This Row],[UnitsSold]]</f>
        <v>12782.052915254235</v>
      </c>
      <c r="I684">
        <v>961.05661016949136</v>
      </c>
      <c r="J684">
        <v>0.12</v>
      </c>
      <c r="K684" t="s">
        <v>52</v>
      </c>
      <c r="L684" t="s">
        <v>27</v>
      </c>
      <c r="M684" s="3">
        <f t="shared" si="30"/>
        <v>16068.866522033895</v>
      </c>
      <c r="N684" t="str">
        <f t="shared" si="31"/>
        <v>January</v>
      </c>
      <c r="O684" t="str">
        <f t="shared" si="32"/>
        <v>2023</v>
      </c>
      <c r="P684" s="3">
        <f>Table1[[#This Row],[Revenue]]-Table1[[#This Row],[Cost]]</f>
        <v>3286.8136067796604</v>
      </c>
      <c r="Q684" s="6">
        <f>IF(Table1[[#This Row],[UnitsSold]]*Table1[[#This Row],[UnitPrice]]*(1-Table1[[#This Row],[Discount]])=0, 0, ((Table1[[#This Row],[UnitsSold]]*Table1[[#This Row],[UnitPrice]]*(1-Table1[[#This Row],[Discount]])) - (Table1[[#This Row],[UnitsSold]]*Table1[[#This Row],[UnitPrice]]*0.7)) / (Table1[[#This Row],[UnitsSold]]*Table1[[#This Row],[UnitPrice]]*(1-Table1[[#This Row],[Discount]])))</f>
        <v>0.20454545454545456</v>
      </c>
    </row>
    <row r="685" spans="1:17" x14ac:dyDescent="0.2">
      <c r="A685" t="s">
        <v>169</v>
      </c>
      <c r="B685" s="1">
        <v>45164</v>
      </c>
      <c r="C685" t="s">
        <v>57</v>
      </c>
      <c r="D685" t="s">
        <v>19</v>
      </c>
      <c r="E685" t="s">
        <v>38</v>
      </c>
      <c r="F685" t="s">
        <v>34</v>
      </c>
      <c r="G685">
        <v>0</v>
      </c>
      <c r="H685">
        <f>Table1[[#This Row],[UnitPrice]]*0.7*Table1[[#This Row],[UnitsSold]]</f>
        <v>0</v>
      </c>
      <c r="I685">
        <v>475.14</v>
      </c>
      <c r="J685">
        <v>0</v>
      </c>
      <c r="K685" t="s">
        <v>283</v>
      </c>
      <c r="L685" t="s">
        <v>27</v>
      </c>
      <c r="M685" s="3">
        <f t="shared" si="30"/>
        <v>0</v>
      </c>
      <c r="N685" t="str">
        <f t="shared" si="31"/>
        <v>August</v>
      </c>
      <c r="O685" t="str">
        <f t="shared" si="32"/>
        <v>2023</v>
      </c>
      <c r="P685" s="3">
        <f>Table1[[#This Row],[Revenue]]-Table1[[#This Row],[Cost]]</f>
        <v>0</v>
      </c>
      <c r="Q68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86" spans="1:17" x14ac:dyDescent="0.2">
      <c r="A686" t="s">
        <v>58</v>
      </c>
      <c r="B686" s="1">
        <v>45317</v>
      </c>
      <c r="C686" t="s">
        <v>246</v>
      </c>
      <c r="D686" t="s">
        <v>59</v>
      </c>
      <c r="E686" t="s">
        <v>44</v>
      </c>
      <c r="F686" t="s">
        <v>26</v>
      </c>
      <c r="G686">
        <v>15</v>
      </c>
      <c r="H686">
        <f>Table1[[#This Row],[UnitPrice]]*0.7*Table1[[#This Row],[UnitsSold]]</f>
        <v>11335.554255319148</v>
      </c>
      <c r="I686">
        <v>1079.5765957446808</v>
      </c>
      <c r="J686">
        <v>0.06</v>
      </c>
      <c r="K686" t="s">
        <v>52</v>
      </c>
      <c r="L686" t="s">
        <v>17</v>
      </c>
      <c r="M686" s="3">
        <f t="shared" si="30"/>
        <v>15222.029999999999</v>
      </c>
      <c r="N686" t="str">
        <f t="shared" si="31"/>
        <v>January</v>
      </c>
      <c r="O686" t="str">
        <f t="shared" si="32"/>
        <v>2024</v>
      </c>
      <c r="P686" s="3">
        <f>Table1[[#This Row],[Revenue]]-Table1[[#This Row],[Cost]]</f>
        <v>3886.4757446808508</v>
      </c>
      <c r="Q686" s="6">
        <f>IF(Table1[[#This Row],[UnitsSold]]*Table1[[#This Row],[UnitPrice]]*(1-Table1[[#This Row],[Discount]])=0, 0, ((Table1[[#This Row],[UnitsSold]]*Table1[[#This Row],[UnitPrice]]*(1-Table1[[#This Row],[Discount]])) - (Table1[[#This Row],[UnitsSold]]*Table1[[#This Row],[UnitPrice]]*0.7)) / (Table1[[#This Row],[UnitsSold]]*Table1[[#This Row],[UnitPrice]]*(1-Table1[[#This Row],[Discount]])))</f>
        <v>0.25531914893617019</v>
      </c>
    </row>
    <row r="687" spans="1:17" x14ac:dyDescent="0.2">
      <c r="A687" t="s">
        <v>187</v>
      </c>
      <c r="B687" s="1">
        <v>45327</v>
      </c>
      <c r="C687" t="s">
        <v>37</v>
      </c>
      <c r="D687" t="s">
        <v>31</v>
      </c>
      <c r="E687" t="s">
        <v>38</v>
      </c>
      <c r="F687" t="s">
        <v>34</v>
      </c>
      <c r="G687">
        <v>15</v>
      </c>
      <c r="H687">
        <f>Table1[[#This Row],[UnitPrice]]*0.7*Table1[[#This Row],[UnitsSold]]</f>
        <v>9836.3665909090905</v>
      </c>
      <c r="I687">
        <v>936.79681818181825</v>
      </c>
      <c r="J687">
        <v>0</v>
      </c>
      <c r="K687" t="s">
        <v>52</v>
      </c>
      <c r="L687" t="s">
        <v>249</v>
      </c>
      <c r="M687" s="3">
        <f t="shared" si="30"/>
        <v>14051.952272727274</v>
      </c>
      <c r="N687" t="str">
        <f t="shared" si="31"/>
        <v>February</v>
      </c>
      <c r="O687" t="str">
        <f t="shared" si="32"/>
        <v>2024</v>
      </c>
      <c r="P687" s="3">
        <f>Table1[[#This Row],[Revenue]]-Table1[[#This Row],[Cost]]</f>
        <v>4215.5856818181837</v>
      </c>
      <c r="Q68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688" spans="1:17" x14ac:dyDescent="0.2">
      <c r="A688" t="s">
        <v>49</v>
      </c>
      <c r="B688" s="1">
        <v>44957</v>
      </c>
      <c r="C688" t="s">
        <v>57</v>
      </c>
      <c r="D688" t="s">
        <v>59</v>
      </c>
      <c r="E688" t="s">
        <v>44</v>
      </c>
      <c r="F688" t="s">
        <v>26</v>
      </c>
      <c r="G688">
        <v>0</v>
      </c>
      <c r="H688">
        <f>Table1[[#This Row],[UnitPrice]]*0.7*Table1[[#This Row],[UnitsSold]]</f>
        <v>0</v>
      </c>
      <c r="I688">
        <v>1686.45</v>
      </c>
      <c r="J688">
        <v>0</v>
      </c>
      <c r="K688" t="s">
        <v>52</v>
      </c>
      <c r="L688" t="s">
        <v>27</v>
      </c>
      <c r="M688" s="3">
        <f t="shared" si="30"/>
        <v>0</v>
      </c>
      <c r="N688" t="str">
        <f t="shared" si="31"/>
        <v>January</v>
      </c>
      <c r="O688" t="str">
        <f t="shared" si="32"/>
        <v>2023</v>
      </c>
      <c r="P688" s="3">
        <f>Table1[[#This Row],[Revenue]]-Table1[[#This Row],[Cost]]</f>
        <v>0</v>
      </c>
      <c r="Q68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89" spans="1:17" x14ac:dyDescent="0.2">
      <c r="A689" t="s">
        <v>72</v>
      </c>
      <c r="B689" s="1">
        <v>45305</v>
      </c>
      <c r="C689" t="s">
        <v>12</v>
      </c>
      <c r="D689" t="s">
        <v>59</v>
      </c>
      <c r="E689" t="s">
        <v>46</v>
      </c>
      <c r="F689" t="s">
        <v>26</v>
      </c>
      <c r="G689">
        <v>4</v>
      </c>
      <c r="H689">
        <f>Table1[[#This Row],[UnitPrice]]*0.7*Table1[[#This Row],[UnitsSold]]</f>
        <v>3096.8733333333316</v>
      </c>
      <c r="I689">
        <v>1106.0261904761899</v>
      </c>
      <c r="J689">
        <v>0.26</v>
      </c>
      <c r="K689" t="s">
        <v>248</v>
      </c>
      <c r="L689" t="s">
        <v>17</v>
      </c>
      <c r="M689" s="3">
        <f t="shared" si="30"/>
        <v>3273.8375238095218</v>
      </c>
      <c r="N689" t="str">
        <f t="shared" si="31"/>
        <v>January</v>
      </c>
      <c r="O689" t="str">
        <f t="shared" si="32"/>
        <v>2024</v>
      </c>
      <c r="P689" s="3">
        <f>Table1[[#This Row],[Revenue]]-Table1[[#This Row],[Cost]]</f>
        <v>176.9641904761902</v>
      </c>
      <c r="Q689" s="6">
        <f>IF(Table1[[#This Row],[UnitsSold]]*Table1[[#This Row],[UnitPrice]]*(1-Table1[[#This Row],[Discount]])=0, 0, ((Table1[[#This Row],[UnitsSold]]*Table1[[#This Row],[UnitPrice]]*(1-Table1[[#This Row],[Discount]])) - (Table1[[#This Row],[UnitsSold]]*Table1[[#This Row],[UnitPrice]]*0.7)) / (Table1[[#This Row],[UnitsSold]]*Table1[[#This Row],[UnitPrice]]*(1-Table1[[#This Row],[Discount]])))</f>
        <v>5.4054054054054002E-2</v>
      </c>
    </row>
    <row r="690" spans="1:17" x14ac:dyDescent="0.2">
      <c r="A690" t="s">
        <v>169</v>
      </c>
      <c r="B690" s="1">
        <v>45276</v>
      </c>
      <c r="C690" t="s">
        <v>29</v>
      </c>
      <c r="D690" t="s">
        <v>13</v>
      </c>
      <c r="E690" t="s">
        <v>14</v>
      </c>
      <c r="F690" t="s">
        <v>26</v>
      </c>
      <c r="G690">
        <v>9</v>
      </c>
      <c r="H690">
        <f>Table1[[#This Row],[UnitPrice]]*0.7*Table1[[#This Row],[UnitsSold]]</f>
        <v>6318.0836808510639</v>
      </c>
      <c r="I690">
        <v>1002.870425531915</v>
      </c>
      <c r="J690">
        <v>0</v>
      </c>
      <c r="K690" t="s">
        <v>248</v>
      </c>
      <c r="L690" t="s">
        <v>55</v>
      </c>
      <c r="M690" s="3">
        <f t="shared" si="30"/>
        <v>9025.8338297872342</v>
      </c>
      <c r="N690" t="str">
        <f t="shared" si="31"/>
        <v>December</v>
      </c>
      <c r="O690" t="str">
        <f t="shared" si="32"/>
        <v>2023</v>
      </c>
      <c r="P690" s="3">
        <f>Table1[[#This Row],[Revenue]]-Table1[[#This Row],[Cost]]</f>
        <v>2707.7501489361703</v>
      </c>
      <c r="Q690"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691" spans="1:17" x14ac:dyDescent="0.2">
      <c r="A691" t="s">
        <v>156</v>
      </c>
      <c r="B691" s="1">
        <v>45281</v>
      </c>
      <c r="C691" t="s">
        <v>246</v>
      </c>
      <c r="D691" t="s">
        <v>13</v>
      </c>
      <c r="E691" t="s">
        <v>46</v>
      </c>
      <c r="F691" t="s">
        <v>26</v>
      </c>
      <c r="G691">
        <v>16</v>
      </c>
      <c r="H691">
        <f>Table1[[#This Row],[UnitPrice]]*0.7*Table1[[#This Row],[UnitsSold]]</f>
        <v>12387.493333333327</v>
      </c>
      <c r="I691">
        <v>1106.0261904761899</v>
      </c>
      <c r="J691">
        <v>0</v>
      </c>
      <c r="K691" t="s">
        <v>283</v>
      </c>
      <c r="L691" t="s">
        <v>22</v>
      </c>
      <c r="M691" s="3">
        <f t="shared" si="30"/>
        <v>17696.419047619038</v>
      </c>
      <c r="N691" t="str">
        <f t="shared" si="31"/>
        <v>December</v>
      </c>
      <c r="O691" t="str">
        <f t="shared" si="32"/>
        <v>2023</v>
      </c>
      <c r="P691" s="3">
        <f>Table1[[#This Row],[Revenue]]-Table1[[#This Row],[Cost]]</f>
        <v>5308.9257142857114</v>
      </c>
      <c r="Q691"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692" spans="1:17" x14ac:dyDescent="0.2">
      <c r="A692" t="s">
        <v>99</v>
      </c>
      <c r="B692" s="1">
        <v>45128</v>
      </c>
      <c r="C692" t="s">
        <v>12</v>
      </c>
      <c r="D692" t="s">
        <v>267</v>
      </c>
      <c r="E692" t="s">
        <v>48</v>
      </c>
      <c r="F692" t="s">
        <v>39</v>
      </c>
      <c r="G692">
        <v>18</v>
      </c>
      <c r="H692">
        <f>Table1[[#This Row],[UnitPrice]]*0.7*Table1[[#This Row],[UnitsSold]]</f>
        <v>12818.089914893615</v>
      </c>
      <c r="I692">
        <v>1017.3087234042553</v>
      </c>
      <c r="J692">
        <v>0.13</v>
      </c>
      <c r="K692" t="s">
        <v>52</v>
      </c>
      <c r="L692" t="s">
        <v>22</v>
      </c>
      <c r="M692" s="3">
        <f t="shared" si="30"/>
        <v>15931.054608510638</v>
      </c>
      <c r="N692" t="str">
        <f t="shared" si="31"/>
        <v>July</v>
      </c>
      <c r="O692" t="str">
        <f t="shared" si="32"/>
        <v>2023</v>
      </c>
      <c r="P692" s="3">
        <f>Table1[[#This Row],[Revenue]]-Table1[[#This Row],[Cost]]</f>
        <v>3112.9646936170229</v>
      </c>
      <c r="Q692" s="6">
        <f>IF(Table1[[#This Row],[UnitsSold]]*Table1[[#This Row],[UnitPrice]]*(1-Table1[[#This Row],[Discount]])=0, 0, ((Table1[[#This Row],[UnitsSold]]*Table1[[#This Row],[UnitPrice]]*(1-Table1[[#This Row],[Discount]])) - (Table1[[#This Row],[UnitsSold]]*Table1[[#This Row],[UnitPrice]]*0.7)) / (Table1[[#This Row],[UnitsSold]]*Table1[[#This Row],[UnitPrice]]*(1-Table1[[#This Row],[Discount]])))</f>
        <v>0.1954022988505747</v>
      </c>
    </row>
    <row r="693" spans="1:17" x14ac:dyDescent="0.2">
      <c r="A693" t="s">
        <v>109</v>
      </c>
      <c r="B693" s="1">
        <v>45110</v>
      </c>
      <c r="C693" t="s">
        <v>57</v>
      </c>
      <c r="D693" t="s">
        <v>19</v>
      </c>
      <c r="E693" t="s">
        <v>25</v>
      </c>
      <c r="F693" t="s">
        <v>26</v>
      </c>
      <c r="G693">
        <v>0</v>
      </c>
      <c r="H693">
        <f>Table1[[#This Row],[UnitPrice]]*0.7*Table1[[#This Row],[UnitsSold]]</f>
        <v>0</v>
      </c>
      <c r="I693">
        <v>747.26</v>
      </c>
      <c r="J693">
        <v>0.13</v>
      </c>
      <c r="K693" t="s">
        <v>283</v>
      </c>
      <c r="L693" t="s">
        <v>27</v>
      </c>
      <c r="M693" s="3">
        <f t="shared" si="30"/>
        <v>0</v>
      </c>
      <c r="N693" t="str">
        <f t="shared" si="31"/>
        <v>July</v>
      </c>
      <c r="O693" t="str">
        <f t="shared" si="32"/>
        <v>2023</v>
      </c>
      <c r="P693" s="3">
        <f>Table1[[#This Row],[Revenue]]-Table1[[#This Row],[Cost]]</f>
        <v>0</v>
      </c>
      <c r="Q69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94" spans="1:17" x14ac:dyDescent="0.2">
      <c r="A694" t="s">
        <v>106</v>
      </c>
      <c r="B694" s="1">
        <v>45070</v>
      </c>
      <c r="C694" t="s">
        <v>29</v>
      </c>
      <c r="D694" t="s">
        <v>19</v>
      </c>
      <c r="E694" t="s">
        <v>46</v>
      </c>
      <c r="F694" t="s">
        <v>26</v>
      </c>
      <c r="G694">
        <v>0</v>
      </c>
      <c r="H694">
        <f>Table1[[#This Row],[UnitPrice]]*0.7*Table1[[#This Row],[UnitsSold]]</f>
        <v>0</v>
      </c>
      <c r="I694">
        <v>1106.0261904761899</v>
      </c>
      <c r="J694">
        <v>0.28999999999999998</v>
      </c>
      <c r="K694" t="s">
        <v>52</v>
      </c>
      <c r="L694" t="s">
        <v>22</v>
      </c>
      <c r="M694" s="3">
        <f t="shared" si="30"/>
        <v>0</v>
      </c>
      <c r="N694" t="str">
        <f t="shared" si="31"/>
        <v>May</v>
      </c>
      <c r="O694" t="str">
        <f t="shared" si="32"/>
        <v>2023</v>
      </c>
      <c r="P694" s="3">
        <f>Table1[[#This Row],[Revenue]]-Table1[[#This Row],[Cost]]</f>
        <v>0</v>
      </c>
      <c r="Q69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95" spans="1:17" x14ac:dyDescent="0.2">
      <c r="A695" t="s">
        <v>157</v>
      </c>
      <c r="B695" s="1">
        <v>45288</v>
      </c>
      <c r="C695" t="s">
        <v>37</v>
      </c>
      <c r="D695" t="s">
        <v>19</v>
      </c>
      <c r="E695" t="s">
        <v>247</v>
      </c>
      <c r="F695" t="s">
        <v>26</v>
      </c>
      <c r="G695">
        <v>0</v>
      </c>
      <c r="H695">
        <f>Table1[[#This Row],[UnitPrice]]*0.7*Table1[[#This Row],[UnitsSold]]</f>
        <v>0</v>
      </c>
      <c r="I695">
        <v>981.36020408163256</v>
      </c>
      <c r="J695">
        <v>0.05</v>
      </c>
      <c r="K695" t="s">
        <v>283</v>
      </c>
      <c r="L695" t="s">
        <v>17</v>
      </c>
      <c r="M695" s="3">
        <f t="shared" si="30"/>
        <v>0</v>
      </c>
      <c r="N695" t="str">
        <f t="shared" si="31"/>
        <v>December</v>
      </c>
      <c r="O695" t="str">
        <f t="shared" si="32"/>
        <v>2023</v>
      </c>
      <c r="P695" s="3">
        <f>Table1[[#This Row],[Revenue]]-Table1[[#This Row],[Cost]]</f>
        <v>0</v>
      </c>
      <c r="Q69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96" spans="1:17" x14ac:dyDescent="0.2">
      <c r="A696" t="s">
        <v>155</v>
      </c>
      <c r="B696" s="1">
        <v>45276</v>
      </c>
      <c r="C696" t="s">
        <v>246</v>
      </c>
      <c r="D696" t="s">
        <v>19</v>
      </c>
      <c r="E696" t="s">
        <v>44</v>
      </c>
      <c r="F696" t="s">
        <v>26</v>
      </c>
      <c r="G696">
        <v>3</v>
      </c>
      <c r="H696">
        <f>Table1[[#This Row],[UnitPrice]]*0.7*Table1[[#This Row],[UnitsSold]]</f>
        <v>2267.1108510638296</v>
      </c>
      <c r="I696">
        <v>1079.5765957446808</v>
      </c>
      <c r="J696">
        <v>0</v>
      </c>
      <c r="K696" t="s">
        <v>283</v>
      </c>
      <c r="L696" t="s">
        <v>55</v>
      </c>
      <c r="M696" s="3">
        <f t="shared" si="30"/>
        <v>3238.7297872340423</v>
      </c>
      <c r="N696" t="str">
        <f t="shared" si="31"/>
        <v>December</v>
      </c>
      <c r="O696" t="str">
        <f t="shared" si="32"/>
        <v>2023</v>
      </c>
      <c r="P696" s="3">
        <f>Table1[[#This Row],[Revenue]]-Table1[[#This Row],[Cost]]</f>
        <v>971.61893617021269</v>
      </c>
      <c r="Q696"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697" spans="1:17" x14ac:dyDescent="0.2">
      <c r="A697" t="s">
        <v>231</v>
      </c>
      <c r="B697" s="1">
        <v>45274</v>
      </c>
      <c r="C697" t="s">
        <v>12</v>
      </c>
      <c r="D697" t="s">
        <v>13</v>
      </c>
      <c r="E697" t="s">
        <v>48</v>
      </c>
      <c r="F697" t="s">
        <v>39</v>
      </c>
      <c r="G697">
        <v>0</v>
      </c>
      <c r="H697">
        <f>Table1[[#This Row],[UnitPrice]]*0.7*Table1[[#This Row],[UnitsSold]]</f>
        <v>0</v>
      </c>
      <c r="I697">
        <v>1017.3087234042553</v>
      </c>
      <c r="J697">
        <v>0</v>
      </c>
      <c r="K697" t="s">
        <v>283</v>
      </c>
      <c r="L697" t="s">
        <v>27</v>
      </c>
      <c r="M697" s="3">
        <f t="shared" si="30"/>
        <v>0</v>
      </c>
      <c r="N697" t="str">
        <f t="shared" si="31"/>
        <v>December</v>
      </c>
      <c r="O697" t="str">
        <f t="shared" si="32"/>
        <v>2023</v>
      </c>
      <c r="P697" s="3">
        <f>Table1[[#This Row],[Revenue]]-Table1[[#This Row],[Cost]]</f>
        <v>0</v>
      </c>
      <c r="Q69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98" spans="1:17" x14ac:dyDescent="0.2">
      <c r="A698" t="s">
        <v>105</v>
      </c>
      <c r="B698" s="1">
        <v>45148</v>
      </c>
      <c r="C698" t="s">
        <v>57</v>
      </c>
      <c r="D698" t="s">
        <v>59</v>
      </c>
      <c r="E698" t="s">
        <v>46</v>
      </c>
      <c r="F698" t="s">
        <v>26</v>
      </c>
      <c r="G698">
        <v>0</v>
      </c>
      <c r="H698">
        <f>Table1[[#This Row],[UnitPrice]]*0.7*Table1[[#This Row],[UnitsSold]]</f>
        <v>0</v>
      </c>
      <c r="I698">
        <v>729.33</v>
      </c>
      <c r="J698">
        <v>0.27</v>
      </c>
      <c r="K698" t="s">
        <v>16</v>
      </c>
      <c r="L698" t="s">
        <v>55</v>
      </c>
      <c r="M698" s="3">
        <f t="shared" si="30"/>
        <v>0</v>
      </c>
      <c r="N698" t="str">
        <f t="shared" si="31"/>
        <v>August</v>
      </c>
      <c r="O698" t="str">
        <f t="shared" si="32"/>
        <v>2023</v>
      </c>
      <c r="P698" s="3">
        <f>Table1[[#This Row],[Revenue]]-Table1[[#This Row],[Cost]]</f>
        <v>0</v>
      </c>
      <c r="Q69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699" spans="1:17" x14ac:dyDescent="0.2">
      <c r="A699" t="s">
        <v>212</v>
      </c>
      <c r="B699" s="1">
        <v>45199</v>
      </c>
      <c r="C699" t="s">
        <v>57</v>
      </c>
      <c r="D699" t="s">
        <v>59</v>
      </c>
      <c r="E699" t="s">
        <v>46</v>
      </c>
      <c r="F699" t="s">
        <v>26</v>
      </c>
      <c r="G699">
        <v>0</v>
      </c>
      <c r="H699">
        <f>Table1[[#This Row],[UnitPrice]]*0.7*Table1[[#This Row],[UnitsSold]]</f>
        <v>0</v>
      </c>
      <c r="I699">
        <v>1106.0261904761899</v>
      </c>
      <c r="J699">
        <v>0</v>
      </c>
      <c r="K699" t="s">
        <v>16</v>
      </c>
      <c r="L699" t="s">
        <v>22</v>
      </c>
      <c r="M699" s="3">
        <f t="shared" si="30"/>
        <v>0</v>
      </c>
      <c r="N699" t="str">
        <f t="shared" si="31"/>
        <v>September</v>
      </c>
      <c r="O699" t="str">
        <f t="shared" si="32"/>
        <v>2023</v>
      </c>
      <c r="P699" s="3">
        <f>Table1[[#This Row],[Revenue]]-Table1[[#This Row],[Cost]]</f>
        <v>0</v>
      </c>
      <c r="Q69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00" spans="1:17" x14ac:dyDescent="0.2">
      <c r="A700" t="s">
        <v>112</v>
      </c>
      <c r="B700" s="1">
        <v>45054</v>
      </c>
      <c r="C700" t="s">
        <v>37</v>
      </c>
      <c r="D700" t="s">
        <v>19</v>
      </c>
      <c r="E700" t="s">
        <v>14</v>
      </c>
      <c r="F700" t="s">
        <v>26</v>
      </c>
      <c r="G700">
        <v>0</v>
      </c>
      <c r="H700">
        <f>Table1[[#This Row],[UnitPrice]]*0.7*Table1[[#This Row],[UnitsSold]]</f>
        <v>0</v>
      </c>
      <c r="I700">
        <v>1254.3399999999999</v>
      </c>
      <c r="J700">
        <v>0.14000000000000001</v>
      </c>
      <c r="K700" t="s">
        <v>248</v>
      </c>
      <c r="L700" t="s">
        <v>55</v>
      </c>
      <c r="M700" s="3">
        <f t="shared" si="30"/>
        <v>0</v>
      </c>
      <c r="N700" t="str">
        <f t="shared" si="31"/>
        <v>May</v>
      </c>
      <c r="O700" t="str">
        <f t="shared" si="32"/>
        <v>2023</v>
      </c>
      <c r="P700" s="3">
        <f>Table1[[#This Row],[Revenue]]-Table1[[#This Row],[Cost]]</f>
        <v>0</v>
      </c>
      <c r="Q70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01" spans="1:17" x14ac:dyDescent="0.2">
      <c r="A701" t="s">
        <v>47</v>
      </c>
      <c r="B701" s="1">
        <v>45053</v>
      </c>
      <c r="C701" t="s">
        <v>12</v>
      </c>
      <c r="D701" t="s">
        <v>83</v>
      </c>
      <c r="E701" t="s">
        <v>247</v>
      </c>
      <c r="F701" t="s">
        <v>26</v>
      </c>
      <c r="G701">
        <v>0</v>
      </c>
      <c r="H701">
        <f>Table1[[#This Row],[UnitPrice]]*0.7*Table1[[#This Row],[UnitsSold]]</f>
        <v>0</v>
      </c>
      <c r="I701">
        <v>1044.1500000000001</v>
      </c>
      <c r="J701">
        <v>0</v>
      </c>
      <c r="K701" t="s">
        <v>248</v>
      </c>
      <c r="L701" t="s">
        <v>22</v>
      </c>
      <c r="M701" s="3">
        <f t="shared" si="30"/>
        <v>0</v>
      </c>
      <c r="N701" t="str">
        <f t="shared" si="31"/>
        <v>May</v>
      </c>
      <c r="O701" t="str">
        <f t="shared" si="32"/>
        <v>2023</v>
      </c>
      <c r="P701" s="3">
        <f>Table1[[#This Row],[Revenue]]-Table1[[#This Row],[Cost]]</f>
        <v>0</v>
      </c>
      <c r="Q70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02" spans="1:17" x14ac:dyDescent="0.2">
      <c r="A702" t="s">
        <v>99</v>
      </c>
      <c r="B702" s="1">
        <v>44975</v>
      </c>
      <c r="C702" t="s">
        <v>57</v>
      </c>
      <c r="D702" t="s">
        <v>31</v>
      </c>
      <c r="E702" t="s">
        <v>46</v>
      </c>
      <c r="F702" t="s">
        <v>26</v>
      </c>
      <c r="G702">
        <v>2</v>
      </c>
      <c r="H702">
        <f>Table1[[#This Row],[UnitPrice]]*0.7*Table1[[#This Row],[UnitsSold]]</f>
        <v>1548.4366666666658</v>
      </c>
      <c r="I702">
        <v>1106.0261904761899</v>
      </c>
      <c r="J702">
        <v>0.02</v>
      </c>
      <c r="K702" t="s">
        <v>16</v>
      </c>
      <c r="L702" t="s">
        <v>22</v>
      </c>
      <c r="M702" s="3">
        <f t="shared" si="30"/>
        <v>2167.8113333333322</v>
      </c>
      <c r="N702" t="str">
        <f t="shared" si="31"/>
        <v>February</v>
      </c>
      <c r="O702" t="str">
        <f t="shared" si="32"/>
        <v>2023</v>
      </c>
      <c r="P702" s="3">
        <f>Table1[[#This Row],[Revenue]]-Table1[[#This Row],[Cost]]</f>
        <v>619.37466666666637</v>
      </c>
      <c r="Q702" s="6">
        <f>IF(Table1[[#This Row],[UnitsSold]]*Table1[[#This Row],[UnitPrice]]*(1-Table1[[#This Row],[Discount]])=0, 0, ((Table1[[#This Row],[UnitsSold]]*Table1[[#This Row],[UnitPrice]]*(1-Table1[[#This Row],[Discount]])) - (Table1[[#This Row],[UnitsSold]]*Table1[[#This Row],[UnitPrice]]*0.7)) / (Table1[[#This Row],[UnitsSold]]*Table1[[#This Row],[UnitPrice]]*(1-Table1[[#This Row],[Discount]])))</f>
        <v>0.28571428571428575</v>
      </c>
    </row>
    <row r="703" spans="1:17" x14ac:dyDescent="0.2">
      <c r="A703" t="s">
        <v>53</v>
      </c>
      <c r="B703" s="1">
        <v>45081</v>
      </c>
      <c r="C703" t="s">
        <v>57</v>
      </c>
      <c r="D703" t="s">
        <v>19</v>
      </c>
      <c r="E703" t="s">
        <v>46</v>
      </c>
      <c r="F703" t="s">
        <v>26</v>
      </c>
      <c r="G703">
        <v>18</v>
      </c>
      <c r="H703">
        <f>Table1[[#This Row],[UnitPrice]]*0.7*Table1[[#This Row],[UnitsSold]]</f>
        <v>13935.929999999993</v>
      </c>
      <c r="I703">
        <v>1106.0261904761899</v>
      </c>
      <c r="J703">
        <v>0</v>
      </c>
      <c r="K703" t="s">
        <v>42</v>
      </c>
      <c r="L703" t="s">
        <v>249</v>
      </c>
      <c r="M703" s="3">
        <f t="shared" si="30"/>
        <v>19908.471428571418</v>
      </c>
      <c r="N703" t="str">
        <f t="shared" si="31"/>
        <v>June</v>
      </c>
      <c r="O703" t="str">
        <f t="shared" si="32"/>
        <v>2023</v>
      </c>
      <c r="P703" s="3">
        <f>Table1[[#This Row],[Revenue]]-Table1[[#This Row],[Cost]]</f>
        <v>5972.5414285714251</v>
      </c>
      <c r="Q703"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704" spans="1:17" x14ac:dyDescent="0.2">
      <c r="A704" t="s">
        <v>109</v>
      </c>
      <c r="B704" s="1">
        <v>45264</v>
      </c>
      <c r="C704" t="s">
        <v>12</v>
      </c>
      <c r="D704" t="s">
        <v>83</v>
      </c>
      <c r="E704" t="s">
        <v>38</v>
      </c>
      <c r="F704" t="s">
        <v>34</v>
      </c>
      <c r="G704">
        <v>0</v>
      </c>
      <c r="H704">
        <f>Table1[[#This Row],[UnitPrice]]*0.7*Table1[[#This Row],[UnitsSold]]</f>
        <v>0</v>
      </c>
      <c r="I704">
        <v>936.79681818181825</v>
      </c>
      <c r="J704">
        <v>0</v>
      </c>
      <c r="K704" t="s">
        <v>16</v>
      </c>
      <c r="L704" t="s">
        <v>22</v>
      </c>
      <c r="M704" s="3">
        <f t="shared" si="30"/>
        <v>0</v>
      </c>
      <c r="N704" t="str">
        <f t="shared" si="31"/>
        <v>December</v>
      </c>
      <c r="O704" t="str">
        <f t="shared" si="32"/>
        <v>2023</v>
      </c>
      <c r="P704" s="3">
        <f>Table1[[#This Row],[Revenue]]-Table1[[#This Row],[Cost]]</f>
        <v>0</v>
      </c>
      <c r="Q70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05" spans="1:17" x14ac:dyDescent="0.2">
      <c r="A705" t="s">
        <v>184</v>
      </c>
      <c r="B705" s="1">
        <v>45095</v>
      </c>
      <c r="C705" t="s">
        <v>37</v>
      </c>
      <c r="D705" t="s">
        <v>19</v>
      </c>
      <c r="E705" t="s">
        <v>46</v>
      </c>
      <c r="F705" t="s">
        <v>26</v>
      </c>
      <c r="G705">
        <v>0</v>
      </c>
      <c r="H705">
        <f>Table1[[#This Row],[UnitPrice]]*0.7*Table1[[#This Row],[UnitsSold]]</f>
        <v>0</v>
      </c>
      <c r="I705">
        <v>144.41</v>
      </c>
      <c r="J705">
        <v>0.27</v>
      </c>
      <c r="K705" t="s">
        <v>283</v>
      </c>
      <c r="L705" t="s">
        <v>17</v>
      </c>
      <c r="M705" s="3">
        <f t="shared" si="30"/>
        <v>0</v>
      </c>
      <c r="N705" t="str">
        <f t="shared" si="31"/>
        <v>June</v>
      </c>
      <c r="O705" t="str">
        <f t="shared" si="32"/>
        <v>2023</v>
      </c>
      <c r="P705" s="3">
        <f>Table1[[#This Row],[Revenue]]-Table1[[#This Row],[Cost]]</f>
        <v>0</v>
      </c>
      <c r="Q70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06" spans="1:17" x14ac:dyDescent="0.2">
      <c r="A706" t="s">
        <v>170</v>
      </c>
      <c r="B706" s="1">
        <v>45108</v>
      </c>
      <c r="C706" t="s">
        <v>57</v>
      </c>
      <c r="D706" t="s">
        <v>83</v>
      </c>
      <c r="E706" t="s">
        <v>48</v>
      </c>
      <c r="F706" t="s">
        <v>39</v>
      </c>
      <c r="G706">
        <v>15</v>
      </c>
      <c r="H706">
        <f>Table1[[#This Row],[UnitPrice]]*0.7*Table1[[#This Row],[UnitsSold]]</f>
        <v>5185.6350000000002</v>
      </c>
      <c r="I706">
        <v>493.87</v>
      </c>
      <c r="J706">
        <v>0</v>
      </c>
      <c r="K706" t="s">
        <v>248</v>
      </c>
      <c r="L706" t="s">
        <v>22</v>
      </c>
      <c r="M706" s="3">
        <f t="shared" ref="M706:M769" si="33">G706*I706*(1-J706)</f>
        <v>7408.05</v>
      </c>
      <c r="N706" t="str">
        <f t="shared" ref="N706:N769" si="34">TEXT(B706, "mmmm")</f>
        <v>July</v>
      </c>
      <c r="O706" t="str">
        <f t="shared" ref="O706:O769" si="35">TEXT(B706, "yyyy")</f>
        <v>2023</v>
      </c>
      <c r="P706" s="3">
        <f>Table1[[#This Row],[Revenue]]-Table1[[#This Row],[Cost]]</f>
        <v>2222.415</v>
      </c>
      <c r="Q706"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707" spans="1:17" x14ac:dyDescent="0.2">
      <c r="A707" t="s">
        <v>145</v>
      </c>
      <c r="B707" s="1">
        <v>45260</v>
      </c>
      <c r="C707" t="s">
        <v>29</v>
      </c>
      <c r="D707" t="s">
        <v>59</v>
      </c>
      <c r="E707" t="s">
        <v>44</v>
      </c>
      <c r="F707" t="s">
        <v>26</v>
      </c>
      <c r="G707">
        <v>5</v>
      </c>
      <c r="H707">
        <f>Table1[[#This Row],[UnitPrice]]*0.7*Table1[[#This Row],[UnitsSold]]</f>
        <v>3778.5180851063824</v>
      </c>
      <c r="I707">
        <v>1079.5765957446808</v>
      </c>
      <c r="J707">
        <v>0</v>
      </c>
      <c r="K707" t="s">
        <v>16</v>
      </c>
      <c r="L707" t="s">
        <v>17</v>
      </c>
      <c r="M707" s="3">
        <f t="shared" si="33"/>
        <v>5397.8829787234044</v>
      </c>
      <c r="N707" t="str">
        <f t="shared" si="34"/>
        <v>November</v>
      </c>
      <c r="O707" t="str">
        <f t="shared" si="35"/>
        <v>2023</v>
      </c>
      <c r="P707" s="3">
        <f>Table1[[#This Row],[Revenue]]-Table1[[#This Row],[Cost]]</f>
        <v>1619.3648936170221</v>
      </c>
      <c r="Q70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708" spans="1:17" x14ac:dyDescent="0.2">
      <c r="A708" t="s">
        <v>110</v>
      </c>
      <c r="B708" s="1">
        <v>45263</v>
      </c>
      <c r="C708" t="s">
        <v>246</v>
      </c>
      <c r="D708" t="s">
        <v>19</v>
      </c>
      <c r="E708" t="s">
        <v>247</v>
      </c>
      <c r="F708" t="s">
        <v>26</v>
      </c>
      <c r="G708">
        <v>18</v>
      </c>
      <c r="H708">
        <f>Table1[[#This Row],[UnitPrice]]*0.7*Table1[[#This Row],[UnitsSold]]</f>
        <v>10708.74</v>
      </c>
      <c r="I708">
        <v>849.9</v>
      </c>
      <c r="J708">
        <v>0</v>
      </c>
      <c r="K708" t="s">
        <v>16</v>
      </c>
      <c r="L708" t="s">
        <v>27</v>
      </c>
      <c r="M708" s="3">
        <f t="shared" si="33"/>
        <v>15298.199999999999</v>
      </c>
      <c r="N708" t="str">
        <f t="shared" si="34"/>
        <v>December</v>
      </c>
      <c r="O708" t="str">
        <f t="shared" si="35"/>
        <v>2023</v>
      </c>
      <c r="P708" s="3">
        <f>Table1[[#This Row],[Revenue]]-Table1[[#This Row],[Cost]]</f>
        <v>4589.4599999999991</v>
      </c>
      <c r="Q708"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709" spans="1:17" x14ac:dyDescent="0.2">
      <c r="A709" t="s">
        <v>216</v>
      </c>
      <c r="B709" s="1">
        <v>45023</v>
      </c>
      <c r="C709" t="s">
        <v>57</v>
      </c>
      <c r="D709" t="s">
        <v>13</v>
      </c>
      <c r="E709" t="s">
        <v>48</v>
      </c>
      <c r="F709" t="s">
        <v>39</v>
      </c>
      <c r="G709">
        <v>0</v>
      </c>
      <c r="H709">
        <f>Table1[[#This Row],[UnitPrice]]*0.7*Table1[[#This Row],[UnitsSold]]</f>
        <v>0</v>
      </c>
      <c r="I709">
        <v>1017.3087234042553</v>
      </c>
      <c r="J709">
        <v>0</v>
      </c>
      <c r="K709" t="s">
        <v>248</v>
      </c>
      <c r="L709" t="s">
        <v>55</v>
      </c>
      <c r="M709" s="3">
        <f t="shared" si="33"/>
        <v>0</v>
      </c>
      <c r="N709" t="str">
        <f t="shared" si="34"/>
        <v>April</v>
      </c>
      <c r="O709" t="str">
        <f t="shared" si="35"/>
        <v>2023</v>
      </c>
      <c r="P709" s="3">
        <f>Table1[[#This Row],[Revenue]]-Table1[[#This Row],[Cost]]</f>
        <v>0</v>
      </c>
      <c r="Q70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10" spans="1:17" x14ac:dyDescent="0.2">
      <c r="A710" t="s">
        <v>212</v>
      </c>
      <c r="B710" s="1">
        <v>45095</v>
      </c>
      <c r="C710" t="s">
        <v>246</v>
      </c>
      <c r="D710" t="s">
        <v>19</v>
      </c>
      <c r="E710" t="s">
        <v>38</v>
      </c>
      <c r="F710" t="s">
        <v>34</v>
      </c>
      <c r="G710">
        <v>16</v>
      </c>
      <c r="H710">
        <f>Table1[[#This Row],[UnitPrice]]*0.7*Table1[[#This Row],[UnitsSold]]</f>
        <v>10492.124363636363</v>
      </c>
      <c r="I710">
        <v>936.79681818181825</v>
      </c>
      <c r="J710">
        <v>7.0000000000000007E-2</v>
      </c>
      <c r="K710" t="s">
        <v>42</v>
      </c>
      <c r="L710" t="s">
        <v>17</v>
      </c>
      <c r="M710" s="3">
        <f t="shared" si="33"/>
        <v>13939.536654545454</v>
      </c>
      <c r="N710" t="str">
        <f t="shared" si="34"/>
        <v>June</v>
      </c>
      <c r="O710" t="str">
        <f t="shared" si="35"/>
        <v>2023</v>
      </c>
      <c r="P710" s="3">
        <f>Table1[[#This Row],[Revenue]]-Table1[[#This Row],[Cost]]</f>
        <v>3447.4122909090911</v>
      </c>
      <c r="Q710" s="6">
        <f>IF(Table1[[#This Row],[UnitsSold]]*Table1[[#This Row],[UnitPrice]]*(1-Table1[[#This Row],[Discount]])=0, 0, ((Table1[[#This Row],[UnitsSold]]*Table1[[#This Row],[UnitPrice]]*(1-Table1[[#This Row],[Discount]])) - (Table1[[#This Row],[UnitsSold]]*Table1[[#This Row],[UnitPrice]]*0.7)) / (Table1[[#This Row],[UnitsSold]]*Table1[[#This Row],[UnitPrice]]*(1-Table1[[#This Row],[Discount]])))</f>
        <v>0.24731182795698925</v>
      </c>
    </row>
    <row r="711" spans="1:17" x14ac:dyDescent="0.2">
      <c r="A711" t="s">
        <v>93</v>
      </c>
      <c r="B711" s="1">
        <v>45049</v>
      </c>
      <c r="C711" t="s">
        <v>57</v>
      </c>
      <c r="D711" t="s">
        <v>13</v>
      </c>
      <c r="E711" t="s">
        <v>25</v>
      </c>
      <c r="F711" t="s">
        <v>26</v>
      </c>
      <c r="G711">
        <v>13</v>
      </c>
      <c r="H711">
        <f>Table1[[#This Row],[UnitPrice]]*0.7*Table1[[#This Row],[UnitsSold]]</f>
        <v>7340.2420000000002</v>
      </c>
      <c r="I711">
        <v>806.62</v>
      </c>
      <c r="J711">
        <v>0.11</v>
      </c>
      <c r="K711" t="s">
        <v>52</v>
      </c>
      <c r="L711" t="s">
        <v>27</v>
      </c>
      <c r="M711" s="3">
        <f t="shared" si="33"/>
        <v>9332.5933999999997</v>
      </c>
      <c r="N711" t="str">
        <f t="shared" si="34"/>
        <v>May</v>
      </c>
      <c r="O711" t="str">
        <f t="shared" si="35"/>
        <v>2023</v>
      </c>
      <c r="P711" s="3">
        <f>Table1[[#This Row],[Revenue]]-Table1[[#This Row],[Cost]]</f>
        <v>1992.3513999999996</v>
      </c>
      <c r="Q711" s="6">
        <f>IF(Table1[[#This Row],[UnitsSold]]*Table1[[#This Row],[UnitPrice]]*(1-Table1[[#This Row],[Discount]])=0, 0, ((Table1[[#This Row],[UnitsSold]]*Table1[[#This Row],[UnitPrice]]*(1-Table1[[#This Row],[Discount]])) - (Table1[[#This Row],[UnitsSold]]*Table1[[#This Row],[UnitPrice]]*0.7)) / (Table1[[#This Row],[UnitsSold]]*Table1[[#This Row],[UnitPrice]]*(1-Table1[[#This Row],[Discount]])))</f>
        <v>0.21348314606741578</v>
      </c>
    </row>
    <row r="712" spans="1:17" x14ac:dyDescent="0.2">
      <c r="A712" t="s">
        <v>94</v>
      </c>
      <c r="B712" s="1">
        <v>44985</v>
      </c>
      <c r="C712" t="s">
        <v>246</v>
      </c>
      <c r="D712" t="s">
        <v>59</v>
      </c>
      <c r="E712" t="s">
        <v>38</v>
      </c>
      <c r="F712" t="s">
        <v>34</v>
      </c>
      <c r="G712">
        <v>0</v>
      </c>
      <c r="H712">
        <f>Table1[[#This Row],[UnitPrice]]*0.7*Table1[[#This Row],[UnitsSold]]</f>
        <v>0</v>
      </c>
      <c r="I712">
        <v>97.37</v>
      </c>
      <c r="J712">
        <v>0</v>
      </c>
      <c r="K712" t="s">
        <v>16</v>
      </c>
      <c r="L712" t="s">
        <v>249</v>
      </c>
      <c r="M712" s="3">
        <f t="shared" si="33"/>
        <v>0</v>
      </c>
      <c r="N712" t="str">
        <f t="shared" si="34"/>
        <v>February</v>
      </c>
      <c r="O712" t="str">
        <f t="shared" si="35"/>
        <v>2023</v>
      </c>
      <c r="P712" s="3">
        <f>Table1[[#This Row],[Revenue]]-Table1[[#This Row],[Cost]]</f>
        <v>0</v>
      </c>
      <c r="Q71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13" spans="1:17" x14ac:dyDescent="0.2">
      <c r="A713" t="s">
        <v>43</v>
      </c>
      <c r="B713" s="1">
        <v>45295</v>
      </c>
      <c r="C713" t="s">
        <v>246</v>
      </c>
      <c r="D713" t="s">
        <v>59</v>
      </c>
      <c r="E713" t="s">
        <v>25</v>
      </c>
      <c r="F713" t="s">
        <v>26</v>
      </c>
      <c r="G713">
        <v>8</v>
      </c>
      <c r="H713">
        <f>Table1[[#This Row],[UnitPrice]]*0.7*Table1[[#This Row],[UnitsSold]]</f>
        <v>2240.1119999999996</v>
      </c>
      <c r="I713">
        <v>400.02</v>
      </c>
      <c r="J713">
        <v>0.25</v>
      </c>
      <c r="K713" t="s">
        <v>16</v>
      </c>
      <c r="L713" t="s">
        <v>249</v>
      </c>
      <c r="M713" s="3">
        <f t="shared" si="33"/>
        <v>2400.12</v>
      </c>
      <c r="N713" t="str">
        <f t="shared" si="34"/>
        <v>January</v>
      </c>
      <c r="O713" t="str">
        <f t="shared" si="35"/>
        <v>2024</v>
      </c>
      <c r="P713" s="3">
        <f>Table1[[#This Row],[Revenue]]-Table1[[#This Row],[Cost]]</f>
        <v>160.00800000000027</v>
      </c>
      <c r="Q713" s="6">
        <f>IF(Table1[[#This Row],[UnitsSold]]*Table1[[#This Row],[UnitPrice]]*(1-Table1[[#This Row],[Discount]])=0, 0, ((Table1[[#This Row],[UnitsSold]]*Table1[[#This Row],[UnitPrice]]*(1-Table1[[#This Row],[Discount]])) - (Table1[[#This Row],[UnitsSold]]*Table1[[#This Row],[UnitPrice]]*0.7)) / (Table1[[#This Row],[UnitsSold]]*Table1[[#This Row],[UnitPrice]]*(1-Table1[[#This Row],[Discount]])))</f>
        <v>6.6666666666666777E-2</v>
      </c>
    </row>
    <row r="714" spans="1:17" x14ac:dyDescent="0.2">
      <c r="A714" t="s">
        <v>28</v>
      </c>
      <c r="B714" s="1">
        <v>45262</v>
      </c>
      <c r="C714" t="s">
        <v>12</v>
      </c>
      <c r="D714" t="s">
        <v>59</v>
      </c>
      <c r="E714" t="s">
        <v>247</v>
      </c>
      <c r="F714" t="s">
        <v>26</v>
      </c>
      <c r="G714">
        <v>15</v>
      </c>
      <c r="H714">
        <f>Table1[[#This Row],[UnitPrice]]*0.7*Table1[[#This Row],[UnitsSold]]</f>
        <v>10304.282142857142</v>
      </c>
      <c r="I714">
        <v>981.36020408163256</v>
      </c>
      <c r="J714">
        <v>0</v>
      </c>
      <c r="K714" t="s">
        <v>248</v>
      </c>
      <c r="L714" t="s">
        <v>22</v>
      </c>
      <c r="M714" s="3">
        <f t="shared" si="33"/>
        <v>14720.403061224488</v>
      </c>
      <c r="N714" t="str">
        <f t="shared" si="34"/>
        <v>December</v>
      </c>
      <c r="O714" t="str">
        <f t="shared" si="35"/>
        <v>2023</v>
      </c>
      <c r="P714" s="3">
        <f>Table1[[#This Row],[Revenue]]-Table1[[#This Row],[Cost]]</f>
        <v>4416.1209183673454</v>
      </c>
      <c r="Q714"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715" spans="1:17" x14ac:dyDescent="0.2">
      <c r="A715" t="s">
        <v>195</v>
      </c>
      <c r="B715" s="1">
        <v>44960</v>
      </c>
      <c r="C715" t="s">
        <v>12</v>
      </c>
      <c r="D715" t="s">
        <v>19</v>
      </c>
      <c r="E715" t="s">
        <v>247</v>
      </c>
      <c r="F715" t="s">
        <v>26</v>
      </c>
      <c r="G715">
        <v>0</v>
      </c>
      <c r="H715">
        <f>Table1[[#This Row],[UnitPrice]]*0.7*Table1[[#This Row],[UnitsSold]]</f>
        <v>0</v>
      </c>
      <c r="I715">
        <v>981.36020408163256</v>
      </c>
      <c r="J715">
        <v>0</v>
      </c>
      <c r="K715" t="s">
        <v>283</v>
      </c>
      <c r="L715" t="s">
        <v>249</v>
      </c>
      <c r="M715" s="3">
        <f t="shared" si="33"/>
        <v>0</v>
      </c>
      <c r="N715" t="str">
        <f t="shared" si="34"/>
        <v>February</v>
      </c>
      <c r="O715" t="str">
        <f t="shared" si="35"/>
        <v>2023</v>
      </c>
      <c r="P715" s="3">
        <f>Table1[[#This Row],[Revenue]]-Table1[[#This Row],[Cost]]</f>
        <v>0</v>
      </c>
      <c r="Q71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16" spans="1:17" x14ac:dyDescent="0.2">
      <c r="A716" t="s">
        <v>153</v>
      </c>
      <c r="B716" s="1">
        <v>45317</v>
      </c>
      <c r="C716" t="s">
        <v>37</v>
      </c>
      <c r="D716" t="s">
        <v>267</v>
      </c>
      <c r="E716" t="s">
        <v>44</v>
      </c>
      <c r="F716" t="s">
        <v>26</v>
      </c>
      <c r="G716">
        <v>0</v>
      </c>
      <c r="H716">
        <f>Table1[[#This Row],[UnitPrice]]*0.7*Table1[[#This Row],[UnitsSold]]</f>
        <v>0</v>
      </c>
      <c r="I716">
        <v>1079.5765957446808</v>
      </c>
      <c r="J716">
        <v>0.24</v>
      </c>
      <c r="K716" t="s">
        <v>248</v>
      </c>
      <c r="L716" t="s">
        <v>17</v>
      </c>
      <c r="M716" s="3">
        <f t="shared" si="33"/>
        <v>0</v>
      </c>
      <c r="N716" t="str">
        <f t="shared" si="34"/>
        <v>January</v>
      </c>
      <c r="O716" t="str">
        <f t="shared" si="35"/>
        <v>2024</v>
      </c>
      <c r="P716" s="3">
        <f>Table1[[#This Row],[Revenue]]-Table1[[#This Row],[Cost]]</f>
        <v>0</v>
      </c>
      <c r="Q71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17" spans="1:17" x14ac:dyDescent="0.2">
      <c r="A717" t="s">
        <v>164</v>
      </c>
      <c r="B717" s="1">
        <v>45034</v>
      </c>
      <c r="C717" t="s">
        <v>12</v>
      </c>
      <c r="D717" t="s">
        <v>267</v>
      </c>
      <c r="E717" t="s">
        <v>38</v>
      </c>
      <c r="F717" t="s">
        <v>34</v>
      </c>
      <c r="G717">
        <v>3</v>
      </c>
      <c r="H717">
        <f>Table1[[#This Row],[UnitPrice]]*0.7*Table1[[#This Row],[UnitsSold]]</f>
        <v>1967.273318181818</v>
      </c>
      <c r="I717">
        <v>936.79681818181825</v>
      </c>
      <c r="J717">
        <v>0</v>
      </c>
      <c r="K717" t="s">
        <v>42</v>
      </c>
      <c r="L717" t="s">
        <v>17</v>
      </c>
      <c r="M717" s="3">
        <f t="shared" si="33"/>
        <v>2810.3904545454548</v>
      </c>
      <c r="N717" t="str">
        <f t="shared" si="34"/>
        <v>April</v>
      </c>
      <c r="O717" t="str">
        <f t="shared" si="35"/>
        <v>2023</v>
      </c>
      <c r="P717" s="3">
        <f>Table1[[#This Row],[Revenue]]-Table1[[#This Row],[Cost]]</f>
        <v>843.11713636363675</v>
      </c>
      <c r="Q71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718" spans="1:17" x14ac:dyDescent="0.2">
      <c r="A718" t="s">
        <v>84</v>
      </c>
      <c r="B718" s="1">
        <v>45018</v>
      </c>
      <c r="C718" t="s">
        <v>29</v>
      </c>
      <c r="D718" t="s">
        <v>13</v>
      </c>
      <c r="E718" t="s">
        <v>14</v>
      </c>
      <c r="F718" t="s">
        <v>26</v>
      </c>
      <c r="G718">
        <v>0</v>
      </c>
      <c r="H718">
        <f>Table1[[#This Row],[UnitPrice]]*0.7*Table1[[#This Row],[UnitsSold]]</f>
        <v>0</v>
      </c>
      <c r="I718">
        <v>1002.870425531915</v>
      </c>
      <c r="J718">
        <v>0</v>
      </c>
      <c r="K718" t="s">
        <v>283</v>
      </c>
      <c r="L718" t="s">
        <v>17</v>
      </c>
      <c r="M718" s="3">
        <f t="shared" si="33"/>
        <v>0</v>
      </c>
      <c r="N718" t="str">
        <f t="shared" si="34"/>
        <v>April</v>
      </c>
      <c r="O718" t="str">
        <f t="shared" si="35"/>
        <v>2023</v>
      </c>
      <c r="P718" s="3">
        <f>Table1[[#This Row],[Revenue]]-Table1[[#This Row],[Cost]]</f>
        <v>0</v>
      </c>
      <c r="Q71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19" spans="1:17" x14ac:dyDescent="0.2">
      <c r="A719" t="s">
        <v>147</v>
      </c>
      <c r="B719" s="1">
        <v>44945</v>
      </c>
      <c r="C719" t="s">
        <v>37</v>
      </c>
      <c r="D719" t="s">
        <v>19</v>
      </c>
      <c r="E719" t="s">
        <v>247</v>
      </c>
      <c r="F719" t="s">
        <v>26</v>
      </c>
      <c r="G719">
        <v>0</v>
      </c>
      <c r="H719">
        <f>Table1[[#This Row],[UnitPrice]]*0.7*Table1[[#This Row],[UnitsSold]]</f>
        <v>0</v>
      </c>
      <c r="I719">
        <v>981.36020408163256</v>
      </c>
      <c r="J719">
        <v>0</v>
      </c>
      <c r="K719" t="s">
        <v>16</v>
      </c>
      <c r="L719" t="s">
        <v>55</v>
      </c>
      <c r="M719" s="3">
        <f t="shared" si="33"/>
        <v>0</v>
      </c>
      <c r="N719" t="str">
        <f t="shared" si="34"/>
        <v>January</v>
      </c>
      <c r="O719" t="str">
        <f t="shared" si="35"/>
        <v>2023</v>
      </c>
      <c r="P719" s="3">
        <f>Table1[[#This Row],[Revenue]]-Table1[[#This Row],[Cost]]</f>
        <v>0</v>
      </c>
      <c r="Q71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20" spans="1:17" x14ac:dyDescent="0.2">
      <c r="A720" t="s">
        <v>170</v>
      </c>
      <c r="B720" s="1">
        <v>45208</v>
      </c>
      <c r="C720" t="s">
        <v>12</v>
      </c>
      <c r="D720" t="s">
        <v>19</v>
      </c>
      <c r="E720" t="s">
        <v>25</v>
      </c>
      <c r="F720" t="s">
        <v>26</v>
      </c>
      <c r="G720">
        <v>0</v>
      </c>
      <c r="H720">
        <f>Table1[[#This Row],[UnitPrice]]*0.7*Table1[[#This Row],[UnitsSold]]</f>
        <v>0</v>
      </c>
      <c r="I720">
        <v>1042.45</v>
      </c>
      <c r="J720">
        <v>0</v>
      </c>
      <c r="K720" t="s">
        <v>248</v>
      </c>
      <c r="L720" t="s">
        <v>17</v>
      </c>
      <c r="M720" s="3">
        <f t="shared" si="33"/>
        <v>0</v>
      </c>
      <c r="N720" t="str">
        <f t="shared" si="34"/>
        <v>October</v>
      </c>
      <c r="O720" t="str">
        <f t="shared" si="35"/>
        <v>2023</v>
      </c>
      <c r="P720" s="3">
        <f>Table1[[#This Row],[Revenue]]-Table1[[#This Row],[Cost]]</f>
        <v>0</v>
      </c>
      <c r="Q72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21" spans="1:17" x14ac:dyDescent="0.2">
      <c r="A721" t="s">
        <v>150</v>
      </c>
      <c r="B721" s="1">
        <v>45145</v>
      </c>
      <c r="C721" t="s">
        <v>57</v>
      </c>
      <c r="D721" t="s">
        <v>83</v>
      </c>
      <c r="E721" t="s">
        <v>38</v>
      </c>
      <c r="F721" t="s">
        <v>34</v>
      </c>
      <c r="G721">
        <v>0</v>
      </c>
      <c r="H721">
        <f>Table1[[#This Row],[UnitPrice]]*0.7*Table1[[#This Row],[UnitsSold]]</f>
        <v>0</v>
      </c>
      <c r="I721">
        <v>936.79681818181825</v>
      </c>
      <c r="J721">
        <v>0</v>
      </c>
      <c r="K721" t="s">
        <v>16</v>
      </c>
      <c r="L721" t="s">
        <v>55</v>
      </c>
      <c r="M721" s="3">
        <f t="shared" si="33"/>
        <v>0</v>
      </c>
      <c r="N721" t="str">
        <f t="shared" si="34"/>
        <v>August</v>
      </c>
      <c r="O721" t="str">
        <f t="shared" si="35"/>
        <v>2023</v>
      </c>
      <c r="P721" s="3">
        <f>Table1[[#This Row],[Revenue]]-Table1[[#This Row],[Cost]]</f>
        <v>0</v>
      </c>
      <c r="Q72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22" spans="1:17" x14ac:dyDescent="0.2">
      <c r="A722" t="s">
        <v>226</v>
      </c>
      <c r="B722" s="1">
        <v>44965</v>
      </c>
      <c r="C722" t="s">
        <v>29</v>
      </c>
      <c r="D722" t="s">
        <v>19</v>
      </c>
      <c r="E722" t="s">
        <v>14</v>
      </c>
      <c r="F722" t="s">
        <v>26</v>
      </c>
      <c r="G722">
        <v>0</v>
      </c>
      <c r="H722">
        <f>Table1[[#This Row],[UnitPrice]]*0.7*Table1[[#This Row],[UnitsSold]]</f>
        <v>0</v>
      </c>
      <c r="I722">
        <v>1002.870425531915</v>
      </c>
      <c r="J722">
        <v>0.28000000000000003</v>
      </c>
      <c r="K722" t="s">
        <v>16</v>
      </c>
      <c r="L722" t="s">
        <v>27</v>
      </c>
      <c r="M722" s="3">
        <f t="shared" si="33"/>
        <v>0</v>
      </c>
      <c r="N722" t="str">
        <f t="shared" si="34"/>
        <v>February</v>
      </c>
      <c r="O722" t="str">
        <f t="shared" si="35"/>
        <v>2023</v>
      </c>
      <c r="P722" s="3">
        <f>Table1[[#This Row],[Revenue]]-Table1[[#This Row],[Cost]]</f>
        <v>0</v>
      </c>
      <c r="Q72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23" spans="1:17" x14ac:dyDescent="0.2">
      <c r="A723" t="s">
        <v>148</v>
      </c>
      <c r="B723" s="1">
        <v>44946</v>
      </c>
      <c r="C723" t="s">
        <v>37</v>
      </c>
      <c r="D723" t="s">
        <v>59</v>
      </c>
      <c r="E723" t="s">
        <v>247</v>
      </c>
      <c r="F723" t="s">
        <v>26</v>
      </c>
      <c r="G723">
        <v>0</v>
      </c>
      <c r="H723">
        <f>Table1[[#This Row],[UnitPrice]]*0.7*Table1[[#This Row],[UnitsSold]]</f>
        <v>0</v>
      </c>
      <c r="I723">
        <v>981.36020408163256</v>
      </c>
      <c r="J723">
        <v>0.25</v>
      </c>
      <c r="K723" t="s">
        <v>283</v>
      </c>
      <c r="L723" t="s">
        <v>17</v>
      </c>
      <c r="M723" s="3">
        <f t="shared" si="33"/>
        <v>0</v>
      </c>
      <c r="N723" t="str">
        <f t="shared" si="34"/>
        <v>January</v>
      </c>
      <c r="O723" t="str">
        <f t="shared" si="35"/>
        <v>2023</v>
      </c>
      <c r="P723" s="3">
        <f>Table1[[#This Row],[Revenue]]-Table1[[#This Row],[Cost]]</f>
        <v>0</v>
      </c>
      <c r="Q72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24" spans="1:17" x14ac:dyDescent="0.2">
      <c r="A724" t="s">
        <v>138</v>
      </c>
      <c r="B724" s="1">
        <v>45312</v>
      </c>
      <c r="C724" t="s">
        <v>24</v>
      </c>
      <c r="D724" t="s">
        <v>19</v>
      </c>
      <c r="E724" t="s">
        <v>25</v>
      </c>
      <c r="F724" t="s">
        <v>26</v>
      </c>
      <c r="G724">
        <v>0</v>
      </c>
      <c r="H724">
        <f>Table1[[#This Row],[UnitPrice]]*0.7*Table1[[#This Row],[UnitsSold]]</f>
        <v>0</v>
      </c>
      <c r="I724">
        <v>961.05661016949136</v>
      </c>
      <c r="J724">
        <v>0</v>
      </c>
      <c r="K724" t="s">
        <v>283</v>
      </c>
      <c r="L724" t="s">
        <v>27</v>
      </c>
      <c r="M724" s="3">
        <f t="shared" si="33"/>
        <v>0</v>
      </c>
      <c r="N724" t="str">
        <f t="shared" si="34"/>
        <v>January</v>
      </c>
      <c r="O724" t="str">
        <f t="shared" si="35"/>
        <v>2024</v>
      </c>
      <c r="P724" s="3">
        <f>Table1[[#This Row],[Revenue]]-Table1[[#This Row],[Cost]]</f>
        <v>0</v>
      </c>
      <c r="Q72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25" spans="1:17" x14ac:dyDescent="0.2">
      <c r="A725" t="s">
        <v>103</v>
      </c>
      <c r="B725" s="1">
        <v>45261</v>
      </c>
      <c r="C725" t="s">
        <v>246</v>
      </c>
      <c r="D725" t="s">
        <v>267</v>
      </c>
      <c r="E725" t="s">
        <v>38</v>
      </c>
      <c r="F725" t="s">
        <v>34</v>
      </c>
      <c r="G725">
        <v>0</v>
      </c>
      <c r="H725">
        <f>Table1[[#This Row],[UnitPrice]]*0.7*Table1[[#This Row],[UnitsSold]]</f>
        <v>0</v>
      </c>
      <c r="I725">
        <v>936.79681818181825</v>
      </c>
      <c r="J725">
        <v>0</v>
      </c>
      <c r="K725" t="s">
        <v>248</v>
      </c>
      <c r="L725" t="s">
        <v>22</v>
      </c>
      <c r="M725" s="3">
        <f t="shared" si="33"/>
        <v>0</v>
      </c>
      <c r="N725" t="str">
        <f t="shared" si="34"/>
        <v>December</v>
      </c>
      <c r="O725" t="str">
        <f t="shared" si="35"/>
        <v>2023</v>
      </c>
      <c r="P725" s="3">
        <f>Table1[[#This Row],[Revenue]]-Table1[[#This Row],[Cost]]</f>
        <v>0</v>
      </c>
      <c r="Q72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26" spans="1:17" x14ac:dyDescent="0.2">
      <c r="A726" t="s">
        <v>135</v>
      </c>
      <c r="B726" s="1">
        <v>45163</v>
      </c>
      <c r="C726" t="s">
        <v>29</v>
      </c>
      <c r="D726" t="s">
        <v>267</v>
      </c>
      <c r="E726" t="s">
        <v>46</v>
      </c>
      <c r="F726" t="s">
        <v>26</v>
      </c>
      <c r="G726">
        <v>0</v>
      </c>
      <c r="H726">
        <f>Table1[[#This Row],[UnitPrice]]*0.7*Table1[[#This Row],[UnitsSold]]</f>
        <v>0</v>
      </c>
      <c r="I726">
        <v>1106.0261904761899</v>
      </c>
      <c r="J726">
        <v>0</v>
      </c>
      <c r="K726" t="s">
        <v>42</v>
      </c>
      <c r="L726" t="s">
        <v>17</v>
      </c>
      <c r="M726" s="3">
        <f t="shared" si="33"/>
        <v>0</v>
      </c>
      <c r="N726" t="str">
        <f t="shared" si="34"/>
        <v>August</v>
      </c>
      <c r="O726" t="str">
        <f t="shared" si="35"/>
        <v>2023</v>
      </c>
      <c r="P726" s="3">
        <f>Table1[[#This Row],[Revenue]]-Table1[[#This Row],[Cost]]</f>
        <v>0</v>
      </c>
      <c r="Q72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27" spans="1:17" x14ac:dyDescent="0.2">
      <c r="A727" t="s">
        <v>209</v>
      </c>
      <c r="B727" s="1">
        <v>45118</v>
      </c>
      <c r="C727" t="s">
        <v>246</v>
      </c>
      <c r="D727" t="s">
        <v>31</v>
      </c>
      <c r="E727" t="s">
        <v>25</v>
      </c>
      <c r="F727" t="s">
        <v>26</v>
      </c>
      <c r="G727">
        <v>0</v>
      </c>
      <c r="H727">
        <f>Table1[[#This Row],[UnitPrice]]*0.7*Table1[[#This Row],[UnitsSold]]</f>
        <v>0</v>
      </c>
      <c r="I727">
        <v>961.05661016949136</v>
      </c>
      <c r="J727">
        <v>0</v>
      </c>
      <c r="K727" t="s">
        <v>16</v>
      </c>
      <c r="L727" t="s">
        <v>22</v>
      </c>
      <c r="M727" s="3">
        <f t="shared" si="33"/>
        <v>0</v>
      </c>
      <c r="N727" t="str">
        <f t="shared" si="34"/>
        <v>July</v>
      </c>
      <c r="O727" t="str">
        <f t="shared" si="35"/>
        <v>2023</v>
      </c>
      <c r="P727" s="3">
        <f>Table1[[#This Row],[Revenue]]-Table1[[#This Row],[Cost]]</f>
        <v>0</v>
      </c>
      <c r="Q72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28" spans="1:17" x14ac:dyDescent="0.2">
      <c r="A728" t="s">
        <v>18</v>
      </c>
      <c r="B728" s="1">
        <v>45278</v>
      </c>
      <c r="C728" t="s">
        <v>57</v>
      </c>
      <c r="D728" t="s">
        <v>267</v>
      </c>
      <c r="E728" t="s">
        <v>25</v>
      </c>
      <c r="F728" t="s">
        <v>26</v>
      </c>
      <c r="G728">
        <v>0</v>
      </c>
      <c r="H728">
        <f>Table1[[#This Row],[UnitPrice]]*0.7*Table1[[#This Row],[UnitsSold]]</f>
        <v>0</v>
      </c>
      <c r="I728">
        <v>961.05661016949136</v>
      </c>
      <c r="J728">
        <v>0.24</v>
      </c>
      <c r="K728" t="s">
        <v>16</v>
      </c>
      <c r="L728" t="s">
        <v>55</v>
      </c>
      <c r="M728" s="3">
        <f t="shared" si="33"/>
        <v>0</v>
      </c>
      <c r="N728" t="str">
        <f t="shared" si="34"/>
        <v>December</v>
      </c>
      <c r="O728" t="str">
        <f t="shared" si="35"/>
        <v>2023</v>
      </c>
      <c r="P728" s="3">
        <f>Table1[[#This Row],[Revenue]]-Table1[[#This Row],[Cost]]</f>
        <v>0</v>
      </c>
      <c r="Q72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29" spans="1:17" x14ac:dyDescent="0.2">
      <c r="A729" t="s">
        <v>146</v>
      </c>
      <c r="B729" s="1">
        <v>45249</v>
      </c>
      <c r="C729" t="s">
        <v>57</v>
      </c>
      <c r="D729" t="s">
        <v>83</v>
      </c>
      <c r="E729" t="s">
        <v>247</v>
      </c>
      <c r="F729" t="s">
        <v>26</v>
      </c>
      <c r="G729">
        <v>0</v>
      </c>
      <c r="H729">
        <f>Table1[[#This Row],[UnitPrice]]*0.7*Table1[[#This Row],[UnitsSold]]</f>
        <v>0</v>
      </c>
      <c r="I729">
        <v>981.36020408163256</v>
      </c>
      <c r="J729">
        <v>0</v>
      </c>
      <c r="K729" t="s">
        <v>42</v>
      </c>
      <c r="L729" t="s">
        <v>55</v>
      </c>
      <c r="M729" s="3">
        <f t="shared" si="33"/>
        <v>0</v>
      </c>
      <c r="N729" t="str">
        <f t="shared" si="34"/>
        <v>November</v>
      </c>
      <c r="O729" t="str">
        <f t="shared" si="35"/>
        <v>2023</v>
      </c>
      <c r="P729" s="3">
        <f>Table1[[#This Row],[Revenue]]-Table1[[#This Row],[Cost]]</f>
        <v>0</v>
      </c>
      <c r="Q72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30" spans="1:17" x14ac:dyDescent="0.2">
      <c r="A730" t="s">
        <v>126</v>
      </c>
      <c r="B730" s="1">
        <v>45014</v>
      </c>
      <c r="C730" t="s">
        <v>12</v>
      </c>
      <c r="D730" t="s">
        <v>13</v>
      </c>
      <c r="E730" t="s">
        <v>44</v>
      </c>
      <c r="F730" t="s">
        <v>26</v>
      </c>
      <c r="G730">
        <v>0</v>
      </c>
      <c r="H730">
        <f>Table1[[#This Row],[UnitPrice]]*0.7*Table1[[#This Row],[UnitsSold]]</f>
        <v>0</v>
      </c>
      <c r="I730">
        <v>1210.69</v>
      </c>
      <c r="J730">
        <v>0.06</v>
      </c>
      <c r="K730" t="s">
        <v>42</v>
      </c>
      <c r="L730" t="s">
        <v>55</v>
      </c>
      <c r="M730" s="3">
        <f t="shared" si="33"/>
        <v>0</v>
      </c>
      <c r="N730" t="str">
        <f t="shared" si="34"/>
        <v>March</v>
      </c>
      <c r="O730" t="str">
        <f t="shared" si="35"/>
        <v>2023</v>
      </c>
      <c r="P730" s="3">
        <f>Table1[[#This Row],[Revenue]]-Table1[[#This Row],[Cost]]</f>
        <v>0</v>
      </c>
      <c r="Q73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31" spans="1:17" x14ac:dyDescent="0.2">
      <c r="A731" t="s">
        <v>197</v>
      </c>
      <c r="B731" s="1">
        <v>45046</v>
      </c>
      <c r="C731" t="s">
        <v>24</v>
      </c>
      <c r="D731" t="s">
        <v>13</v>
      </c>
      <c r="E731" t="s">
        <v>44</v>
      </c>
      <c r="F731" t="s">
        <v>26</v>
      </c>
      <c r="G731">
        <v>15</v>
      </c>
      <c r="H731">
        <f>Table1[[#This Row],[UnitPrice]]*0.7*Table1[[#This Row],[UnitsSold]]</f>
        <v>7808.01</v>
      </c>
      <c r="I731">
        <v>743.62</v>
      </c>
      <c r="J731">
        <v>0</v>
      </c>
      <c r="K731" t="s">
        <v>42</v>
      </c>
      <c r="L731" t="s">
        <v>249</v>
      </c>
      <c r="M731" s="3">
        <f t="shared" si="33"/>
        <v>11154.3</v>
      </c>
      <c r="N731" t="str">
        <f t="shared" si="34"/>
        <v>April</v>
      </c>
      <c r="O731" t="str">
        <f t="shared" si="35"/>
        <v>2023</v>
      </c>
      <c r="P731" s="3">
        <f>Table1[[#This Row],[Revenue]]-Table1[[#This Row],[Cost]]</f>
        <v>3346.2899999999991</v>
      </c>
      <c r="Q731"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732" spans="1:17" x14ac:dyDescent="0.2">
      <c r="A732" t="s">
        <v>122</v>
      </c>
      <c r="B732" s="1">
        <v>44993</v>
      </c>
      <c r="C732" t="s">
        <v>57</v>
      </c>
      <c r="D732" t="s">
        <v>83</v>
      </c>
      <c r="E732" t="s">
        <v>48</v>
      </c>
      <c r="F732" t="s">
        <v>39</v>
      </c>
      <c r="G732">
        <v>13</v>
      </c>
      <c r="H732">
        <f>Table1[[#This Row],[UnitPrice]]*0.7*Table1[[#This Row],[UnitsSold]]</f>
        <v>2443.9870000000001</v>
      </c>
      <c r="I732">
        <v>268.57</v>
      </c>
      <c r="J732">
        <v>0</v>
      </c>
      <c r="K732" t="s">
        <v>283</v>
      </c>
      <c r="L732" t="s">
        <v>22</v>
      </c>
      <c r="M732" s="3">
        <f t="shared" si="33"/>
        <v>3491.41</v>
      </c>
      <c r="N732" t="str">
        <f t="shared" si="34"/>
        <v>March</v>
      </c>
      <c r="O732" t="str">
        <f t="shared" si="35"/>
        <v>2023</v>
      </c>
      <c r="P732" s="3">
        <f>Table1[[#This Row],[Revenue]]-Table1[[#This Row],[Cost]]</f>
        <v>1047.4229999999998</v>
      </c>
      <c r="Q73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733" spans="1:17" x14ac:dyDescent="0.2">
      <c r="A733" t="s">
        <v>189</v>
      </c>
      <c r="B733" s="1">
        <v>45236</v>
      </c>
      <c r="C733" t="s">
        <v>24</v>
      </c>
      <c r="D733" t="s">
        <v>31</v>
      </c>
      <c r="E733" t="s">
        <v>247</v>
      </c>
      <c r="F733" t="s">
        <v>26</v>
      </c>
      <c r="G733">
        <v>0</v>
      </c>
      <c r="H733">
        <f>Table1[[#This Row],[UnitPrice]]*0.7*Table1[[#This Row],[UnitsSold]]</f>
        <v>0</v>
      </c>
      <c r="I733">
        <v>411.39</v>
      </c>
      <c r="J733">
        <v>0</v>
      </c>
      <c r="K733" t="s">
        <v>248</v>
      </c>
      <c r="L733" t="s">
        <v>249</v>
      </c>
      <c r="M733" s="3">
        <f t="shared" si="33"/>
        <v>0</v>
      </c>
      <c r="N733" t="str">
        <f t="shared" si="34"/>
        <v>November</v>
      </c>
      <c r="O733" t="str">
        <f t="shared" si="35"/>
        <v>2023</v>
      </c>
      <c r="P733" s="3">
        <f>Table1[[#This Row],[Revenue]]-Table1[[#This Row],[Cost]]</f>
        <v>0</v>
      </c>
      <c r="Q73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34" spans="1:17" x14ac:dyDescent="0.2">
      <c r="A734" t="s">
        <v>123</v>
      </c>
      <c r="B734" s="1">
        <v>45095</v>
      </c>
      <c r="C734" t="s">
        <v>57</v>
      </c>
      <c r="D734" t="s">
        <v>83</v>
      </c>
      <c r="E734" t="s">
        <v>38</v>
      </c>
      <c r="F734" t="s">
        <v>34</v>
      </c>
      <c r="G734">
        <v>0</v>
      </c>
      <c r="H734">
        <f>Table1[[#This Row],[UnitPrice]]*0.7*Table1[[#This Row],[UnitsSold]]</f>
        <v>0</v>
      </c>
      <c r="I734">
        <v>936.79681818181825</v>
      </c>
      <c r="J734">
        <v>0</v>
      </c>
      <c r="K734" t="s">
        <v>52</v>
      </c>
      <c r="L734" t="s">
        <v>55</v>
      </c>
      <c r="M734" s="3">
        <f t="shared" si="33"/>
        <v>0</v>
      </c>
      <c r="N734" t="str">
        <f t="shared" si="34"/>
        <v>June</v>
      </c>
      <c r="O734" t="str">
        <f t="shared" si="35"/>
        <v>2023</v>
      </c>
      <c r="P734" s="3">
        <f>Table1[[#This Row],[Revenue]]-Table1[[#This Row],[Cost]]</f>
        <v>0</v>
      </c>
      <c r="Q73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35" spans="1:17" x14ac:dyDescent="0.2">
      <c r="A735" t="s">
        <v>154</v>
      </c>
      <c r="B735" s="1">
        <v>45240</v>
      </c>
      <c r="C735" t="s">
        <v>246</v>
      </c>
      <c r="D735" t="s">
        <v>83</v>
      </c>
      <c r="E735" t="s">
        <v>247</v>
      </c>
      <c r="F735" t="s">
        <v>26</v>
      </c>
      <c r="G735">
        <v>0</v>
      </c>
      <c r="H735">
        <f>Table1[[#This Row],[UnitPrice]]*0.7*Table1[[#This Row],[UnitsSold]]</f>
        <v>0</v>
      </c>
      <c r="I735">
        <v>981.36020408163256</v>
      </c>
      <c r="J735">
        <v>0.27</v>
      </c>
      <c r="K735" t="s">
        <v>283</v>
      </c>
      <c r="L735" t="s">
        <v>17</v>
      </c>
      <c r="M735" s="3">
        <f t="shared" si="33"/>
        <v>0</v>
      </c>
      <c r="N735" t="str">
        <f t="shared" si="34"/>
        <v>November</v>
      </c>
      <c r="O735" t="str">
        <f t="shared" si="35"/>
        <v>2023</v>
      </c>
      <c r="P735" s="3">
        <f>Table1[[#This Row],[Revenue]]-Table1[[#This Row],[Cost]]</f>
        <v>0</v>
      </c>
      <c r="Q73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36" spans="1:17" x14ac:dyDescent="0.2">
      <c r="A736" t="s">
        <v>241</v>
      </c>
      <c r="B736" s="1">
        <v>45128</v>
      </c>
      <c r="C736" t="s">
        <v>12</v>
      </c>
      <c r="D736" t="s">
        <v>19</v>
      </c>
      <c r="E736" t="s">
        <v>25</v>
      </c>
      <c r="F736" t="s">
        <v>26</v>
      </c>
      <c r="G736">
        <v>0</v>
      </c>
      <c r="H736">
        <f>Table1[[#This Row],[UnitPrice]]*0.7*Table1[[#This Row],[UnitsSold]]</f>
        <v>0</v>
      </c>
      <c r="I736">
        <v>961.05661016949136</v>
      </c>
      <c r="J736">
        <v>0</v>
      </c>
      <c r="K736" t="s">
        <v>283</v>
      </c>
      <c r="L736" t="s">
        <v>249</v>
      </c>
      <c r="M736" s="3">
        <f t="shared" si="33"/>
        <v>0</v>
      </c>
      <c r="N736" t="str">
        <f t="shared" si="34"/>
        <v>July</v>
      </c>
      <c r="O736" t="str">
        <f t="shared" si="35"/>
        <v>2023</v>
      </c>
      <c r="P736" s="3">
        <f>Table1[[#This Row],[Revenue]]-Table1[[#This Row],[Cost]]</f>
        <v>0</v>
      </c>
      <c r="Q73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37" spans="1:17" x14ac:dyDescent="0.2">
      <c r="A737" t="s">
        <v>45</v>
      </c>
      <c r="B737" s="1">
        <v>45137</v>
      </c>
      <c r="C737" t="s">
        <v>12</v>
      </c>
      <c r="D737" t="s">
        <v>59</v>
      </c>
      <c r="E737" t="s">
        <v>46</v>
      </c>
      <c r="F737" t="s">
        <v>26</v>
      </c>
      <c r="G737">
        <v>0</v>
      </c>
      <c r="H737">
        <f>Table1[[#This Row],[UnitPrice]]*0.7*Table1[[#This Row],[UnitsSold]]</f>
        <v>0</v>
      </c>
      <c r="I737">
        <v>826.09</v>
      </c>
      <c r="J737">
        <v>0</v>
      </c>
      <c r="K737" t="s">
        <v>16</v>
      </c>
      <c r="L737" t="s">
        <v>22</v>
      </c>
      <c r="M737" s="3">
        <f t="shared" si="33"/>
        <v>0</v>
      </c>
      <c r="N737" t="str">
        <f t="shared" si="34"/>
        <v>July</v>
      </c>
      <c r="O737" t="str">
        <f t="shared" si="35"/>
        <v>2023</v>
      </c>
      <c r="P737" s="3">
        <f>Table1[[#This Row],[Revenue]]-Table1[[#This Row],[Cost]]</f>
        <v>0</v>
      </c>
      <c r="Q73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38" spans="1:17" x14ac:dyDescent="0.2">
      <c r="A738" t="s">
        <v>128</v>
      </c>
      <c r="B738" s="1">
        <v>44964</v>
      </c>
      <c r="C738" t="s">
        <v>57</v>
      </c>
      <c r="D738" t="s">
        <v>83</v>
      </c>
      <c r="E738" t="s">
        <v>14</v>
      </c>
      <c r="F738" t="s">
        <v>26</v>
      </c>
      <c r="G738">
        <v>0</v>
      </c>
      <c r="H738">
        <f>Table1[[#This Row],[UnitPrice]]*0.7*Table1[[#This Row],[UnitsSold]]</f>
        <v>0</v>
      </c>
      <c r="I738">
        <v>1002.870425531915</v>
      </c>
      <c r="J738">
        <v>0.03</v>
      </c>
      <c r="K738" t="s">
        <v>52</v>
      </c>
      <c r="L738" t="s">
        <v>22</v>
      </c>
      <c r="M738" s="3">
        <f t="shared" si="33"/>
        <v>0</v>
      </c>
      <c r="N738" t="str">
        <f t="shared" si="34"/>
        <v>February</v>
      </c>
      <c r="O738" t="str">
        <f t="shared" si="35"/>
        <v>2023</v>
      </c>
      <c r="P738" s="3">
        <f>Table1[[#This Row],[Revenue]]-Table1[[#This Row],[Cost]]</f>
        <v>0</v>
      </c>
      <c r="Q73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39" spans="1:17" x14ac:dyDescent="0.2">
      <c r="A739" t="s">
        <v>214</v>
      </c>
      <c r="B739" s="1">
        <v>45163</v>
      </c>
      <c r="C739" t="s">
        <v>12</v>
      </c>
      <c r="D739" t="s">
        <v>19</v>
      </c>
      <c r="E739" t="s">
        <v>44</v>
      </c>
      <c r="F739" t="s">
        <v>26</v>
      </c>
      <c r="G739">
        <v>15</v>
      </c>
      <c r="H739">
        <f>Table1[[#This Row],[UnitPrice]]*0.7*Table1[[#This Row],[UnitsSold]]</f>
        <v>11335.554255319148</v>
      </c>
      <c r="I739">
        <v>1079.5765957446808</v>
      </c>
      <c r="J739">
        <v>0.25</v>
      </c>
      <c r="K739" t="s">
        <v>16</v>
      </c>
      <c r="L739" t="s">
        <v>17</v>
      </c>
      <c r="M739" s="3">
        <f t="shared" si="33"/>
        <v>12145.23670212766</v>
      </c>
      <c r="N739" t="str">
        <f t="shared" si="34"/>
        <v>August</v>
      </c>
      <c r="O739" t="str">
        <f t="shared" si="35"/>
        <v>2023</v>
      </c>
      <c r="P739" s="3">
        <f>Table1[[#This Row],[Revenue]]-Table1[[#This Row],[Cost]]</f>
        <v>809.6824468085124</v>
      </c>
      <c r="Q739" s="6">
        <f>IF(Table1[[#This Row],[UnitsSold]]*Table1[[#This Row],[UnitPrice]]*(1-Table1[[#This Row],[Discount]])=0, 0, ((Table1[[#This Row],[UnitsSold]]*Table1[[#This Row],[UnitPrice]]*(1-Table1[[#This Row],[Discount]])) - (Table1[[#This Row],[UnitsSold]]*Table1[[#This Row],[UnitPrice]]*0.7)) / (Table1[[#This Row],[UnitsSold]]*Table1[[#This Row],[UnitPrice]]*(1-Table1[[#This Row],[Discount]])))</f>
        <v>6.6666666666666805E-2</v>
      </c>
    </row>
    <row r="740" spans="1:17" x14ac:dyDescent="0.2">
      <c r="A740" t="s">
        <v>242</v>
      </c>
      <c r="B740" s="1">
        <v>45017</v>
      </c>
      <c r="C740" t="s">
        <v>24</v>
      </c>
      <c r="D740" t="s">
        <v>19</v>
      </c>
      <c r="E740" t="s">
        <v>44</v>
      </c>
      <c r="F740" t="s">
        <v>26</v>
      </c>
      <c r="G740">
        <v>6</v>
      </c>
      <c r="H740">
        <f>Table1[[#This Row],[UnitPrice]]*0.7*Table1[[#This Row],[UnitsSold]]</f>
        <v>5653.4939999999997</v>
      </c>
      <c r="I740">
        <v>1346.07</v>
      </c>
      <c r="J740">
        <v>0.2</v>
      </c>
      <c r="K740" t="s">
        <v>42</v>
      </c>
      <c r="L740" t="s">
        <v>55</v>
      </c>
      <c r="M740" s="3">
        <f t="shared" si="33"/>
        <v>6461.1360000000004</v>
      </c>
      <c r="N740" t="str">
        <f t="shared" si="34"/>
        <v>April</v>
      </c>
      <c r="O740" t="str">
        <f t="shared" si="35"/>
        <v>2023</v>
      </c>
      <c r="P740" s="3">
        <f>Table1[[#This Row],[Revenue]]-Table1[[#This Row],[Cost]]</f>
        <v>807.64200000000073</v>
      </c>
      <c r="Q740" s="6">
        <f>IF(Table1[[#This Row],[UnitsSold]]*Table1[[#This Row],[UnitPrice]]*(1-Table1[[#This Row],[Discount]])=0, 0, ((Table1[[#This Row],[UnitsSold]]*Table1[[#This Row],[UnitPrice]]*(1-Table1[[#This Row],[Discount]])) - (Table1[[#This Row],[UnitsSold]]*Table1[[#This Row],[UnitPrice]]*0.7)) / (Table1[[#This Row],[UnitsSold]]*Table1[[#This Row],[UnitPrice]]*(1-Table1[[#This Row],[Discount]])))</f>
        <v>0.12500000000000011</v>
      </c>
    </row>
    <row r="741" spans="1:17" x14ac:dyDescent="0.2">
      <c r="A741" t="s">
        <v>75</v>
      </c>
      <c r="B741" s="1">
        <v>45037</v>
      </c>
      <c r="C741" t="s">
        <v>12</v>
      </c>
      <c r="D741" t="s">
        <v>13</v>
      </c>
      <c r="E741" t="s">
        <v>44</v>
      </c>
      <c r="F741" t="s">
        <v>26</v>
      </c>
      <c r="G741">
        <v>0</v>
      </c>
      <c r="H741">
        <f>Table1[[#This Row],[UnitPrice]]*0.7*Table1[[#This Row],[UnitsSold]]</f>
        <v>0</v>
      </c>
      <c r="I741">
        <v>1079.5765957446808</v>
      </c>
      <c r="J741">
        <v>0</v>
      </c>
      <c r="K741" t="s">
        <v>283</v>
      </c>
      <c r="L741" t="s">
        <v>27</v>
      </c>
      <c r="M741" s="3">
        <f t="shared" si="33"/>
        <v>0</v>
      </c>
      <c r="N741" t="str">
        <f t="shared" si="34"/>
        <v>April</v>
      </c>
      <c r="O741" t="str">
        <f t="shared" si="35"/>
        <v>2023</v>
      </c>
      <c r="P741" s="3">
        <f>Table1[[#This Row],[Revenue]]-Table1[[#This Row],[Cost]]</f>
        <v>0</v>
      </c>
      <c r="Q74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42" spans="1:17" x14ac:dyDescent="0.2">
      <c r="A742" t="s">
        <v>185</v>
      </c>
      <c r="B742" s="1">
        <v>45280</v>
      </c>
      <c r="C742" t="s">
        <v>24</v>
      </c>
      <c r="D742" t="s">
        <v>83</v>
      </c>
      <c r="E742" t="s">
        <v>46</v>
      </c>
      <c r="F742" t="s">
        <v>26</v>
      </c>
      <c r="G742">
        <v>1</v>
      </c>
      <c r="H742">
        <f>Table1[[#This Row],[UnitPrice]]*0.7*Table1[[#This Row],[UnitsSold]]</f>
        <v>1082.9699999999998</v>
      </c>
      <c r="I742">
        <v>1547.1</v>
      </c>
      <c r="J742">
        <v>0</v>
      </c>
      <c r="K742" t="s">
        <v>16</v>
      </c>
      <c r="L742" t="s">
        <v>249</v>
      </c>
      <c r="M742" s="3">
        <f t="shared" si="33"/>
        <v>1547.1</v>
      </c>
      <c r="N742" t="str">
        <f t="shared" si="34"/>
        <v>December</v>
      </c>
      <c r="O742" t="str">
        <f t="shared" si="35"/>
        <v>2023</v>
      </c>
      <c r="P742" s="3">
        <f>Table1[[#This Row],[Revenue]]-Table1[[#This Row],[Cost]]</f>
        <v>464.13000000000011</v>
      </c>
      <c r="Q74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743" spans="1:17" x14ac:dyDescent="0.2">
      <c r="A743" t="s">
        <v>126</v>
      </c>
      <c r="B743" s="1">
        <v>44935</v>
      </c>
      <c r="C743" t="s">
        <v>57</v>
      </c>
      <c r="D743" t="s">
        <v>19</v>
      </c>
      <c r="E743" t="s">
        <v>46</v>
      </c>
      <c r="F743" t="s">
        <v>26</v>
      </c>
      <c r="G743">
        <v>0</v>
      </c>
      <c r="H743">
        <f>Table1[[#This Row],[UnitPrice]]*0.7*Table1[[#This Row],[UnitsSold]]</f>
        <v>0</v>
      </c>
      <c r="I743">
        <v>1341.21</v>
      </c>
      <c r="J743">
        <v>0.28999999999999998</v>
      </c>
      <c r="K743" t="s">
        <v>283</v>
      </c>
      <c r="L743" t="s">
        <v>249</v>
      </c>
      <c r="M743" s="3">
        <f t="shared" si="33"/>
        <v>0</v>
      </c>
      <c r="N743" t="str">
        <f t="shared" si="34"/>
        <v>January</v>
      </c>
      <c r="O743" t="str">
        <f t="shared" si="35"/>
        <v>2023</v>
      </c>
      <c r="P743" s="3">
        <f>Table1[[#This Row],[Revenue]]-Table1[[#This Row],[Cost]]</f>
        <v>0</v>
      </c>
      <c r="Q74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44" spans="1:17" x14ac:dyDescent="0.2">
      <c r="A744" t="s">
        <v>165</v>
      </c>
      <c r="B744" s="1">
        <v>45012</v>
      </c>
      <c r="C744" t="s">
        <v>12</v>
      </c>
      <c r="D744" t="s">
        <v>83</v>
      </c>
      <c r="E744" t="s">
        <v>44</v>
      </c>
      <c r="F744" t="s">
        <v>26</v>
      </c>
      <c r="G744">
        <v>0</v>
      </c>
      <c r="H744">
        <f>Table1[[#This Row],[UnitPrice]]*0.7*Table1[[#This Row],[UnitsSold]]</f>
        <v>0</v>
      </c>
      <c r="I744">
        <v>1128.49</v>
      </c>
      <c r="J744">
        <v>0</v>
      </c>
      <c r="K744" t="s">
        <v>42</v>
      </c>
      <c r="L744" t="s">
        <v>22</v>
      </c>
      <c r="M744" s="3">
        <f t="shared" si="33"/>
        <v>0</v>
      </c>
      <c r="N744" t="str">
        <f t="shared" si="34"/>
        <v>March</v>
      </c>
      <c r="O744" t="str">
        <f t="shared" si="35"/>
        <v>2023</v>
      </c>
      <c r="P744" s="3">
        <f>Table1[[#This Row],[Revenue]]-Table1[[#This Row],[Cost]]</f>
        <v>0</v>
      </c>
      <c r="Q74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45" spans="1:17" x14ac:dyDescent="0.2">
      <c r="A745" t="s">
        <v>131</v>
      </c>
      <c r="B745" s="1">
        <v>45045</v>
      </c>
      <c r="C745" t="s">
        <v>37</v>
      </c>
      <c r="D745" t="s">
        <v>19</v>
      </c>
      <c r="E745" t="s">
        <v>14</v>
      </c>
      <c r="F745" t="s">
        <v>26</v>
      </c>
      <c r="G745">
        <v>6</v>
      </c>
      <c r="H745">
        <f>Table1[[#This Row],[UnitPrice]]*0.7*Table1[[#This Row],[UnitsSold]]</f>
        <v>4212.0557872340423</v>
      </c>
      <c r="I745">
        <v>1002.870425531915</v>
      </c>
      <c r="J745">
        <v>0</v>
      </c>
      <c r="K745" t="s">
        <v>42</v>
      </c>
      <c r="L745" t="s">
        <v>249</v>
      </c>
      <c r="M745" s="3">
        <f t="shared" si="33"/>
        <v>6017.2225531914901</v>
      </c>
      <c r="N745" t="str">
        <f t="shared" si="34"/>
        <v>April</v>
      </c>
      <c r="O745" t="str">
        <f t="shared" si="35"/>
        <v>2023</v>
      </c>
      <c r="P745" s="3">
        <f>Table1[[#This Row],[Revenue]]-Table1[[#This Row],[Cost]]</f>
        <v>1805.1667659574478</v>
      </c>
      <c r="Q745"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746" spans="1:17" x14ac:dyDescent="0.2">
      <c r="A746" t="s">
        <v>207</v>
      </c>
      <c r="B746" s="1">
        <v>45263</v>
      </c>
      <c r="C746" t="s">
        <v>24</v>
      </c>
      <c r="D746" t="s">
        <v>13</v>
      </c>
      <c r="E746" t="s">
        <v>44</v>
      </c>
      <c r="F746" t="s">
        <v>26</v>
      </c>
      <c r="G746">
        <v>2</v>
      </c>
      <c r="H746">
        <f>Table1[[#This Row],[UnitPrice]]*0.7*Table1[[#This Row],[UnitsSold]]</f>
        <v>1511.407234042553</v>
      </c>
      <c r="I746">
        <v>1079.5765957446808</v>
      </c>
      <c r="J746">
        <v>0</v>
      </c>
      <c r="K746" t="s">
        <v>42</v>
      </c>
      <c r="L746" t="s">
        <v>27</v>
      </c>
      <c r="M746" s="3">
        <f t="shared" si="33"/>
        <v>2159.1531914893617</v>
      </c>
      <c r="N746" t="str">
        <f t="shared" si="34"/>
        <v>December</v>
      </c>
      <c r="O746" t="str">
        <f t="shared" si="35"/>
        <v>2023</v>
      </c>
      <c r="P746" s="3">
        <f>Table1[[#This Row],[Revenue]]-Table1[[#This Row],[Cost]]</f>
        <v>647.74595744680869</v>
      </c>
      <c r="Q746"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747" spans="1:17" x14ac:dyDescent="0.2">
      <c r="A747" t="s">
        <v>195</v>
      </c>
      <c r="B747" s="1">
        <v>45201</v>
      </c>
      <c r="C747" t="s">
        <v>246</v>
      </c>
      <c r="D747" t="s">
        <v>59</v>
      </c>
      <c r="E747" t="s">
        <v>46</v>
      </c>
      <c r="F747" t="s">
        <v>26</v>
      </c>
      <c r="G747">
        <v>0</v>
      </c>
      <c r="H747">
        <f>Table1[[#This Row],[UnitPrice]]*0.7*Table1[[#This Row],[UnitsSold]]</f>
        <v>0</v>
      </c>
      <c r="I747">
        <v>1106.0261904761899</v>
      </c>
      <c r="J747">
        <v>0</v>
      </c>
      <c r="K747" t="s">
        <v>16</v>
      </c>
      <c r="L747" t="s">
        <v>55</v>
      </c>
      <c r="M747" s="3">
        <f t="shared" si="33"/>
        <v>0</v>
      </c>
      <c r="N747" t="str">
        <f t="shared" si="34"/>
        <v>October</v>
      </c>
      <c r="O747" t="str">
        <f t="shared" si="35"/>
        <v>2023</v>
      </c>
      <c r="P747" s="3">
        <f>Table1[[#This Row],[Revenue]]-Table1[[#This Row],[Cost]]</f>
        <v>0</v>
      </c>
      <c r="Q74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48" spans="1:17" x14ac:dyDescent="0.2">
      <c r="A748" t="s">
        <v>117</v>
      </c>
      <c r="B748" s="1">
        <v>45252</v>
      </c>
      <c r="C748" t="s">
        <v>29</v>
      </c>
      <c r="D748" t="s">
        <v>267</v>
      </c>
      <c r="E748" t="s">
        <v>48</v>
      </c>
      <c r="F748" t="s">
        <v>39</v>
      </c>
      <c r="G748">
        <v>0</v>
      </c>
      <c r="H748">
        <f>Table1[[#This Row],[UnitPrice]]*0.7*Table1[[#This Row],[UnitsSold]]</f>
        <v>0</v>
      </c>
      <c r="I748">
        <v>1017.3087234042553</v>
      </c>
      <c r="J748">
        <v>0</v>
      </c>
      <c r="K748" t="s">
        <v>283</v>
      </c>
      <c r="L748" t="s">
        <v>249</v>
      </c>
      <c r="M748" s="3">
        <f t="shared" si="33"/>
        <v>0</v>
      </c>
      <c r="N748" t="str">
        <f t="shared" si="34"/>
        <v>November</v>
      </c>
      <c r="O748" t="str">
        <f t="shared" si="35"/>
        <v>2023</v>
      </c>
      <c r="P748" s="3">
        <f>Table1[[#This Row],[Revenue]]-Table1[[#This Row],[Cost]]</f>
        <v>0</v>
      </c>
      <c r="Q74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49" spans="1:17" x14ac:dyDescent="0.2">
      <c r="A749" t="s">
        <v>238</v>
      </c>
      <c r="B749" s="1">
        <v>45227</v>
      </c>
      <c r="C749" t="s">
        <v>12</v>
      </c>
      <c r="D749" t="s">
        <v>19</v>
      </c>
      <c r="E749" t="s">
        <v>46</v>
      </c>
      <c r="F749" t="s">
        <v>26</v>
      </c>
      <c r="G749">
        <v>0</v>
      </c>
      <c r="H749">
        <f>Table1[[#This Row],[UnitPrice]]*0.7*Table1[[#This Row],[UnitsSold]]</f>
        <v>0</v>
      </c>
      <c r="I749">
        <v>1106.0261904761899</v>
      </c>
      <c r="J749">
        <v>0</v>
      </c>
      <c r="K749" t="s">
        <v>16</v>
      </c>
      <c r="L749" t="s">
        <v>27</v>
      </c>
      <c r="M749" s="3">
        <f t="shared" si="33"/>
        <v>0</v>
      </c>
      <c r="N749" t="str">
        <f t="shared" si="34"/>
        <v>October</v>
      </c>
      <c r="O749" t="str">
        <f t="shared" si="35"/>
        <v>2023</v>
      </c>
      <c r="P749" s="3">
        <f>Table1[[#This Row],[Revenue]]-Table1[[#This Row],[Cost]]</f>
        <v>0</v>
      </c>
      <c r="Q74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50" spans="1:17" x14ac:dyDescent="0.2">
      <c r="A750" t="s">
        <v>138</v>
      </c>
      <c r="B750" s="1">
        <v>45118</v>
      </c>
      <c r="C750" t="s">
        <v>57</v>
      </c>
      <c r="D750" t="s">
        <v>59</v>
      </c>
      <c r="E750" t="s">
        <v>247</v>
      </c>
      <c r="F750" t="s">
        <v>26</v>
      </c>
      <c r="G750">
        <v>13</v>
      </c>
      <c r="H750">
        <f>Table1[[#This Row],[UnitPrice]]*0.7*Table1[[#This Row],[UnitsSold]]</f>
        <v>11717.706</v>
      </c>
      <c r="I750">
        <v>1287.6600000000001</v>
      </c>
      <c r="J750">
        <v>0</v>
      </c>
      <c r="K750" t="s">
        <v>42</v>
      </c>
      <c r="L750" t="s">
        <v>55</v>
      </c>
      <c r="M750" s="3">
        <f t="shared" si="33"/>
        <v>16739.580000000002</v>
      </c>
      <c r="N750" t="str">
        <f t="shared" si="34"/>
        <v>July</v>
      </c>
      <c r="O750" t="str">
        <f t="shared" si="35"/>
        <v>2023</v>
      </c>
      <c r="P750" s="3">
        <f>Table1[[#This Row],[Revenue]]-Table1[[#This Row],[Cost]]</f>
        <v>5021.8740000000016</v>
      </c>
      <c r="Q75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751" spans="1:17" x14ac:dyDescent="0.2">
      <c r="A751" t="s">
        <v>141</v>
      </c>
      <c r="B751" s="1">
        <v>45069</v>
      </c>
      <c r="C751" t="s">
        <v>29</v>
      </c>
      <c r="D751" t="s">
        <v>13</v>
      </c>
      <c r="E751" t="s">
        <v>25</v>
      </c>
      <c r="F751" t="s">
        <v>26</v>
      </c>
      <c r="G751">
        <v>0</v>
      </c>
      <c r="H751">
        <f>Table1[[#This Row],[UnitPrice]]*0.7*Table1[[#This Row],[UnitsSold]]</f>
        <v>0</v>
      </c>
      <c r="I751">
        <v>961.05661016949136</v>
      </c>
      <c r="J751">
        <v>0.23</v>
      </c>
      <c r="K751" t="s">
        <v>283</v>
      </c>
      <c r="L751" t="s">
        <v>55</v>
      </c>
      <c r="M751" s="3">
        <f t="shared" si="33"/>
        <v>0</v>
      </c>
      <c r="N751" t="str">
        <f t="shared" si="34"/>
        <v>May</v>
      </c>
      <c r="O751" t="str">
        <f t="shared" si="35"/>
        <v>2023</v>
      </c>
      <c r="P751" s="3">
        <f>Table1[[#This Row],[Revenue]]-Table1[[#This Row],[Cost]]</f>
        <v>0</v>
      </c>
      <c r="Q75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52" spans="1:17" x14ac:dyDescent="0.2">
      <c r="A752" t="s">
        <v>216</v>
      </c>
      <c r="B752" s="1">
        <v>45051</v>
      </c>
      <c r="C752" t="s">
        <v>37</v>
      </c>
      <c r="D752" t="s">
        <v>31</v>
      </c>
      <c r="E752" t="s">
        <v>46</v>
      </c>
      <c r="F752" t="s">
        <v>26</v>
      </c>
      <c r="G752">
        <v>0</v>
      </c>
      <c r="H752">
        <f>Table1[[#This Row],[UnitPrice]]*0.7*Table1[[#This Row],[UnitsSold]]</f>
        <v>0</v>
      </c>
      <c r="I752">
        <v>1106.0261904761899</v>
      </c>
      <c r="J752">
        <v>0</v>
      </c>
      <c r="K752" t="s">
        <v>283</v>
      </c>
      <c r="L752" t="s">
        <v>27</v>
      </c>
      <c r="M752" s="3">
        <f t="shared" si="33"/>
        <v>0</v>
      </c>
      <c r="N752" t="str">
        <f t="shared" si="34"/>
        <v>May</v>
      </c>
      <c r="O752" t="str">
        <f t="shared" si="35"/>
        <v>2023</v>
      </c>
      <c r="P752" s="3">
        <f>Table1[[#This Row],[Revenue]]-Table1[[#This Row],[Cost]]</f>
        <v>0</v>
      </c>
      <c r="Q75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53" spans="1:17" x14ac:dyDescent="0.2">
      <c r="A753" t="s">
        <v>207</v>
      </c>
      <c r="B753" s="1">
        <v>45178</v>
      </c>
      <c r="C753" t="s">
        <v>12</v>
      </c>
      <c r="D753" t="s">
        <v>19</v>
      </c>
      <c r="E753" t="s">
        <v>46</v>
      </c>
      <c r="F753" t="s">
        <v>26</v>
      </c>
      <c r="G753">
        <v>7</v>
      </c>
      <c r="H753">
        <f>Table1[[#This Row],[UnitPrice]]*0.7*Table1[[#This Row],[UnitsSold]]</f>
        <v>5419.52833333333</v>
      </c>
      <c r="I753">
        <v>1106.0261904761899</v>
      </c>
      <c r="J753">
        <v>0.16</v>
      </c>
      <c r="K753" t="s">
        <v>16</v>
      </c>
      <c r="L753" t="s">
        <v>17</v>
      </c>
      <c r="M753" s="3">
        <f t="shared" si="33"/>
        <v>6503.4339999999956</v>
      </c>
      <c r="N753" t="str">
        <f t="shared" si="34"/>
        <v>September</v>
      </c>
      <c r="O753" t="str">
        <f t="shared" si="35"/>
        <v>2023</v>
      </c>
      <c r="P753" s="3">
        <f>Table1[[#This Row],[Revenue]]-Table1[[#This Row],[Cost]]</f>
        <v>1083.9056666666656</v>
      </c>
      <c r="Q753" s="6">
        <f>IF(Table1[[#This Row],[UnitsSold]]*Table1[[#This Row],[UnitPrice]]*(1-Table1[[#This Row],[Discount]])=0, 0, ((Table1[[#This Row],[UnitsSold]]*Table1[[#This Row],[UnitPrice]]*(1-Table1[[#This Row],[Discount]])) - (Table1[[#This Row],[UnitsSold]]*Table1[[#This Row],[UnitPrice]]*0.7)) / (Table1[[#This Row],[UnitsSold]]*Table1[[#This Row],[UnitPrice]]*(1-Table1[[#This Row],[Discount]])))</f>
        <v>0.16666666666666663</v>
      </c>
    </row>
    <row r="754" spans="1:17" x14ac:dyDescent="0.2">
      <c r="A754" t="s">
        <v>236</v>
      </c>
      <c r="B754" s="1">
        <v>45145</v>
      </c>
      <c r="C754" t="s">
        <v>57</v>
      </c>
      <c r="D754" t="s">
        <v>59</v>
      </c>
      <c r="E754" t="s">
        <v>247</v>
      </c>
      <c r="F754" t="s">
        <v>26</v>
      </c>
      <c r="G754">
        <v>0</v>
      </c>
      <c r="H754">
        <f>Table1[[#This Row],[UnitPrice]]*0.7*Table1[[#This Row],[UnitsSold]]</f>
        <v>0</v>
      </c>
      <c r="I754">
        <v>361.11</v>
      </c>
      <c r="J754">
        <v>0</v>
      </c>
      <c r="K754" t="s">
        <v>42</v>
      </c>
      <c r="L754" t="s">
        <v>249</v>
      </c>
      <c r="M754" s="3">
        <f t="shared" si="33"/>
        <v>0</v>
      </c>
      <c r="N754" t="str">
        <f t="shared" si="34"/>
        <v>August</v>
      </c>
      <c r="O754" t="str">
        <f t="shared" si="35"/>
        <v>2023</v>
      </c>
      <c r="P754" s="3">
        <f>Table1[[#This Row],[Revenue]]-Table1[[#This Row],[Cost]]</f>
        <v>0</v>
      </c>
      <c r="Q75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55" spans="1:17" x14ac:dyDescent="0.2">
      <c r="A755" t="s">
        <v>175</v>
      </c>
      <c r="B755" s="1">
        <v>45327</v>
      </c>
      <c r="C755" t="s">
        <v>57</v>
      </c>
      <c r="D755" t="s">
        <v>19</v>
      </c>
      <c r="E755" t="s">
        <v>14</v>
      </c>
      <c r="F755" t="s">
        <v>26</v>
      </c>
      <c r="G755">
        <v>13</v>
      </c>
      <c r="H755">
        <f>Table1[[#This Row],[UnitPrice]]*0.7*Table1[[#This Row],[UnitsSold]]</f>
        <v>9126.1208723404252</v>
      </c>
      <c r="I755">
        <v>1002.870425531915</v>
      </c>
      <c r="J755">
        <v>0</v>
      </c>
      <c r="K755" t="s">
        <v>42</v>
      </c>
      <c r="L755" t="s">
        <v>249</v>
      </c>
      <c r="M755" s="3">
        <f t="shared" si="33"/>
        <v>13037.315531914895</v>
      </c>
      <c r="N755" t="str">
        <f t="shared" si="34"/>
        <v>February</v>
      </c>
      <c r="O755" t="str">
        <f t="shared" si="35"/>
        <v>2024</v>
      </c>
      <c r="P755" s="3">
        <f>Table1[[#This Row],[Revenue]]-Table1[[#This Row],[Cost]]</f>
        <v>3911.1946595744703</v>
      </c>
      <c r="Q755"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756" spans="1:17" x14ac:dyDescent="0.2">
      <c r="A756" t="s">
        <v>215</v>
      </c>
      <c r="B756" s="1">
        <v>44937</v>
      </c>
      <c r="C756" t="s">
        <v>57</v>
      </c>
      <c r="D756" t="s">
        <v>83</v>
      </c>
      <c r="E756" t="s">
        <v>25</v>
      </c>
      <c r="F756" t="s">
        <v>26</v>
      </c>
      <c r="G756">
        <v>0</v>
      </c>
      <c r="H756">
        <f>Table1[[#This Row],[UnitPrice]]*0.7*Table1[[#This Row],[UnitsSold]]</f>
        <v>0</v>
      </c>
      <c r="I756">
        <v>961.05661016949136</v>
      </c>
      <c r="J756">
        <v>0</v>
      </c>
      <c r="K756" t="s">
        <v>42</v>
      </c>
      <c r="L756" t="s">
        <v>22</v>
      </c>
      <c r="M756" s="3">
        <f t="shared" si="33"/>
        <v>0</v>
      </c>
      <c r="N756" t="str">
        <f t="shared" si="34"/>
        <v>January</v>
      </c>
      <c r="O756" t="str">
        <f t="shared" si="35"/>
        <v>2023</v>
      </c>
      <c r="P756" s="3">
        <f>Table1[[#This Row],[Revenue]]-Table1[[#This Row],[Cost]]</f>
        <v>0</v>
      </c>
      <c r="Q75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57" spans="1:17" x14ac:dyDescent="0.2">
      <c r="A757" t="s">
        <v>71</v>
      </c>
      <c r="B757" s="1">
        <v>45159</v>
      </c>
      <c r="C757" t="s">
        <v>24</v>
      </c>
      <c r="D757" t="s">
        <v>83</v>
      </c>
      <c r="E757" t="s">
        <v>44</v>
      </c>
      <c r="F757" t="s">
        <v>26</v>
      </c>
      <c r="G757">
        <v>16</v>
      </c>
      <c r="H757">
        <f>Table1[[#This Row],[UnitPrice]]*0.7*Table1[[#This Row],[UnitsSold]]</f>
        <v>12091.257872340424</v>
      </c>
      <c r="I757">
        <v>1079.5765957446808</v>
      </c>
      <c r="J757">
        <v>0.14000000000000001</v>
      </c>
      <c r="K757" t="s">
        <v>16</v>
      </c>
      <c r="L757" t="s">
        <v>27</v>
      </c>
      <c r="M757" s="3">
        <f t="shared" si="33"/>
        <v>14854.973957446808</v>
      </c>
      <c r="N757" t="str">
        <f t="shared" si="34"/>
        <v>August</v>
      </c>
      <c r="O757" t="str">
        <f t="shared" si="35"/>
        <v>2023</v>
      </c>
      <c r="P757" s="3">
        <f>Table1[[#This Row],[Revenue]]-Table1[[#This Row],[Cost]]</f>
        <v>2763.7160851063836</v>
      </c>
      <c r="Q757" s="6">
        <f>IF(Table1[[#This Row],[UnitsSold]]*Table1[[#This Row],[UnitPrice]]*(1-Table1[[#This Row],[Discount]])=0, 0, ((Table1[[#This Row],[UnitsSold]]*Table1[[#This Row],[UnitPrice]]*(1-Table1[[#This Row],[Discount]])) - (Table1[[#This Row],[UnitsSold]]*Table1[[#This Row],[UnitPrice]]*0.7)) / (Table1[[#This Row],[UnitsSold]]*Table1[[#This Row],[UnitPrice]]*(1-Table1[[#This Row],[Discount]])))</f>
        <v>0.18604651162790703</v>
      </c>
    </row>
    <row r="758" spans="1:17" x14ac:dyDescent="0.2">
      <c r="A758" t="s">
        <v>243</v>
      </c>
      <c r="B758" s="1">
        <v>45183</v>
      </c>
      <c r="C758" t="s">
        <v>29</v>
      </c>
      <c r="D758" t="s">
        <v>83</v>
      </c>
      <c r="E758" t="s">
        <v>38</v>
      </c>
      <c r="F758" t="s">
        <v>34</v>
      </c>
      <c r="G758">
        <v>0</v>
      </c>
      <c r="H758">
        <f>Table1[[#This Row],[UnitPrice]]*0.7*Table1[[#This Row],[UnitsSold]]</f>
        <v>0</v>
      </c>
      <c r="I758">
        <v>936.79681818181825</v>
      </c>
      <c r="J758">
        <v>0</v>
      </c>
      <c r="K758" t="s">
        <v>16</v>
      </c>
      <c r="L758" t="s">
        <v>22</v>
      </c>
      <c r="M758" s="3">
        <f t="shared" si="33"/>
        <v>0</v>
      </c>
      <c r="N758" t="str">
        <f t="shared" si="34"/>
        <v>September</v>
      </c>
      <c r="O758" t="str">
        <f t="shared" si="35"/>
        <v>2023</v>
      </c>
      <c r="P758" s="3">
        <f>Table1[[#This Row],[Revenue]]-Table1[[#This Row],[Cost]]</f>
        <v>0</v>
      </c>
      <c r="Q75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59" spans="1:17" x14ac:dyDescent="0.2">
      <c r="A759" t="s">
        <v>73</v>
      </c>
      <c r="B759" s="1">
        <v>44990</v>
      </c>
      <c r="C759" t="s">
        <v>57</v>
      </c>
      <c r="D759" t="s">
        <v>31</v>
      </c>
      <c r="E759" t="s">
        <v>247</v>
      </c>
      <c r="F759" t="s">
        <v>26</v>
      </c>
      <c r="G759">
        <v>0</v>
      </c>
      <c r="H759">
        <f>Table1[[#This Row],[UnitPrice]]*0.7*Table1[[#This Row],[UnitsSold]]</f>
        <v>0</v>
      </c>
      <c r="I759">
        <v>981.36020408163256</v>
      </c>
      <c r="J759">
        <v>0</v>
      </c>
      <c r="K759" t="s">
        <v>42</v>
      </c>
      <c r="L759" t="s">
        <v>55</v>
      </c>
      <c r="M759" s="3">
        <f t="shared" si="33"/>
        <v>0</v>
      </c>
      <c r="N759" t="str">
        <f t="shared" si="34"/>
        <v>March</v>
      </c>
      <c r="O759" t="str">
        <f t="shared" si="35"/>
        <v>2023</v>
      </c>
      <c r="P759" s="3">
        <f>Table1[[#This Row],[Revenue]]-Table1[[#This Row],[Cost]]</f>
        <v>0</v>
      </c>
      <c r="Q75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60" spans="1:17" x14ac:dyDescent="0.2">
      <c r="A760" t="s">
        <v>65</v>
      </c>
      <c r="B760" s="1">
        <v>44956</v>
      </c>
      <c r="C760" t="s">
        <v>57</v>
      </c>
      <c r="D760" t="s">
        <v>83</v>
      </c>
      <c r="E760" t="s">
        <v>48</v>
      </c>
      <c r="F760" t="s">
        <v>39</v>
      </c>
      <c r="G760">
        <v>0</v>
      </c>
      <c r="H760">
        <f>Table1[[#This Row],[UnitPrice]]*0.7*Table1[[#This Row],[UnitsSold]]</f>
        <v>0</v>
      </c>
      <c r="I760">
        <v>1017.3087234042553</v>
      </c>
      <c r="J760">
        <v>0</v>
      </c>
      <c r="K760" t="s">
        <v>16</v>
      </c>
      <c r="L760" t="s">
        <v>249</v>
      </c>
      <c r="M760" s="3">
        <f t="shared" si="33"/>
        <v>0</v>
      </c>
      <c r="N760" t="str">
        <f t="shared" si="34"/>
        <v>January</v>
      </c>
      <c r="O760" t="str">
        <f t="shared" si="35"/>
        <v>2023</v>
      </c>
      <c r="P760" s="3">
        <f>Table1[[#This Row],[Revenue]]-Table1[[#This Row],[Cost]]</f>
        <v>0</v>
      </c>
      <c r="Q76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61" spans="1:17" x14ac:dyDescent="0.2">
      <c r="A761" t="s">
        <v>206</v>
      </c>
      <c r="B761" s="1">
        <v>45236</v>
      </c>
      <c r="C761" t="s">
        <v>57</v>
      </c>
      <c r="D761" t="s">
        <v>13</v>
      </c>
      <c r="E761" t="s">
        <v>247</v>
      </c>
      <c r="F761" t="s">
        <v>26</v>
      </c>
      <c r="G761">
        <v>0</v>
      </c>
      <c r="H761">
        <f>Table1[[#This Row],[UnitPrice]]*0.7*Table1[[#This Row],[UnitsSold]]</f>
        <v>0</v>
      </c>
      <c r="I761">
        <v>981.36020408163256</v>
      </c>
      <c r="J761">
        <v>0.25</v>
      </c>
      <c r="K761" t="s">
        <v>16</v>
      </c>
      <c r="L761" t="s">
        <v>27</v>
      </c>
      <c r="M761" s="3">
        <f t="shared" si="33"/>
        <v>0</v>
      </c>
      <c r="N761" t="str">
        <f t="shared" si="34"/>
        <v>November</v>
      </c>
      <c r="O761" t="str">
        <f t="shared" si="35"/>
        <v>2023</v>
      </c>
      <c r="P761" s="3">
        <f>Table1[[#This Row],[Revenue]]-Table1[[#This Row],[Cost]]</f>
        <v>0</v>
      </c>
      <c r="Q76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62" spans="1:17" x14ac:dyDescent="0.2">
      <c r="A762" t="s">
        <v>222</v>
      </c>
      <c r="B762" s="1">
        <v>45291</v>
      </c>
      <c r="C762" t="s">
        <v>57</v>
      </c>
      <c r="D762" t="s">
        <v>83</v>
      </c>
      <c r="E762" t="s">
        <v>48</v>
      </c>
      <c r="F762" t="s">
        <v>39</v>
      </c>
      <c r="G762">
        <v>0</v>
      </c>
      <c r="H762">
        <f>Table1[[#This Row],[UnitPrice]]*0.7*Table1[[#This Row],[UnitsSold]]</f>
        <v>0</v>
      </c>
      <c r="I762">
        <v>1017.3087234042553</v>
      </c>
      <c r="J762">
        <v>0</v>
      </c>
      <c r="K762" t="s">
        <v>52</v>
      </c>
      <c r="L762" t="s">
        <v>55</v>
      </c>
      <c r="M762" s="3">
        <f t="shared" si="33"/>
        <v>0</v>
      </c>
      <c r="N762" t="str">
        <f t="shared" si="34"/>
        <v>December</v>
      </c>
      <c r="O762" t="str">
        <f t="shared" si="35"/>
        <v>2023</v>
      </c>
      <c r="P762" s="3">
        <f>Table1[[#This Row],[Revenue]]-Table1[[#This Row],[Cost]]</f>
        <v>0</v>
      </c>
      <c r="Q76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63" spans="1:17" x14ac:dyDescent="0.2">
      <c r="A763" t="s">
        <v>238</v>
      </c>
      <c r="B763" s="1">
        <v>45199</v>
      </c>
      <c r="C763" t="s">
        <v>57</v>
      </c>
      <c r="D763" t="s">
        <v>31</v>
      </c>
      <c r="E763" t="s">
        <v>14</v>
      </c>
      <c r="F763" t="s">
        <v>26</v>
      </c>
      <c r="G763">
        <v>3</v>
      </c>
      <c r="H763">
        <f>Table1[[#This Row],[UnitPrice]]*0.7*Table1[[#This Row],[UnitsSold]]</f>
        <v>2106.0278936170212</v>
      </c>
      <c r="I763">
        <v>1002.870425531915</v>
      </c>
      <c r="J763">
        <v>0</v>
      </c>
      <c r="K763" t="s">
        <v>283</v>
      </c>
      <c r="L763" t="s">
        <v>249</v>
      </c>
      <c r="M763" s="3">
        <f t="shared" si="33"/>
        <v>3008.611276595745</v>
      </c>
      <c r="N763" t="str">
        <f t="shared" si="34"/>
        <v>September</v>
      </c>
      <c r="O763" t="str">
        <f t="shared" si="35"/>
        <v>2023</v>
      </c>
      <c r="P763" s="3">
        <f>Table1[[#This Row],[Revenue]]-Table1[[#This Row],[Cost]]</f>
        <v>902.58338297872388</v>
      </c>
      <c r="Q763"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764" spans="1:17" x14ac:dyDescent="0.2">
      <c r="A764" t="s">
        <v>89</v>
      </c>
      <c r="B764" s="1">
        <v>45130</v>
      </c>
      <c r="C764" t="s">
        <v>24</v>
      </c>
      <c r="D764" t="s">
        <v>19</v>
      </c>
      <c r="E764" t="s">
        <v>247</v>
      </c>
      <c r="F764" t="s">
        <v>26</v>
      </c>
      <c r="G764">
        <v>1</v>
      </c>
      <c r="H764">
        <f>Table1[[#This Row],[UnitPrice]]*0.7*Table1[[#This Row],[UnitsSold]]</f>
        <v>686.9521428571428</v>
      </c>
      <c r="I764">
        <v>981.36020408163256</v>
      </c>
      <c r="J764">
        <v>0</v>
      </c>
      <c r="K764" t="s">
        <v>283</v>
      </c>
      <c r="L764" t="s">
        <v>55</v>
      </c>
      <c r="M764" s="3">
        <f t="shared" si="33"/>
        <v>981.36020408163256</v>
      </c>
      <c r="N764" t="str">
        <f t="shared" si="34"/>
        <v>July</v>
      </c>
      <c r="O764" t="str">
        <f t="shared" si="35"/>
        <v>2023</v>
      </c>
      <c r="P764" s="3">
        <f>Table1[[#This Row],[Revenue]]-Table1[[#This Row],[Cost]]</f>
        <v>294.40806122448976</v>
      </c>
      <c r="Q764"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765" spans="1:17" x14ac:dyDescent="0.2">
      <c r="A765" t="s">
        <v>210</v>
      </c>
      <c r="B765" s="1">
        <v>45147</v>
      </c>
      <c r="C765" t="s">
        <v>246</v>
      </c>
      <c r="D765" t="s">
        <v>19</v>
      </c>
      <c r="E765" t="s">
        <v>14</v>
      </c>
      <c r="F765" t="s">
        <v>26</v>
      </c>
      <c r="G765">
        <v>5</v>
      </c>
      <c r="H765">
        <f>Table1[[#This Row],[UnitPrice]]*0.7*Table1[[#This Row],[UnitsSold]]</f>
        <v>3510.0464893617022</v>
      </c>
      <c r="I765">
        <v>1002.870425531915</v>
      </c>
      <c r="J765">
        <v>0</v>
      </c>
      <c r="K765" t="s">
        <v>248</v>
      </c>
      <c r="L765" t="s">
        <v>249</v>
      </c>
      <c r="M765" s="3">
        <f t="shared" si="33"/>
        <v>5014.3521276595748</v>
      </c>
      <c r="N765" t="str">
        <f t="shared" si="34"/>
        <v>August</v>
      </c>
      <c r="O765" t="str">
        <f t="shared" si="35"/>
        <v>2023</v>
      </c>
      <c r="P765" s="3">
        <f>Table1[[#This Row],[Revenue]]-Table1[[#This Row],[Cost]]</f>
        <v>1504.3056382978725</v>
      </c>
      <c r="Q76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766" spans="1:17" x14ac:dyDescent="0.2">
      <c r="A766" t="s">
        <v>171</v>
      </c>
      <c r="B766" s="1">
        <v>45029</v>
      </c>
      <c r="C766" t="s">
        <v>12</v>
      </c>
      <c r="D766" t="s">
        <v>13</v>
      </c>
      <c r="E766" t="s">
        <v>247</v>
      </c>
      <c r="F766" t="s">
        <v>26</v>
      </c>
      <c r="G766">
        <v>0</v>
      </c>
      <c r="H766">
        <f>Table1[[#This Row],[UnitPrice]]*0.7*Table1[[#This Row],[UnitsSold]]</f>
        <v>0</v>
      </c>
      <c r="I766">
        <v>981.36020408163256</v>
      </c>
      <c r="J766">
        <v>0</v>
      </c>
      <c r="K766" t="s">
        <v>16</v>
      </c>
      <c r="L766" t="s">
        <v>27</v>
      </c>
      <c r="M766" s="3">
        <f t="shared" si="33"/>
        <v>0</v>
      </c>
      <c r="N766" t="str">
        <f t="shared" si="34"/>
        <v>April</v>
      </c>
      <c r="O766" t="str">
        <f t="shared" si="35"/>
        <v>2023</v>
      </c>
      <c r="P766" s="3">
        <f>Table1[[#This Row],[Revenue]]-Table1[[#This Row],[Cost]]</f>
        <v>0</v>
      </c>
      <c r="Q76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67" spans="1:17" x14ac:dyDescent="0.2">
      <c r="A767" t="s">
        <v>30</v>
      </c>
      <c r="B767" s="1">
        <v>44970</v>
      </c>
      <c r="C767" t="s">
        <v>57</v>
      </c>
      <c r="D767" t="s">
        <v>19</v>
      </c>
      <c r="E767" t="s">
        <v>14</v>
      </c>
      <c r="F767" t="s">
        <v>26</v>
      </c>
      <c r="G767">
        <v>11</v>
      </c>
      <c r="H767">
        <f>Table1[[#This Row],[UnitPrice]]*0.7*Table1[[#This Row],[UnitsSold]]</f>
        <v>7722.102276595745</v>
      </c>
      <c r="I767">
        <v>1002.870425531915</v>
      </c>
      <c r="J767">
        <v>0.15</v>
      </c>
      <c r="K767" t="s">
        <v>16</v>
      </c>
      <c r="L767" t="s">
        <v>27</v>
      </c>
      <c r="M767" s="3">
        <f t="shared" si="33"/>
        <v>9376.8384787234045</v>
      </c>
      <c r="N767" t="str">
        <f t="shared" si="34"/>
        <v>February</v>
      </c>
      <c r="O767" t="str">
        <f t="shared" si="35"/>
        <v>2023</v>
      </c>
      <c r="P767" s="3">
        <f>Table1[[#This Row],[Revenue]]-Table1[[#This Row],[Cost]]</f>
        <v>1654.7362021276595</v>
      </c>
      <c r="Q767" s="6">
        <f>IF(Table1[[#This Row],[UnitsSold]]*Table1[[#This Row],[UnitPrice]]*(1-Table1[[#This Row],[Discount]])=0, 0, ((Table1[[#This Row],[UnitsSold]]*Table1[[#This Row],[UnitPrice]]*(1-Table1[[#This Row],[Discount]])) - (Table1[[#This Row],[UnitsSold]]*Table1[[#This Row],[UnitPrice]]*0.7)) / (Table1[[#This Row],[UnitsSold]]*Table1[[#This Row],[UnitPrice]]*(1-Table1[[#This Row],[Discount]])))</f>
        <v>0.1764705882352941</v>
      </c>
    </row>
    <row r="768" spans="1:17" x14ac:dyDescent="0.2">
      <c r="A768" t="s">
        <v>186</v>
      </c>
      <c r="B768" s="1">
        <v>45311</v>
      </c>
      <c r="C768" t="s">
        <v>12</v>
      </c>
      <c r="D768" t="s">
        <v>13</v>
      </c>
      <c r="E768" t="s">
        <v>44</v>
      </c>
      <c r="F768" t="s">
        <v>26</v>
      </c>
      <c r="G768">
        <v>4</v>
      </c>
      <c r="H768">
        <f>Table1[[#This Row],[UnitPrice]]*0.7*Table1[[#This Row],[UnitsSold]]</f>
        <v>2938.46</v>
      </c>
      <c r="I768">
        <v>1049.45</v>
      </c>
      <c r="J768">
        <v>0</v>
      </c>
      <c r="K768" t="s">
        <v>52</v>
      </c>
      <c r="L768" t="s">
        <v>22</v>
      </c>
      <c r="M768" s="3">
        <f t="shared" si="33"/>
        <v>4197.8</v>
      </c>
      <c r="N768" t="str">
        <f t="shared" si="34"/>
        <v>January</v>
      </c>
      <c r="O768" t="str">
        <f t="shared" si="35"/>
        <v>2024</v>
      </c>
      <c r="P768" s="3">
        <f>Table1[[#This Row],[Revenue]]-Table1[[#This Row],[Cost]]</f>
        <v>1259.3400000000001</v>
      </c>
      <c r="Q768"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769" spans="1:17" x14ac:dyDescent="0.2">
      <c r="A769" t="s">
        <v>205</v>
      </c>
      <c r="B769" s="1">
        <v>45314</v>
      </c>
      <c r="C769" t="s">
        <v>29</v>
      </c>
      <c r="D769" t="s">
        <v>31</v>
      </c>
      <c r="E769" t="s">
        <v>38</v>
      </c>
      <c r="F769" t="s">
        <v>34</v>
      </c>
      <c r="G769">
        <v>0</v>
      </c>
      <c r="H769">
        <f>Table1[[#This Row],[UnitPrice]]*0.7*Table1[[#This Row],[UnitsSold]]</f>
        <v>0</v>
      </c>
      <c r="I769">
        <v>936.79681818181825</v>
      </c>
      <c r="J769">
        <v>0</v>
      </c>
      <c r="K769" t="s">
        <v>283</v>
      </c>
      <c r="L769" t="s">
        <v>22</v>
      </c>
      <c r="M769" s="3">
        <f t="shared" si="33"/>
        <v>0</v>
      </c>
      <c r="N769" t="str">
        <f t="shared" si="34"/>
        <v>January</v>
      </c>
      <c r="O769" t="str">
        <f t="shared" si="35"/>
        <v>2024</v>
      </c>
      <c r="P769" s="3">
        <f>Table1[[#This Row],[Revenue]]-Table1[[#This Row],[Cost]]</f>
        <v>0</v>
      </c>
      <c r="Q76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70" spans="1:17" x14ac:dyDescent="0.2">
      <c r="A770" t="s">
        <v>166</v>
      </c>
      <c r="B770" s="1">
        <v>45239</v>
      </c>
      <c r="C770" t="s">
        <v>12</v>
      </c>
      <c r="D770" t="s">
        <v>59</v>
      </c>
      <c r="E770" t="s">
        <v>25</v>
      </c>
      <c r="F770" t="s">
        <v>26</v>
      </c>
      <c r="G770">
        <v>4</v>
      </c>
      <c r="H770">
        <f>Table1[[#This Row],[UnitPrice]]*0.7*Table1[[#This Row],[UnitsSold]]</f>
        <v>2690.9585084745759</v>
      </c>
      <c r="I770">
        <v>961.05661016949136</v>
      </c>
      <c r="J770">
        <v>0.12</v>
      </c>
      <c r="K770" t="s">
        <v>16</v>
      </c>
      <c r="L770" t="s">
        <v>17</v>
      </c>
      <c r="M770" s="3">
        <f t="shared" ref="M770:M833" si="36">G770*I770*(1-J770)</f>
        <v>3382.9192677966098</v>
      </c>
      <c r="N770" t="str">
        <f t="shared" ref="N770:N833" si="37">TEXT(B770, "mmmm")</f>
        <v>November</v>
      </c>
      <c r="O770" t="str">
        <f t="shared" ref="O770:O833" si="38">TEXT(B770, "yyyy")</f>
        <v>2023</v>
      </c>
      <c r="P770" s="3">
        <f>Table1[[#This Row],[Revenue]]-Table1[[#This Row],[Cost]]</f>
        <v>691.96075932203394</v>
      </c>
      <c r="Q770" s="6">
        <f>IF(Table1[[#This Row],[UnitsSold]]*Table1[[#This Row],[UnitPrice]]*(1-Table1[[#This Row],[Discount]])=0, 0, ((Table1[[#This Row],[UnitsSold]]*Table1[[#This Row],[UnitPrice]]*(1-Table1[[#This Row],[Discount]])) - (Table1[[#This Row],[UnitsSold]]*Table1[[#This Row],[UnitPrice]]*0.7)) / (Table1[[#This Row],[UnitsSold]]*Table1[[#This Row],[UnitPrice]]*(1-Table1[[#This Row],[Discount]])))</f>
        <v>0.20454545454545459</v>
      </c>
    </row>
    <row r="771" spans="1:17" x14ac:dyDescent="0.2">
      <c r="A771" t="s">
        <v>239</v>
      </c>
      <c r="B771" s="1">
        <v>45198</v>
      </c>
      <c r="C771" t="s">
        <v>24</v>
      </c>
      <c r="D771" t="s">
        <v>13</v>
      </c>
      <c r="E771" t="s">
        <v>25</v>
      </c>
      <c r="F771" t="s">
        <v>26</v>
      </c>
      <c r="G771">
        <v>0</v>
      </c>
      <c r="H771">
        <f>Table1[[#This Row],[UnitPrice]]*0.7*Table1[[#This Row],[UnitsSold]]</f>
        <v>0</v>
      </c>
      <c r="I771">
        <v>961.05661016949136</v>
      </c>
      <c r="J771">
        <v>0</v>
      </c>
      <c r="K771" t="s">
        <v>42</v>
      </c>
      <c r="L771" t="s">
        <v>249</v>
      </c>
      <c r="M771" s="3">
        <f t="shared" si="36"/>
        <v>0</v>
      </c>
      <c r="N771" t="str">
        <f t="shared" si="37"/>
        <v>September</v>
      </c>
      <c r="O771" t="str">
        <f t="shared" si="38"/>
        <v>2023</v>
      </c>
      <c r="P771" s="3">
        <f>Table1[[#This Row],[Revenue]]-Table1[[#This Row],[Cost]]</f>
        <v>0</v>
      </c>
      <c r="Q77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72" spans="1:17" x14ac:dyDescent="0.2">
      <c r="A772" t="s">
        <v>49</v>
      </c>
      <c r="B772" s="1">
        <v>45253</v>
      </c>
      <c r="C772" t="s">
        <v>29</v>
      </c>
      <c r="D772" t="s">
        <v>19</v>
      </c>
      <c r="E772" t="s">
        <v>48</v>
      </c>
      <c r="F772" t="s">
        <v>39</v>
      </c>
      <c r="G772">
        <v>0</v>
      </c>
      <c r="H772">
        <f>Table1[[#This Row],[UnitPrice]]*0.7*Table1[[#This Row],[UnitsSold]]</f>
        <v>0</v>
      </c>
      <c r="I772">
        <v>1017.3087234042553</v>
      </c>
      <c r="J772">
        <v>0</v>
      </c>
      <c r="K772" t="s">
        <v>42</v>
      </c>
      <c r="L772" t="s">
        <v>17</v>
      </c>
      <c r="M772" s="3">
        <f t="shared" si="36"/>
        <v>0</v>
      </c>
      <c r="N772" t="str">
        <f t="shared" si="37"/>
        <v>November</v>
      </c>
      <c r="O772" t="str">
        <f t="shared" si="38"/>
        <v>2023</v>
      </c>
      <c r="P772" s="3">
        <f>Table1[[#This Row],[Revenue]]-Table1[[#This Row],[Cost]]</f>
        <v>0</v>
      </c>
      <c r="Q77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73" spans="1:17" x14ac:dyDescent="0.2">
      <c r="A773" t="s">
        <v>236</v>
      </c>
      <c r="B773" s="1">
        <v>45105</v>
      </c>
      <c r="C773" t="s">
        <v>57</v>
      </c>
      <c r="D773" t="s">
        <v>83</v>
      </c>
      <c r="E773" t="s">
        <v>48</v>
      </c>
      <c r="F773" t="s">
        <v>39</v>
      </c>
      <c r="G773">
        <v>0</v>
      </c>
      <c r="H773">
        <f>Table1[[#This Row],[UnitPrice]]*0.7*Table1[[#This Row],[UnitsSold]]</f>
        <v>0</v>
      </c>
      <c r="I773">
        <v>1017.3087234042553</v>
      </c>
      <c r="J773">
        <v>0</v>
      </c>
      <c r="K773" t="s">
        <v>248</v>
      </c>
      <c r="L773" t="s">
        <v>17</v>
      </c>
      <c r="M773" s="3">
        <f t="shared" si="36"/>
        <v>0</v>
      </c>
      <c r="N773" t="str">
        <f t="shared" si="37"/>
        <v>June</v>
      </c>
      <c r="O773" t="str">
        <f t="shared" si="38"/>
        <v>2023</v>
      </c>
      <c r="P773" s="3">
        <f>Table1[[#This Row],[Revenue]]-Table1[[#This Row],[Cost]]</f>
        <v>0</v>
      </c>
      <c r="Q77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74" spans="1:17" x14ac:dyDescent="0.2">
      <c r="A774" t="s">
        <v>168</v>
      </c>
      <c r="B774" s="1">
        <v>44992</v>
      </c>
      <c r="C774" t="s">
        <v>57</v>
      </c>
      <c r="D774" t="s">
        <v>267</v>
      </c>
      <c r="E774" t="s">
        <v>46</v>
      </c>
      <c r="F774" t="s">
        <v>26</v>
      </c>
      <c r="G774">
        <v>0</v>
      </c>
      <c r="H774">
        <f>Table1[[#This Row],[UnitPrice]]*0.7*Table1[[#This Row],[UnitsSold]]</f>
        <v>0</v>
      </c>
      <c r="I774">
        <v>1106.0261904761899</v>
      </c>
      <c r="J774">
        <v>0</v>
      </c>
      <c r="K774" t="s">
        <v>283</v>
      </c>
      <c r="L774" t="s">
        <v>17</v>
      </c>
      <c r="M774" s="3">
        <f t="shared" si="36"/>
        <v>0</v>
      </c>
      <c r="N774" t="str">
        <f t="shared" si="37"/>
        <v>March</v>
      </c>
      <c r="O774" t="str">
        <f t="shared" si="38"/>
        <v>2023</v>
      </c>
      <c r="P774" s="3">
        <f>Table1[[#This Row],[Revenue]]-Table1[[#This Row],[Cost]]</f>
        <v>0</v>
      </c>
      <c r="Q77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75" spans="1:17" x14ac:dyDescent="0.2">
      <c r="A775" t="s">
        <v>172</v>
      </c>
      <c r="B775" s="1">
        <v>45051</v>
      </c>
      <c r="C775" t="s">
        <v>37</v>
      </c>
      <c r="D775" t="s">
        <v>19</v>
      </c>
      <c r="E775" t="s">
        <v>25</v>
      </c>
      <c r="F775" t="s">
        <v>26</v>
      </c>
      <c r="G775">
        <v>0</v>
      </c>
      <c r="H775">
        <f>Table1[[#This Row],[UnitPrice]]*0.7*Table1[[#This Row],[UnitsSold]]</f>
        <v>0</v>
      </c>
      <c r="I775">
        <v>1986.79</v>
      </c>
      <c r="J775">
        <v>0</v>
      </c>
      <c r="K775" t="s">
        <v>42</v>
      </c>
      <c r="L775" t="s">
        <v>55</v>
      </c>
      <c r="M775" s="3">
        <f t="shared" si="36"/>
        <v>0</v>
      </c>
      <c r="N775" t="str">
        <f t="shared" si="37"/>
        <v>May</v>
      </c>
      <c r="O775" t="str">
        <f t="shared" si="38"/>
        <v>2023</v>
      </c>
      <c r="P775" s="3">
        <f>Table1[[#This Row],[Revenue]]-Table1[[#This Row],[Cost]]</f>
        <v>0</v>
      </c>
      <c r="Q77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76" spans="1:17" x14ac:dyDescent="0.2">
      <c r="A776" t="s">
        <v>23</v>
      </c>
      <c r="B776" s="1">
        <v>45295</v>
      </c>
      <c r="C776" t="s">
        <v>24</v>
      </c>
      <c r="D776" t="s">
        <v>13</v>
      </c>
      <c r="E776" t="s">
        <v>38</v>
      </c>
      <c r="F776" t="s">
        <v>34</v>
      </c>
      <c r="G776">
        <v>0</v>
      </c>
      <c r="H776">
        <f>Table1[[#This Row],[UnitPrice]]*0.7*Table1[[#This Row],[UnitsSold]]</f>
        <v>0</v>
      </c>
      <c r="I776">
        <v>936.79681818181825</v>
      </c>
      <c r="J776">
        <v>0</v>
      </c>
      <c r="K776" t="s">
        <v>52</v>
      </c>
      <c r="L776" t="s">
        <v>249</v>
      </c>
      <c r="M776" s="3">
        <f t="shared" si="36"/>
        <v>0</v>
      </c>
      <c r="N776" t="str">
        <f t="shared" si="37"/>
        <v>January</v>
      </c>
      <c r="O776" t="str">
        <f t="shared" si="38"/>
        <v>2024</v>
      </c>
      <c r="P776" s="3">
        <f>Table1[[#This Row],[Revenue]]-Table1[[#This Row],[Cost]]</f>
        <v>0</v>
      </c>
      <c r="Q77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77" spans="1:17" x14ac:dyDescent="0.2">
      <c r="A777" t="s">
        <v>76</v>
      </c>
      <c r="B777" s="1">
        <v>45319</v>
      </c>
      <c r="C777" t="s">
        <v>12</v>
      </c>
      <c r="D777" t="s">
        <v>13</v>
      </c>
      <c r="E777" t="s">
        <v>14</v>
      </c>
      <c r="F777" t="s">
        <v>26</v>
      </c>
      <c r="G777">
        <v>0</v>
      </c>
      <c r="H777">
        <f>Table1[[#This Row],[UnitPrice]]*0.7*Table1[[#This Row],[UnitsSold]]</f>
        <v>0</v>
      </c>
      <c r="I777">
        <v>1002.870425531915</v>
      </c>
      <c r="J777">
        <v>0</v>
      </c>
      <c r="K777" t="s">
        <v>16</v>
      </c>
      <c r="L777" t="s">
        <v>249</v>
      </c>
      <c r="M777" s="3">
        <f t="shared" si="36"/>
        <v>0</v>
      </c>
      <c r="N777" t="str">
        <f t="shared" si="37"/>
        <v>January</v>
      </c>
      <c r="O777" t="str">
        <f t="shared" si="38"/>
        <v>2024</v>
      </c>
      <c r="P777" s="3">
        <f>Table1[[#This Row],[Revenue]]-Table1[[#This Row],[Cost]]</f>
        <v>0</v>
      </c>
      <c r="Q77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78" spans="1:17" x14ac:dyDescent="0.2">
      <c r="A778" t="s">
        <v>206</v>
      </c>
      <c r="B778" s="1">
        <v>44986</v>
      </c>
      <c r="C778" t="s">
        <v>24</v>
      </c>
      <c r="D778" t="s">
        <v>19</v>
      </c>
      <c r="E778" t="s">
        <v>46</v>
      </c>
      <c r="F778" t="s">
        <v>26</v>
      </c>
      <c r="G778">
        <v>0</v>
      </c>
      <c r="H778">
        <f>Table1[[#This Row],[UnitPrice]]*0.7*Table1[[#This Row],[UnitsSold]]</f>
        <v>0</v>
      </c>
      <c r="I778">
        <v>1188.48</v>
      </c>
      <c r="J778">
        <v>0.22</v>
      </c>
      <c r="K778" t="s">
        <v>248</v>
      </c>
      <c r="L778" t="s">
        <v>55</v>
      </c>
      <c r="M778" s="3">
        <f t="shared" si="36"/>
        <v>0</v>
      </c>
      <c r="N778" t="str">
        <f t="shared" si="37"/>
        <v>March</v>
      </c>
      <c r="O778" t="str">
        <f t="shared" si="38"/>
        <v>2023</v>
      </c>
      <c r="P778" s="3">
        <f>Table1[[#This Row],[Revenue]]-Table1[[#This Row],[Cost]]</f>
        <v>0</v>
      </c>
      <c r="Q77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79" spans="1:17" x14ac:dyDescent="0.2">
      <c r="A779" t="s">
        <v>88</v>
      </c>
      <c r="B779" s="1">
        <v>45087</v>
      </c>
      <c r="C779" t="s">
        <v>57</v>
      </c>
      <c r="D779" t="s">
        <v>31</v>
      </c>
      <c r="E779" t="s">
        <v>48</v>
      </c>
      <c r="F779" t="s">
        <v>39</v>
      </c>
      <c r="G779">
        <v>10</v>
      </c>
      <c r="H779">
        <f>Table1[[#This Row],[UnitPrice]]*0.7*Table1[[#This Row],[UnitsSold]]</f>
        <v>8289.5399999999991</v>
      </c>
      <c r="I779">
        <v>1184.22</v>
      </c>
      <c r="J779">
        <v>0</v>
      </c>
      <c r="K779" t="s">
        <v>52</v>
      </c>
      <c r="L779" t="s">
        <v>55</v>
      </c>
      <c r="M779" s="3">
        <f t="shared" si="36"/>
        <v>11842.2</v>
      </c>
      <c r="N779" t="str">
        <f t="shared" si="37"/>
        <v>June</v>
      </c>
      <c r="O779" t="str">
        <f t="shared" si="38"/>
        <v>2023</v>
      </c>
      <c r="P779" s="3">
        <f>Table1[[#This Row],[Revenue]]-Table1[[#This Row],[Cost]]</f>
        <v>3552.6600000000017</v>
      </c>
      <c r="Q779"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780" spans="1:17" x14ac:dyDescent="0.2">
      <c r="A780" t="s">
        <v>218</v>
      </c>
      <c r="B780" s="1">
        <v>44991</v>
      </c>
      <c r="C780" t="s">
        <v>37</v>
      </c>
      <c r="D780" t="s">
        <v>19</v>
      </c>
      <c r="E780" t="s">
        <v>38</v>
      </c>
      <c r="F780" t="s">
        <v>34</v>
      </c>
      <c r="G780">
        <v>0</v>
      </c>
      <c r="H780">
        <f>Table1[[#This Row],[UnitPrice]]*0.7*Table1[[#This Row],[UnitsSold]]</f>
        <v>0</v>
      </c>
      <c r="I780">
        <v>936.79681818181825</v>
      </c>
      <c r="J780">
        <v>0</v>
      </c>
      <c r="K780" t="s">
        <v>283</v>
      </c>
      <c r="L780" t="s">
        <v>22</v>
      </c>
      <c r="M780" s="3">
        <f t="shared" si="36"/>
        <v>0</v>
      </c>
      <c r="N780" t="str">
        <f t="shared" si="37"/>
        <v>March</v>
      </c>
      <c r="O780" t="str">
        <f t="shared" si="38"/>
        <v>2023</v>
      </c>
      <c r="P780" s="3">
        <f>Table1[[#This Row],[Revenue]]-Table1[[#This Row],[Cost]]</f>
        <v>0</v>
      </c>
      <c r="Q78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81" spans="1:17" x14ac:dyDescent="0.2">
      <c r="A781" t="s">
        <v>203</v>
      </c>
      <c r="B781" s="1">
        <v>45234</v>
      </c>
      <c r="C781" t="s">
        <v>24</v>
      </c>
      <c r="D781" t="s">
        <v>19</v>
      </c>
      <c r="E781" t="s">
        <v>48</v>
      </c>
      <c r="F781" t="s">
        <v>39</v>
      </c>
      <c r="G781">
        <v>0</v>
      </c>
      <c r="H781">
        <f>Table1[[#This Row],[UnitPrice]]*0.7*Table1[[#This Row],[UnitsSold]]</f>
        <v>0</v>
      </c>
      <c r="I781">
        <v>1017.3087234042553</v>
      </c>
      <c r="J781">
        <v>0</v>
      </c>
      <c r="K781" t="s">
        <v>248</v>
      </c>
      <c r="L781" t="s">
        <v>22</v>
      </c>
      <c r="M781" s="3">
        <f t="shared" si="36"/>
        <v>0</v>
      </c>
      <c r="N781" t="str">
        <f t="shared" si="37"/>
        <v>November</v>
      </c>
      <c r="O781" t="str">
        <f t="shared" si="38"/>
        <v>2023</v>
      </c>
      <c r="P781" s="3">
        <f>Table1[[#This Row],[Revenue]]-Table1[[#This Row],[Cost]]</f>
        <v>0</v>
      </c>
      <c r="Q78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82" spans="1:17" x14ac:dyDescent="0.2">
      <c r="A782" t="s">
        <v>235</v>
      </c>
      <c r="B782" s="1">
        <v>45037</v>
      </c>
      <c r="C782" t="s">
        <v>57</v>
      </c>
      <c r="D782" t="s">
        <v>59</v>
      </c>
      <c r="E782" t="s">
        <v>48</v>
      </c>
      <c r="F782" t="s">
        <v>39</v>
      </c>
      <c r="G782">
        <v>0</v>
      </c>
      <c r="H782">
        <f>Table1[[#This Row],[UnitPrice]]*0.7*Table1[[#This Row],[UnitsSold]]</f>
        <v>0</v>
      </c>
      <c r="I782">
        <v>1017.3087234042553</v>
      </c>
      <c r="J782">
        <v>0</v>
      </c>
      <c r="K782" t="s">
        <v>16</v>
      </c>
      <c r="L782" t="s">
        <v>27</v>
      </c>
      <c r="M782" s="3">
        <f t="shared" si="36"/>
        <v>0</v>
      </c>
      <c r="N782" t="str">
        <f t="shared" si="37"/>
        <v>April</v>
      </c>
      <c r="O782" t="str">
        <f t="shared" si="38"/>
        <v>2023</v>
      </c>
      <c r="P782" s="3">
        <f>Table1[[#This Row],[Revenue]]-Table1[[#This Row],[Cost]]</f>
        <v>0</v>
      </c>
      <c r="Q78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83" spans="1:17" x14ac:dyDescent="0.2">
      <c r="A783" t="s">
        <v>129</v>
      </c>
      <c r="B783" s="1">
        <v>45018</v>
      </c>
      <c r="C783" t="s">
        <v>57</v>
      </c>
      <c r="D783" t="s">
        <v>13</v>
      </c>
      <c r="E783" t="s">
        <v>38</v>
      </c>
      <c r="F783" t="s">
        <v>34</v>
      </c>
      <c r="G783">
        <v>6</v>
      </c>
      <c r="H783">
        <f>Table1[[#This Row],[UnitPrice]]*0.7*Table1[[#This Row],[UnitsSold]]</f>
        <v>3934.546636363636</v>
      </c>
      <c r="I783">
        <v>936.79681818181825</v>
      </c>
      <c r="J783">
        <v>0</v>
      </c>
      <c r="K783" t="s">
        <v>52</v>
      </c>
      <c r="L783" t="s">
        <v>22</v>
      </c>
      <c r="M783" s="3">
        <f t="shared" si="36"/>
        <v>5620.7809090909095</v>
      </c>
      <c r="N783" t="str">
        <f t="shared" si="37"/>
        <v>April</v>
      </c>
      <c r="O783" t="str">
        <f t="shared" si="38"/>
        <v>2023</v>
      </c>
      <c r="P783" s="3">
        <f>Table1[[#This Row],[Revenue]]-Table1[[#This Row],[Cost]]</f>
        <v>1686.2342727272735</v>
      </c>
      <c r="Q783"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784" spans="1:17" x14ac:dyDescent="0.2">
      <c r="A784" t="s">
        <v>154</v>
      </c>
      <c r="B784" s="1">
        <v>44963</v>
      </c>
      <c r="C784" t="s">
        <v>24</v>
      </c>
      <c r="D784" t="s">
        <v>59</v>
      </c>
      <c r="E784" t="s">
        <v>48</v>
      </c>
      <c r="F784" t="s">
        <v>39</v>
      </c>
      <c r="G784">
        <v>0</v>
      </c>
      <c r="H784">
        <f>Table1[[#This Row],[UnitPrice]]*0.7*Table1[[#This Row],[UnitsSold]]</f>
        <v>0</v>
      </c>
      <c r="I784">
        <v>1017.3087234042553</v>
      </c>
      <c r="J784">
        <v>0</v>
      </c>
      <c r="K784" t="s">
        <v>16</v>
      </c>
      <c r="L784" t="s">
        <v>55</v>
      </c>
      <c r="M784" s="3">
        <f t="shared" si="36"/>
        <v>0</v>
      </c>
      <c r="N784" t="str">
        <f t="shared" si="37"/>
        <v>February</v>
      </c>
      <c r="O784" t="str">
        <f t="shared" si="38"/>
        <v>2023</v>
      </c>
      <c r="P784" s="3">
        <f>Table1[[#This Row],[Revenue]]-Table1[[#This Row],[Cost]]</f>
        <v>0</v>
      </c>
      <c r="Q78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85" spans="1:17" x14ac:dyDescent="0.2">
      <c r="A785" t="s">
        <v>167</v>
      </c>
      <c r="B785" s="1">
        <v>45262</v>
      </c>
      <c r="C785" t="s">
        <v>246</v>
      </c>
      <c r="D785" t="s">
        <v>31</v>
      </c>
      <c r="E785" t="s">
        <v>247</v>
      </c>
      <c r="F785" t="s">
        <v>26</v>
      </c>
      <c r="G785">
        <v>0</v>
      </c>
      <c r="H785">
        <f>Table1[[#This Row],[UnitPrice]]*0.7*Table1[[#This Row],[UnitsSold]]</f>
        <v>0</v>
      </c>
      <c r="I785">
        <v>1795.46</v>
      </c>
      <c r="J785">
        <v>0</v>
      </c>
      <c r="K785" t="s">
        <v>16</v>
      </c>
      <c r="L785" t="s">
        <v>27</v>
      </c>
      <c r="M785" s="3">
        <f t="shared" si="36"/>
        <v>0</v>
      </c>
      <c r="N785" t="str">
        <f t="shared" si="37"/>
        <v>December</v>
      </c>
      <c r="O785" t="str">
        <f t="shared" si="38"/>
        <v>2023</v>
      </c>
      <c r="P785" s="3">
        <f>Table1[[#This Row],[Revenue]]-Table1[[#This Row],[Cost]]</f>
        <v>0</v>
      </c>
      <c r="Q78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86" spans="1:17" x14ac:dyDescent="0.2">
      <c r="A786" t="s">
        <v>148</v>
      </c>
      <c r="B786" s="1">
        <v>45298</v>
      </c>
      <c r="C786" t="s">
        <v>12</v>
      </c>
      <c r="D786" t="s">
        <v>13</v>
      </c>
      <c r="E786" t="s">
        <v>25</v>
      </c>
      <c r="F786" t="s">
        <v>26</v>
      </c>
      <c r="G786">
        <v>0</v>
      </c>
      <c r="H786">
        <f>Table1[[#This Row],[UnitPrice]]*0.7*Table1[[#This Row],[UnitsSold]]</f>
        <v>0</v>
      </c>
      <c r="I786">
        <v>1362.1</v>
      </c>
      <c r="J786">
        <v>0.28000000000000003</v>
      </c>
      <c r="K786" t="s">
        <v>52</v>
      </c>
      <c r="L786" t="s">
        <v>22</v>
      </c>
      <c r="M786" s="3">
        <f t="shared" si="36"/>
        <v>0</v>
      </c>
      <c r="N786" t="str">
        <f t="shared" si="37"/>
        <v>January</v>
      </c>
      <c r="O786" t="str">
        <f t="shared" si="38"/>
        <v>2024</v>
      </c>
      <c r="P786" s="3">
        <f>Table1[[#This Row],[Revenue]]-Table1[[#This Row],[Cost]]</f>
        <v>0</v>
      </c>
      <c r="Q78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87" spans="1:17" x14ac:dyDescent="0.2">
      <c r="A787" t="s">
        <v>75</v>
      </c>
      <c r="B787" s="1">
        <v>44953</v>
      </c>
      <c r="C787" t="s">
        <v>12</v>
      </c>
      <c r="D787" t="s">
        <v>31</v>
      </c>
      <c r="E787" t="s">
        <v>48</v>
      </c>
      <c r="F787" t="s">
        <v>39</v>
      </c>
      <c r="G787">
        <v>0</v>
      </c>
      <c r="H787">
        <f>Table1[[#This Row],[UnitPrice]]*0.7*Table1[[#This Row],[UnitsSold]]</f>
        <v>0</v>
      </c>
      <c r="I787">
        <v>1017.3087234042553</v>
      </c>
      <c r="J787">
        <v>0.22</v>
      </c>
      <c r="K787" t="s">
        <v>16</v>
      </c>
      <c r="L787" t="s">
        <v>27</v>
      </c>
      <c r="M787" s="3">
        <f t="shared" si="36"/>
        <v>0</v>
      </c>
      <c r="N787" t="str">
        <f t="shared" si="37"/>
        <v>January</v>
      </c>
      <c r="O787" t="str">
        <f t="shared" si="38"/>
        <v>2023</v>
      </c>
      <c r="P787" s="3">
        <f>Table1[[#This Row],[Revenue]]-Table1[[#This Row],[Cost]]</f>
        <v>0</v>
      </c>
      <c r="Q78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88" spans="1:17" x14ac:dyDescent="0.2">
      <c r="A788" t="s">
        <v>172</v>
      </c>
      <c r="B788" s="1">
        <v>45130</v>
      </c>
      <c r="C788" t="s">
        <v>57</v>
      </c>
      <c r="D788" t="s">
        <v>59</v>
      </c>
      <c r="E788" t="s">
        <v>48</v>
      </c>
      <c r="F788" t="s">
        <v>39</v>
      </c>
      <c r="G788">
        <v>0</v>
      </c>
      <c r="H788">
        <f>Table1[[#This Row],[UnitPrice]]*0.7*Table1[[#This Row],[UnitsSold]]</f>
        <v>0</v>
      </c>
      <c r="I788">
        <v>1017.3087234042553</v>
      </c>
      <c r="J788">
        <v>0</v>
      </c>
      <c r="K788" t="s">
        <v>283</v>
      </c>
      <c r="L788" t="s">
        <v>27</v>
      </c>
      <c r="M788" s="3">
        <f t="shared" si="36"/>
        <v>0</v>
      </c>
      <c r="N788" t="str">
        <f t="shared" si="37"/>
        <v>July</v>
      </c>
      <c r="O788" t="str">
        <f t="shared" si="38"/>
        <v>2023</v>
      </c>
      <c r="P788" s="3">
        <f>Table1[[#This Row],[Revenue]]-Table1[[#This Row],[Cost]]</f>
        <v>0</v>
      </c>
      <c r="Q78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89" spans="1:17" x14ac:dyDescent="0.2">
      <c r="A789" t="s">
        <v>191</v>
      </c>
      <c r="B789" s="1">
        <v>45164</v>
      </c>
      <c r="C789" t="s">
        <v>57</v>
      </c>
      <c r="D789" t="s">
        <v>59</v>
      </c>
      <c r="E789" t="s">
        <v>48</v>
      </c>
      <c r="F789" t="s">
        <v>39</v>
      </c>
      <c r="G789">
        <v>12</v>
      </c>
      <c r="H789">
        <f>Table1[[#This Row],[UnitPrice]]*0.7*Table1[[#This Row],[UnitsSold]]</f>
        <v>2089.92</v>
      </c>
      <c r="I789">
        <v>248.8</v>
      </c>
      <c r="J789">
        <v>0</v>
      </c>
      <c r="K789" t="s">
        <v>283</v>
      </c>
      <c r="L789" t="s">
        <v>17</v>
      </c>
      <c r="M789" s="3">
        <f t="shared" si="36"/>
        <v>2985.6000000000004</v>
      </c>
      <c r="N789" t="str">
        <f t="shared" si="37"/>
        <v>August</v>
      </c>
      <c r="O789" t="str">
        <f t="shared" si="38"/>
        <v>2023</v>
      </c>
      <c r="P789" s="3">
        <f>Table1[[#This Row],[Revenue]]-Table1[[#This Row],[Cost]]</f>
        <v>895.68000000000029</v>
      </c>
      <c r="Q78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790" spans="1:17" x14ac:dyDescent="0.2">
      <c r="A790" t="s">
        <v>81</v>
      </c>
      <c r="B790" s="1">
        <v>44938</v>
      </c>
      <c r="C790" t="s">
        <v>57</v>
      </c>
      <c r="D790" t="s">
        <v>59</v>
      </c>
      <c r="E790" t="s">
        <v>48</v>
      </c>
      <c r="F790" t="s">
        <v>39</v>
      </c>
      <c r="G790">
        <v>19</v>
      </c>
      <c r="H790">
        <f>Table1[[#This Row],[UnitPrice]]*0.7*Table1[[#This Row],[UnitsSold]]</f>
        <v>13530.206021276594</v>
      </c>
      <c r="I790">
        <v>1017.3087234042553</v>
      </c>
      <c r="J790">
        <v>0</v>
      </c>
      <c r="K790" t="s">
        <v>248</v>
      </c>
      <c r="L790" t="s">
        <v>249</v>
      </c>
      <c r="M790" s="3">
        <f t="shared" si="36"/>
        <v>19328.86574468085</v>
      </c>
      <c r="N790" t="str">
        <f t="shared" si="37"/>
        <v>January</v>
      </c>
      <c r="O790" t="str">
        <f t="shared" si="38"/>
        <v>2023</v>
      </c>
      <c r="P790" s="3">
        <f>Table1[[#This Row],[Revenue]]-Table1[[#This Row],[Cost]]</f>
        <v>5798.6597234042565</v>
      </c>
      <c r="Q79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791" spans="1:17" x14ac:dyDescent="0.2">
      <c r="A791" t="s">
        <v>242</v>
      </c>
      <c r="B791" s="1">
        <v>45093</v>
      </c>
      <c r="C791" t="s">
        <v>12</v>
      </c>
      <c r="D791" t="s">
        <v>13</v>
      </c>
      <c r="E791" t="s">
        <v>25</v>
      </c>
      <c r="F791" t="s">
        <v>26</v>
      </c>
      <c r="G791">
        <v>0</v>
      </c>
      <c r="H791">
        <f>Table1[[#This Row],[UnitPrice]]*0.7*Table1[[#This Row],[UnitsSold]]</f>
        <v>0</v>
      </c>
      <c r="I791">
        <v>1627.61</v>
      </c>
      <c r="J791">
        <v>0</v>
      </c>
      <c r="K791" t="s">
        <v>248</v>
      </c>
      <c r="L791" t="s">
        <v>22</v>
      </c>
      <c r="M791" s="3">
        <f t="shared" si="36"/>
        <v>0</v>
      </c>
      <c r="N791" t="str">
        <f t="shared" si="37"/>
        <v>June</v>
      </c>
      <c r="O791" t="str">
        <f t="shared" si="38"/>
        <v>2023</v>
      </c>
      <c r="P791" s="3">
        <f>Table1[[#This Row],[Revenue]]-Table1[[#This Row],[Cost]]</f>
        <v>0</v>
      </c>
      <c r="Q79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92" spans="1:17" x14ac:dyDescent="0.2">
      <c r="A792" t="s">
        <v>207</v>
      </c>
      <c r="B792" s="1">
        <v>45192</v>
      </c>
      <c r="C792" t="s">
        <v>12</v>
      </c>
      <c r="D792" t="s">
        <v>267</v>
      </c>
      <c r="E792" t="s">
        <v>25</v>
      </c>
      <c r="F792" t="s">
        <v>26</v>
      </c>
      <c r="G792">
        <v>4</v>
      </c>
      <c r="H792">
        <f>Table1[[#This Row],[UnitPrice]]*0.7*Table1[[#This Row],[UnitsSold]]</f>
        <v>2690.9585084745759</v>
      </c>
      <c r="I792">
        <v>961.05661016949136</v>
      </c>
      <c r="J792">
        <v>0</v>
      </c>
      <c r="K792" t="s">
        <v>42</v>
      </c>
      <c r="L792" t="s">
        <v>55</v>
      </c>
      <c r="M792" s="3">
        <f t="shared" si="36"/>
        <v>3844.2264406779655</v>
      </c>
      <c r="N792" t="str">
        <f t="shared" si="37"/>
        <v>September</v>
      </c>
      <c r="O792" t="str">
        <f t="shared" si="38"/>
        <v>2023</v>
      </c>
      <c r="P792" s="3">
        <f>Table1[[#This Row],[Revenue]]-Table1[[#This Row],[Cost]]</f>
        <v>1153.2679322033896</v>
      </c>
      <c r="Q792"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793" spans="1:17" x14ac:dyDescent="0.2">
      <c r="A793" t="s">
        <v>239</v>
      </c>
      <c r="B793" s="1">
        <v>44947</v>
      </c>
      <c r="C793" t="s">
        <v>246</v>
      </c>
      <c r="D793" t="s">
        <v>31</v>
      </c>
      <c r="E793" t="s">
        <v>247</v>
      </c>
      <c r="F793" t="s">
        <v>26</v>
      </c>
      <c r="G793">
        <v>0</v>
      </c>
      <c r="H793">
        <f>Table1[[#This Row],[UnitPrice]]*0.7*Table1[[#This Row],[UnitsSold]]</f>
        <v>0</v>
      </c>
      <c r="I793">
        <v>520.95000000000005</v>
      </c>
      <c r="J793">
        <v>0.03</v>
      </c>
      <c r="K793" t="s">
        <v>248</v>
      </c>
      <c r="L793" t="s">
        <v>55</v>
      </c>
      <c r="M793" s="3">
        <f t="shared" si="36"/>
        <v>0</v>
      </c>
      <c r="N793" t="str">
        <f t="shared" si="37"/>
        <v>January</v>
      </c>
      <c r="O793" t="str">
        <f t="shared" si="38"/>
        <v>2023</v>
      </c>
      <c r="P793" s="3">
        <f>Table1[[#This Row],[Revenue]]-Table1[[#This Row],[Cost]]</f>
        <v>0</v>
      </c>
      <c r="Q79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94" spans="1:17" x14ac:dyDescent="0.2">
      <c r="A794" t="s">
        <v>77</v>
      </c>
      <c r="B794" s="1">
        <v>45205</v>
      </c>
      <c r="C794" t="s">
        <v>246</v>
      </c>
      <c r="D794" t="s">
        <v>83</v>
      </c>
      <c r="E794" t="s">
        <v>48</v>
      </c>
      <c r="F794" t="s">
        <v>39</v>
      </c>
      <c r="G794">
        <v>0</v>
      </c>
      <c r="H794">
        <f>Table1[[#This Row],[UnitPrice]]*0.7*Table1[[#This Row],[UnitsSold]]</f>
        <v>0</v>
      </c>
      <c r="I794">
        <v>1017.3087234042553</v>
      </c>
      <c r="J794">
        <v>0</v>
      </c>
      <c r="K794" t="s">
        <v>283</v>
      </c>
      <c r="L794" t="s">
        <v>17</v>
      </c>
      <c r="M794" s="3">
        <f t="shared" si="36"/>
        <v>0</v>
      </c>
      <c r="N794" t="str">
        <f t="shared" si="37"/>
        <v>October</v>
      </c>
      <c r="O794" t="str">
        <f t="shared" si="38"/>
        <v>2023</v>
      </c>
      <c r="P794" s="3">
        <f>Table1[[#This Row],[Revenue]]-Table1[[#This Row],[Cost]]</f>
        <v>0</v>
      </c>
      <c r="Q79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95" spans="1:17" x14ac:dyDescent="0.2">
      <c r="A795" t="s">
        <v>120</v>
      </c>
      <c r="B795" s="1">
        <v>44998</v>
      </c>
      <c r="C795" t="s">
        <v>57</v>
      </c>
      <c r="D795" t="s">
        <v>13</v>
      </c>
      <c r="E795" t="s">
        <v>14</v>
      </c>
      <c r="F795" t="s">
        <v>26</v>
      </c>
      <c r="G795">
        <v>0</v>
      </c>
      <c r="H795">
        <f>Table1[[#This Row],[UnitPrice]]*0.7*Table1[[#This Row],[UnitsSold]]</f>
        <v>0</v>
      </c>
      <c r="I795">
        <v>1081.04</v>
      </c>
      <c r="J795">
        <v>0</v>
      </c>
      <c r="K795" t="s">
        <v>16</v>
      </c>
      <c r="L795" t="s">
        <v>249</v>
      </c>
      <c r="M795" s="3">
        <f t="shared" si="36"/>
        <v>0</v>
      </c>
      <c r="N795" t="str">
        <f t="shared" si="37"/>
        <v>March</v>
      </c>
      <c r="O795" t="str">
        <f t="shared" si="38"/>
        <v>2023</v>
      </c>
      <c r="P795" s="3">
        <f>Table1[[#This Row],[Revenue]]-Table1[[#This Row],[Cost]]</f>
        <v>0</v>
      </c>
      <c r="Q79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96" spans="1:17" x14ac:dyDescent="0.2">
      <c r="A796" t="s">
        <v>73</v>
      </c>
      <c r="B796" s="1">
        <v>45023</v>
      </c>
      <c r="C796" t="s">
        <v>246</v>
      </c>
      <c r="D796" t="s">
        <v>59</v>
      </c>
      <c r="E796" t="s">
        <v>25</v>
      </c>
      <c r="F796" t="s">
        <v>26</v>
      </c>
      <c r="G796">
        <v>0</v>
      </c>
      <c r="H796">
        <f>Table1[[#This Row],[UnitPrice]]*0.7*Table1[[#This Row],[UnitsSold]]</f>
        <v>0</v>
      </c>
      <c r="I796">
        <v>961.05661016949136</v>
      </c>
      <c r="J796">
        <v>0.11</v>
      </c>
      <c r="K796" t="s">
        <v>283</v>
      </c>
      <c r="L796" t="s">
        <v>17</v>
      </c>
      <c r="M796" s="3">
        <f t="shared" si="36"/>
        <v>0</v>
      </c>
      <c r="N796" t="str">
        <f t="shared" si="37"/>
        <v>April</v>
      </c>
      <c r="O796" t="str">
        <f t="shared" si="38"/>
        <v>2023</v>
      </c>
      <c r="P796" s="3">
        <f>Table1[[#This Row],[Revenue]]-Table1[[#This Row],[Cost]]</f>
        <v>0</v>
      </c>
      <c r="Q79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97" spans="1:17" x14ac:dyDescent="0.2">
      <c r="A797" t="s">
        <v>18</v>
      </c>
      <c r="B797" s="1">
        <v>44965</v>
      </c>
      <c r="C797" t="s">
        <v>24</v>
      </c>
      <c r="D797" t="s">
        <v>59</v>
      </c>
      <c r="E797" t="s">
        <v>38</v>
      </c>
      <c r="F797" t="s">
        <v>34</v>
      </c>
      <c r="G797">
        <v>0</v>
      </c>
      <c r="H797">
        <f>Table1[[#This Row],[UnitPrice]]*0.7*Table1[[#This Row],[UnitsSold]]</f>
        <v>0</v>
      </c>
      <c r="I797">
        <v>936.79681818181825</v>
      </c>
      <c r="J797">
        <v>0</v>
      </c>
      <c r="K797" t="s">
        <v>16</v>
      </c>
      <c r="L797" t="s">
        <v>17</v>
      </c>
      <c r="M797" s="3">
        <f t="shared" si="36"/>
        <v>0</v>
      </c>
      <c r="N797" t="str">
        <f t="shared" si="37"/>
        <v>February</v>
      </c>
      <c r="O797" t="str">
        <f t="shared" si="38"/>
        <v>2023</v>
      </c>
      <c r="P797" s="3">
        <f>Table1[[#This Row],[Revenue]]-Table1[[#This Row],[Cost]]</f>
        <v>0</v>
      </c>
      <c r="Q79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98" spans="1:17" x14ac:dyDescent="0.2">
      <c r="A798" t="s">
        <v>197</v>
      </c>
      <c r="B798" s="1">
        <v>44963</v>
      </c>
      <c r="C798" t="s">
        <v>24</v>
      </c>
      <c r="D798" t="s">
        <v>13</v>
      </c>
      <c r="E798" t="s">
        <v>48</v>
      </c>
      <c r="F798" t="s">
        <v>39</v>
      </c>
      <c r="G798">
        <v>0</v>
      </c>
      <c r="H798">
        <f>Table1[[#This Row],[UnitPrice]]*0.7*Table1[[#This Row],[UnitsSold]]</f>
        <v>0</v>
      </c>
      <c r="I798">
        <v>1017.3087234042553</v>
      </c>
      <c r="J798">
        <v>0</v>
      </c>
      <c r="K798" t="s">
        <v>16</v>
      </c>
      <c r="L798" t="s">
        <v>55</v>
      </c>
      <c r="M798" s="3">
        <f t="shared" si="36"/>
        <v>0</v>
      </c>
      <c r="N798" t="str">
        <f t="shared" si="37"/>
        <v>February</v>
      </c>
      <c r="O798" t="str">
        <f t="shared" si="38"/>
        <v>2023</v>
      </c>
      <c r="P798" s="3">
        <f>Table1[[#This Row],[Revenue]]-Table1[[#This Row],[Cost]]</f>
        <v>0</v>
      </c>
      <c r="Q79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799" spans="1:17" x14ac:dyDescent="0.2">
      <c r="A799" t="s">
        <v>92</v>
      </c>
      <c r="B799" s="1">
        <v>45121</v>
      </c>
      <c r="C799" t="s">
        <v>12</v>
      </c>
      <c r="D799" t="s">
        <v>31</v>
      </c>
      <c r="E799" t="s">
        <v>247</v>
      </c>
      <c r="F799" t="s">
        <v>26</v>
      </c>
      <c r="G799">
        <v>9</v>
      </c>
      <c r="H799">
        <f>Table1[[#This Row],[UnitPrice]]*0.7*Table1[[#This Row],[UnitsSold]]</f>
        <v>6182.5692857142849</v>
      </c>
      <c r="I799">
        <v>981.36020408163256</v>
      </c>
      <c r="J799">
        <v>0.16</v>
      </c>
      <c r="K799" t="s">
        <v>52</v>
      </c>
      <c r="L799" t="s">
        <v>27</v>
      </c>
      <c r="M799" s="3">
        <f t="shared" si="36"/>
        <v>7419.0831428571419</v>
      </c>
      <c r="N799" t="str">
        <f t="shared" si="37"/>
        <v>July</v>
      </c>
      <c r="O799" t="str">
        <f t="shared" si="38"/>
        <v>2023</v>
      </c>
      <c r="P799" s="3">
        <f>Table1[[#This Row],[Revenue]]-Table1[[#This Row],[Cost]]</f>
        <v>1236.513857142857</v>
      </c>
      <c r="Q799" s="6">
        <f>IF(Table1[[#This Row],[UnitsSold]]*Table1[[#This Row],[UnitPrice]]*(1-Table1[[#This Row],[Discount]])=0, 0, ((Table1[[#This Row],[UnitsSold]]*Table1[[#This Row],[UnitPrice]]*(1-Table1[[#This Row],[Discount]])) - (Table1[[#This Row],[UnitsSold]]*Table1[[#This Row],[UnitPrice]]*0.7)) / (Table1[[#This Row],[UnitsSold]]*Table1[[#This Row],[UnitPrice]]*(1-Table1[[#This Row],[Discount]])))</f>
        <v>0.16666666666666666</v>
      </c>
    </row>
    <row r="800" spans="1:17" x14ac:dyDescent="0.2">
      <c r="A800" t="s">
        <v>148</v>
      </c>
      <c r="B800" s="1">
        <v>45097</v>
      </c>
      <c r="C800" t="s">
        <v>24</v>
      </c>
      <c r="D800" t="s">
        <v>19</v>
      </c>
      <c r="E800" t="s">
        <v>25</v>
      </c>
      <c r="F800" t="s">
        <v>26</v>
      </c>
      <c r="G800">
        <v>9</v>
      </c>
      <c r="H800">
        <f>Table1[[#This Row],[UnitPrice]]*0.7*Table1[[#This Row],[UnitsSold]]</f>
        <v>1290.9329999999998</v>
      </c>
      <c r="I800">
        <v>204.91</v>
      </c>
      <c r="J800">
        <v>0.11</v>
      </c>
      <c r="K800" t="s">
        <v>16</v>
      </c>
      <c r="L800" t="s">
        <v>249</v>
      </c>
      <c r="M800" s="3">
        <f t="shared" si="36"/>
        <v>1641.3291000000002</v>
      </c>
      <c r="N800" t="str">
        <f t="shared" si="37"/>
        <v>June</v>
      </c>
      <c r="O800" t="str">
        <f t="shared" si="38"/>
        <v>2023</v>
      </c>
      <c r="P800" s="3">
        <f>Table1[[#This Row],[Revenue]]-Table1[[#This Row],[Cost]]</f>
        <v>350.39610000000039</v>
      </c>
      <c r="Q800" s="6">
        <f>IF(Table1[[#This Row],[UnitsSold]]*Table1[[#This Row],[UnitPrice]]*(1-Table1[[#This Row],[Discount]])=0, 0, ((Table1[[#This Row],[UnitsSold]]*Table1[[#This Row],[UnitPrice]]*(1-Table1[[#This Row],[Discount]])) - (Table1[[#This Row],[UnitsSold]]*Table1[[#This Row],[UnitPrice]]*0.7)) / (Table1[[#This Row],[UnitsSold]]*Table1[[#This Row],[UnitPrice]]*(1-Table1[[#This Row],[Discount]])))</f>
        <v>0.21348314606741581</v>
      </c>
    </row>
    <row r="801" spans="1:17" x14ac:dyDescent="0.2">
      <c r="A801" t="s">
        <v>123</v>
      </c>
      <c r="B801" s="1">
        <v>45299</v>
      </c>
      <c r="C801" t="s">
        <v>24</v>
      </c>
      <c r="D801" t="s">
        <v>31</v>
      </c>
      <c r="E801" t="s">
        <v>25</v>
      </c>
      <c r="F801" t="s">
        <v>26</v>
      </c>
      <c r="G801">
        <v>0</v>
      </c>
      <c r="H801">
        <f>Table1[[#This Row],[UnitPrice]]*0.7*Table1[[#This Row],[UnitsSold]]</f>
        <v>0</v>
      </c>
      <c r="I801">
        <v>961.05661016949136</v>
      </c>
      <c r="J801">
        <v>0</v>
      </c>
      <c r="K801" t="s">
        <v>52</v>
      </c>
      <c r="L801" t="s">
        <v>17</v>
      </c>
      <c r="M801" s="3">
        <f t="shared" si="36"/>
        <v>0</v>
      </c>
      <c r="N801" t="str">
        <f t="shared" si="37"/>
        <v>January</v>
      </c>
      <c r="O801" t="str">
        <f t="shared" si="38"/>
        <v>2024</v>
      </c>
      <c r="P801" s="3">
        <f>Table1[[#This Row],[Revenue]]-Table1[[#This Row],[Cost]]</f>
        <v>0</v>
      </c>
      <c r="Q80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02" spans="1:17" x14ac:dyDescent="0.2">
      <c r="A802" t="s">
        <v>242</v>
      </c>
      <c r="B802" s="1">
        <v>44951</v>
      </c>
      <c r="C802" t="s">
        <v>246</v>
      </c>
      <c r="D802" t="s">
        <v>59</v>
      </c>
      <c r="E802" t="s">
        <v>25</v>
      </c>
      <c r="F802" t="s">
        <v>26</v>
      </c>
      <c r="G802">
        <v>0</v>
      </c>
      <c r="H802">
        <f>Table1[[#This Row],[UnitPrice]]*0.7*Table1[[#This Row],[UnitsSold]]</f>
        <v>0</v>
      </c>
      <c r="I802">
        <v>961.05661016949136</v>
      </c>
      <c r="J802">
        <v>0</v>
      </c>
      <c r="K802" t="s">
        <v>248</v>
      </c>
      <c r="L802" t="s">
        <v>17</v>
      </c>
      <c r="M802" s="3">
        <f t="shared" si="36"/>
        <v>0</v>
      </c>
      <c r="N802" t="str">
        <f t="shared" si="37"/>
        <v>January</v>
      </c>
      <c r="O802" t="str">
        <f t="shared" si="38"/>
        <v>2023</v>
      </c>
      <c r="P802" s="3">
        <f>Table1[[#This Row],[Revenue]]-Table1[[#This Row],[Cost]]</f>
        <v>0</v>
      </c>
      <c r="Q80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03" spans="1:17" x14ac:dyDescent="0.2">
      <c r="A803" t="s">
        <v>221</v>
      </c>
      <c r="B803" s="1">
        <v>45171</v>
      </c>
      <c r="C803" t="s">
        <v>246</v>
      </c>
      <c r="D803" t="s">
        <v>59</v>
      </c>
      <c r="E803" t="s">
        <v>46</v>
      </c>
      <c r="F803" t="s">
        <v>26</v>
      </c>
      <c r="G803">
        <v>0</v>
      </c>
      <c r="H803">
        <f>Table1[[#This Row],[UnitPrice]]*0.7*Table1[[#This Row],[UnitsSold]]</f>
        <v>0</v>
      </c>
      <c r="I803">
        <v>1106.0261904761899</v>
      </c>
      <c r="J803">
        <v>0</v>
      </c>
      <c r="K803" t="s">
        <v>16</v>
      </c>
      <c r="L803" t="s">
        <v>55</v>
      </c>
      <c r="M803" s="3">
        <f t="shared" si="36"/>
        <v>0</v>
      </c>
      <c r="N803" t="str">
        <f t="shared" si="37"/>
        <v>September</v>
      </c>
      <c r="O803" t="str">
        <f t="shared" si="38"/>
        <v>2023</v>
      </c>
      <c r="P803" s="3">
        <f>Table1[[#This Row],[Revenue]]-Table1[[#This Row],[Cost]]</f>
        <v>0</v>
      </c>
      <c r="Q80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04" spans="1:17" x14ac:dyDescent="0.2">
      <c r="A804" t="s">
        <v>107</v>
      </c>
      <c r="B804" s="1">
        <v>45325</v>
      </c>
      <c r="C804" t="s">
        <v>37</v>
      </c>
      <c r="D804" t="s">
        <v>13</v>
      </c>
      <c r="E804" t="s">
        <v>44</v>
      </c>
      <c r="F804" t="s">
        <v>26</v>
      </c>
      <c r="G804">
        <v>15</v>
      </c>
      <c r="H804">
        <f>Table1[[#This Row],[UnitPrice]]*0.7*Table1[[#This Row],[UnitsSold]]</f>
        <v>11335.554255319148</v>
      </c>
      <c r="I804">
        <v>1079.5765957446808</v>
      </c>
      <c r="J804">
        <v>0</v>
      </c>
      <c r="K804" t="s">
        <v>52</v>
      </c>
      <c r="L804" t="s">
        <v>55</v>
      </c>
      <c r="M804" s="3">
        <f t="shared" si="36"/>
        <v>16193.648936170213</v>
      </c>
      <c r="N804" t="str">
        <f t="shared" si="37"/>
        <v>February</v>
      </c>
      <c r="O804" t="str">
        <f t="shared" si="38"/>
        <v>2024</v>
      </c>
      <c r="P804" s="3">
        <f>Table1[[#This Row],[Revenue]]-Table1[[#This Row],[Cost]]</f>
        <v>4858.0946808510653</v>
      </c>
      <c r="Q804"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805" spans="1:17" x14ac:dyDescent="0.2">
      <c r="A805" t="s">
        <v>85</v>
      </c>
      <c r="B805" s="1">
        <v>45193</v>
      </c>
      <c r="C805" t="s">
        <v>37</v>
      </c>
      <c r="D805" t="s">
        <v>59</v>
      </c>
      <c r="E805" t="s">
        <v>48</v>
      </c>
      <c r="F805" t="s">
        <v>39</v>
      </c>
      <c r="G805">
        <v>0</v>
      </c>
      <c r="H805">
        <f>Table1[[#This Row],[UnitPrice]]*0.7*Table1[[#This Row],[UnitsSold]]</f>
        <v>0</v>
      </c>
      <c r="I805">
        <v>1543.45</v>
      </c>
      <c r="J805">
        <v>0.19</v>
      </c>
      <c r="K805" t="s">
        <v>283</v>
      </c>
      <c r="L805" t="s">
        <v>249</v>
      </c>
      <c r="M805" s="3">
        <f t="shared" si="36"/>
        <v>0</v>
      </c>
      <c r="N805" t="str">
        <f t="shared" si="37"/>
        <v>September</v>
      </c>
      <c r="O805" t="str">
        <f t="shared" si="38"/>
        <v>2023</v>
      </c>
      <c r="P805" s="3">
        <f>Table1[[#This Row],[Revenue]]-Table1[[#This Row],[Cost]]</f>
        <v>0</v>
      </c>
      <c r="Q80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06" spans="1:17" x14ac:dyDescent="0.2">
      <c r="A806" t="s">
        <v>126</v>
      </c>
      <c r="B806" s="1">
        <v>45011</v>
      </c>
      <c r="C806" t="s">
        <v>12</v>
      </c>
      <c r="D806" t="s">
        <v>19</v>
      </c>
      <c r="E806" t="s">
        <v>48</v>
      </c>
      <c r="F806" t="s">
        <v>39</v>
      </c>
      <c r="G806">
        <v>0</v>
      </c>
      <c r="H806">
        <f>Table1[[#This Row],[UnitPrice]]*0.7*Table1[[#This Row],[UnitsSold]]</f>
        <v>0</v>
      </c>
      <c r="I806">
        <v>1618.61</v>
      </c>
      <c r="J806">
        <v>0</v>
      </c>
      <c r="K806" t="s">
        <v>283</v>
      </c>
      <c r="L806" t="s">
        <v>17</v>
      </c>
      <c r="M806" s="3">
        <f t="shared" si="36"/>
        <v>0</v>
      </c>
      <c r="N806" t="str">
        <f t="shared" si="37"/>
        <v>March</v>
      </c>
      <c r="O806" t="str">
        <f t="shared" si="38"/>
        <v>2023</v>
      </c>
      <c r="P806" s="3">
        <f>Table1[[#This Row],[Revenue]]-Table1[[#This Row],[Cost]]</f>
        <v>0</v>
      </c>
      <c r="Q80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07" spans="1:17" x14ac:dyDescent="0.2">
      <c r="A807" t="s">
        <v>210</v>
      </c>
      <c r="B807" s="1">
        <v>44996</v>
      </c>
      <c r="C807" t="s">
        <v>57</v>
      </c>
      <c r="D807" t="s">
        <v>83</v>
      </c>
      <c r="E807" t="s">
        <v>44</v>
      </c>
      <c r="F807" t="s">
        <v>26</v>
      </c>
      <c r="G807">
        <v>0</v>
      </c>
      <c r="H807">
        <f>Table1[[#This Row],[UnitPrice]]*0.7*Table1[[#This Row],[UnitsSold]]</f>
        <v>0</v>
      </c>
      <c r="I807">
        <v>37.659999999999997</v>
      </c>
      <c r="J807">
        <v>0</v>
      </c>
      <c r="K807" t="s">
        <v>16</v>
      </c>
      <c r="L807" t="s">
        <v>22</v>
      </c>
      <c r="M807" s="3">
        <f t="shared" si="36"/>
        <v>0</v>
      </c>
      <c r="N807" t="str">
        <f t="shared" si="37"/>
        <v>March</v>
      </c>
      <c r="O807" t="str">
        <f t="shared" si="38"/>
        <v>2023</v>
      </c>
      <c r="P807" s="3">
        <f>Table1[[#This Row],[Revenue]]-Table1[[#This Row],[Cost]]</f>
        <v>0</v>
      </c>
      <c r="Q80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08" spans="1:17" x14ac:dyDescent="0.2">
      <c r="A808" t="s">
        <v>244</v>
      </c>
      <c r="B808" s="1">
        <v>45200</v>
      </c>
      <c r="C808" t="s">
        <v>29</v>
      </c>
      <c r="D808" t="s">
        <v>19</v>
      </c>
      <c r="E808" t="s">
        <v>48</v>
      </c>
      <c r="F808" t="s">
        <v>39</v>
      </c>
      <c r="G808">
        <v>20</v>
      </c>
      <c r="H808">
        <f>Table1[[#This Row],[UnitPrice]]*0.7*Table1[[#This Row],[UnitsSold]]</f>
        <v>17061.379999999997</v>
      </c>
      <c r="I808">
        <v>1218.67</v>
      </c>
      <c r="J808">
        <v>0</v>
      </c>
      <c r="K808" t="s">
        <v>16</v>
      </c>
      <c r="L808" t="s">
        <v>249</v>
      </c>
      <c r="M808" s="3">
        <f t="shared" si="36"/>
        <v>24373.4</v>
      </c>
      <c r="N808" t="str">
        <f t="shared" si="37"/>
        <v>October</v>
      </c>
      <c r="O808" t="str">
        <f t="shared" si="38"/>
        <v>2023</v>
      </c>
      <c r="P808" s="3">
        <f>Table1[[#This Row],[Revenue]]-Table1[[#This Row],[Cost]]</f>
        <v>7312.0200000000041</v>
      </c>
      <c r="Q808"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809" spans="1:17" x14ac:dyDescent="0.2">
      <c r="A809" t="s">
        <v>112</v>
      </c>
      <c r="B809" s="1">
        <v>45114</v>
      </c>
      <c r="C809" t="s">
        <v>246</v>
      </c>
      <c r="D809" t="s">
        <v>31</v>
      </c>
      <c r="E809" t="s">
        <v>14</v>
      </c>
      <c r="F809" t="s">
        <v>26</v>
      </c>
      <c r="G809">
        <v>0</v>
      </c>
      <c r="H809">
        <f>Table1[[#This Row],[UnitPrice]]*0.7*Table1[[#This Row],[UnitsSold]]</f>
        <v>0</v>
      </c>
      <c r="I809">
        <v>1002.870425531915</v>
      </c>
      <c r="J809">
        <v>0</v>
      </c>
      <c r="K809" t="s">
        <v>283</v>
      </c>
      <c r="L809" t="s">
        <v>249</v>
      </c>
      <c r="M809" s="3">
        <f t="shared" si="36"/>
        <v>0</v>
      </c>
      <c r="N809" t="str">
        <f t="shared" si="37"/>
        <v>July</v>
      </c>
      <c r="O809" t="str">
        <f t="shared" si="38"/>
        <v>2023</v>
      </c>
      <c r="P809" s="3">
        <f>Table1[[#This Row],[Revenue]]-Table1[[#This Row],[Cost]]</f>
        <v>0</v>
      </c>
      <c r="Q80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10" spans="1:17" x14ac:dyDescent="0.2">
      <c r="A810" t="s">
        <v>113</v>
      </c>
      <c r="B810" s="1">
        <v>45319</v>
      </c>
      <c r="C810" t="s">
        <v>12</v>
      </c>
      <c r="D810" t="s">
        <v>59</v>
      </c>
      <c r="E810" t="s">
        <v>14</v>
      </c>
      <c r="F810" t="s">
        <v>26</v>
      </c>
      <c r="G810">
        <v>0</v>
      </c>
      <c r="H810">
        <f>Table1[[#This Row],[UnitPrice]]*0.7*Table1[[#This Row],[UnitsSold]]</f>
        <v>0</v>
      </c>
      <c r="I810">
        <v>1002.870425531915</v>
      </c>
      <c r="J810">
        <v>0</v>
      </c>
      <c r="K810" t="s">
        <v>16</v>
      </c>
      <c r="L810" t="s">
        <v>55</v>
      </c>
      <c r="M810" s="3">
        <f t="shared" si="36"/>
        <v>0</v>
      </c>
      <c r="N810" t="str">
        <f t="shared" si="37"/>
        <v>January</v>
      </c>
      <c r="O810" t="str">
        <f t="shared" si="38"/>
        <v>2024</v>
      </c>
      <c r="P810" s="3">
        <f>Table1[[#This Row],[Revenue]]-Table1[[#This Row],[Cost]]</f>
        <v>0</v>
      </c>
      <c r="Q81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11" spans="1:17" x14ac:dyDescent="0.2">
      <c r="A811" t="s">
        <v>222</v>
      </c>
      <c r="B811" s="1">
        <v>45190</v>
      </c>
      <c r="C811" t="s">
        <v>12</v>
      </c>
      <c r="D811" t="s">
        <v>83</v>
      </c>
      <c r="E811" t="s">
        <v>44</v>
      </c>
      <c r="F811" t="s">
        <v>26</v>
      </c>
      <c r="G811">
        <v>0</v>
      </c>
      <c r="H811">
        <f>Table1[[#This Row],[UnitPrice]]*0.7*Table1[[#This Row],[UnitsSold]]</f>
        <v>0</v>
      </c>
      <c r="I811">
        <v>1079.5765957446808</v>
      </c>
      <c r="J811">
        <v>0</v>
      </c>
      <c r="K811" t="s">
        <v>16</v>
      </c>
      <c r="L811" t="s">
        <v>27</v>
      </c>
      <c r="M811" s="3">
        <f t="shared" si="36"/>
        <v>0</v>
      </c>
      <c r="N811" t="str">
        <f t="shared" si="37"/>
        <v>September</v>
      </c>
      <c r="O811" t="str">
        <f t="shared" si="38"/>
        <v>2023</v>
      </c>
      <c r="P811" s="3">
        <f>Table1[[#This Row],[Revenue]]-Table1[[#This Row],[Cost]]</f>
        <v>0</v>
      </c>
      <c r="Q81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12" spans="1:17" x14ac:dyDescent="0.2">
      <c r="A812" t="s">
        <v>144</v>
      </c>
      <c r="B812" s="1">
        <v>45296</v>
      </c>
      <c r="C812" t="s">
        <v>246</v>
      </c>
      <c r="D812" t="s">
        <v>83</v>
      </c>
      <c r="E812" t="s">
        <v>14</v>
      </c>
      <c r="F812" t="s">
        <v>26</v>
      </c>
      <c r="G812">
        <v>0</v>
      </c>
      <c r="H812">
        <f>Table1[[#This Row],[UnitPrice]]*0.7*Table1[[#This Row],[UnitsSold]]</f>
        <v>0</v>
      </c>
      <c r="I812">
        <v>989.17</v>
      </c>
      <c r="J812">
        <v>0.16</v>
      </c>
      <c r="K812" t="s">
        <v>42</v>
      </c>
      <c r="L812" t="s">
        <v>27</v>
      </c>
      <c r="M812" s="3">
        <f t="shared" si="36"/>
        <v>0</v>
      </c>
      <c r="N812" t="str">
        <f t="shared" si="37"/>
        <v>January</v>
      </c>
      <c r="O812" t="str">
        <f t="shared" si="38"/>
        <v>2024</v>
      </c>
      <c r="P812" s="3">
        <f>Table1[[#This Row],[Revenue]]-Table1[[#This Row],[Cost]]</f>
        <v>0</v>
      </c>
      <c r="Q81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13" spans="1:17" x14ac:dyDescent="0.2">
      <c r="A813" t="s">
        <v>214</v>
      </c>
      <c r="B813" s="1">
        <v>44930</v>
      </c>
      <c r="C813" t="s">
        <v>246</v>
      </c>
      <c r="D813" t="s">
        <v>267</v>
      </c>
      <c r="E813" t="s">
        <v>48</v>
      </c>
      <c r="F813" t="s">
        <v>39</v>
      </c>
      <c r="G813">
        <v>0</v>
      </c>
      <c r="H813">
        <f>Table1[[#This Row],[UnitPrice]]*0.7*Table1[[#This Row],[UnitsSold]]</f>
        <v>0</v>
      </c>
      <c r="I813">
        <v>1017.3087234042553</v>
      </c>
      <c r="J813">
        <v>0.11</v>
      </c>
      <c r="K813" t="s">
        <v>248</v>
      </c>
      <c r="L813" t="s">
        <v>55</v>
      </c>
      <c r="M813" s="3">
        <f t="shared" si="36"/>
        <v>0</v>
      </c>
      <c r="N813" t="str">
        <f t="shared" si="37"/>
        <v>January</v>
      </c>
      <c r="O813" t="str">
        <f t="shared" si="38"/>
        <v>2023</v>
      </c>
      <c r="P813" s="3">
        <f>Table1[[#This Row],[Revenue]]-Table1[[#This Row],[Cost]]</f>
        <v>0</v>
      </c>
      <c r="Q81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14" spans="1:17" x14ac:dyDescent="0.2">
      <c r="A814" t="s">
        <v>199</v>
      </c>
      <c r="B814" s="1">
        <v>45151</v>
      </c>
      <c r="C814" t="s">
        <v>57</v>
      </c>
      <c r="D814" t="s">
        <v>19</v>
      </c>
      <c r="E814" t="s">
        <v>247</v>
      </c>
      <c r="F814" t="s">
        <v>26</v>
      </c>
      <c r="G814">
        <v>14</v>
      </c>
      <c r="H814">
        <f>Table1[[#This Row],[UnitPrice]]*0.7*Table1[[#This Row],[UnitsSold]]</f>
        <v>9617.33</v>
      </c>
      <c r="I814">
        <v>981.36020408163256</v>
      </c>
      <c r="J814">
        <v>0.06</v>
      </c>
      <c r="K814" t="s">
        <v>52</v>
      </c>
      <c r="L814" t="s">
        <v>27</v>
      </c>
      <c r="M814" s="3">
        <f t="shared" si="36"/>
        <v>12914.700285714285</v>
      </c>
      <c r="N814" t="str">
        <f t="shared" si="37"/>
        <v>August</v>
      </c>
      <c r="O814" t="str">
        <f t="shared" si="38"/>
        <v>2023</v>
      </c>
      <c r="P814" s="3">
        <f>Table1[[#This Row],[Revenue]]-Table1[[#This Row],[Cost]]</f>
        <v>3297.3702857142853</v>
      </c>
      <c r="Q814" s="6">
        <f>IF(Table1[[#This Row],[UnitsSold]]*Table1[[#This Row],[UnitPrice]]*(1-Table1[[#This Row],[Discount]])=0, 0, ((Table1[[#This Row],[UnitsSold]]*Table1[[#This Row],[UnitPrice]]*(1-Table1[[#This Row],[Discount]])) - (Table1[[#This Row],[UnitsSold]]*Table1[[#This Row],[UnitPrice]]*0.7)) / (Table1[[#This Row],[UnitsSold]]*Table1[[#This Row],[UnitPrice]]*(1-Table1[[#This Row],[Discount]])))</f>
        <v>0.2553191489361703</v>
      </c>
    </row>
    <row r="815" spans="1:17" x14ac:dyDescent="0.2">
      <c r="A815" t="s">
        <v>141</v>
      </c>
      <c r="B815" s="1">
        <v>45129</v>
      </c>
      <c r="C815" t="s">
        <v>57</v>
      </c>
      <c r="D815" t="s">
        <v>13</v>
      </c>
      <c r="E815" t="s">
        <v>14</v>
      </c>
      <c r="F815" t="s">
        <v>26</v>
      </c>
      <c r="G815">
        <v>0</v>
      </c>
      <c r="H815">
        <f>Table1[[#This Row],[UnitPrice]]*0.7*Table1[[#This Row],[UnitsSold]]</f>
        <v>0</v>
      </c>
      <c r="I815">
        <v>1002.870425531915</v>
      </c>
      <c r="J815">
        <v>0</v>
      </c>
      <c r="K815" t="s">
        <v>16</v>
      </c>
      <c r="L815" t="s">
        <v>22</v>
      </c>
      <c r="M815" s="3">
        <f t="shared" si="36"/>
        <v>0</v>
      </c>
      <c r="N815" t="str">
        <f t="shared" si="37"/>
        <v>July</v>
      </c>
      <c r="O815" t="str">
        <f t="shared" si="38"/>
        <v>2023</v>
      </c>
      <c r="P815" s="3">
        <f>Table1[[#This Row],[Revenue]]-Table1[[#This Row],[Cost]]</f>
        <v>0</v>
      </c>
      <c r="Q81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16" spans="1:17" x14ac:dyDescent="0.2">
      <c r="A816" t="s">
        <v>164</v>
      </c>
      <c r="B816" s="1">
        <v>45208</v>
      </c>
      <c r="C816" t="s">
        <v>57</v>
      </c>
      <c r="D816" t="s">
        <v>267</v>
      </c>
      <c r="E816" t="s">
        <v>48</v>
      </c>
      <c r="F816" t="s">
        <v>39</v>
      </c>
      <c r="G816">
        <v>0</v>
      </c>
      <c r="H816">
        <f>Table1[[#This Row],[UnitPrice]]*0.7*Table1[[#This Row],[UnitsSold]]</f>
        <v>0</v>
      </c>
      <c r="I816">
        <v>1017.3087234042553</v>
      </c>
      <c r="J816">
        <v>0</v>
      </c>
      <c r="K816" t="s">
        <v>16</v>
      </c>
      <c r="L816" t="s">
        <v>27</v>
      </c>
      <c r="M816" s="3">
        <f t="shared" si="36"/>
        <v>0</v>
      </c>
      <c r="N816" t="str">
        <f t="shared" si="37"/>
        <v>October</v>
      </c>
      <c r="O816" t="str">
        <f t="shared" si="38"/>
        <v>2023</v>
      </c>
      <c r="P816" s="3">
        <f>Table1[[#This Row],[Revenue]]-Table1[[#This Row],[Cost]]</f>
        <v>0</v>
      </c>
      <c r="Q81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17" spans="1:17" x14ac:dyDescent="0.2">
      <c r="A817" t="s">
        <v>199</v>
      </c>
      <c r="B817" s="1">
        <v>44937</v>
      </c>
      <c r="C817" t="s">
        <v>246</v>
      </c>
      <c r="D817" t="s">
        <v>19</v>
      </c>
      <c r="E817" t="s">
        <v>14</v>
      </c>
      <c r="F817" t="s">
        <v>26</v>
      </c>
      <c r="G817">
        <v>0</v>
      </c>
      <c r="H817">
        <f>Table1[[#This Row],[UnitPrice]]*0.7*Table1[[#This Row],[UnitsSold]]</f>
        <v>0</v>
      </c>
      <c r="I817">
        <v>1002.870425531915</v>
      </c>
      <c r="J817">
        <v>0</v>
      </c>
      <c r="K817" t="s">
        <v>248</v>
      </c>
      <c r="L817" t="s">
        <v>27</v>
      </c>
      <c r="M817" s="3">
        <f t="shared" si="36"/>
        <v>0</v>
      </c>
      <c r="N817" t="str">
        <f t="shared" si="37"/>
        <v>January</v>
      </c>
      <c r="O817" t="str">
        <f t="shared" si="38"/>
        <v>2023</v>
      </c>
      <c r="P817" s="3">
        <f>Table1[[#This Row],[Revenue]]-Table1[[#This Row],[Cost]]</f>
        <v>0</v>
      </c>
      <c r="Q81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18" spans="1:17" x14ac:dyDescent="0.2">
      <c r="A818" t="s">
        <v>92</v>
      </c>
      <c r="B818" s="1">
        <v>45172</v>
      </c>
      <c r="C818" t="s">
        <v>24</v>
      </c>
      <c r="D818" t="s">
        <v>59</v>
      </c>
      <c r="E818" t="s">
        <v>38</v>
      </c>
      <c r="F818" t="s">
        <v>34</v>
      </c>
      <c r="G818">
        <v>14</v>
      </c>
      <c r="H818">
        <f>Table1[[#This Row],[UnitPrice]]*0.7*Table1[[#This Row],[UnitsSold]]</f>
        <v>9180.6088181818177</v>
      </c>
      <c r="I818">
        <v>936.79681818181825</v>
      </c>
      <c r="J818">
        <v>0.15</v>
      </c>
      <c r="K818" t="s">
        <v>52</v>
      </c>
      <c r="L818" t="s">
        <v>27</v>
      </c>
      <c r="M818" s="3">
        <f t="shared" si="36"/>
        <v>11147.882136363638</v>
      </c>
      <c r="N818" t="str">
        <f t="shared" si="37"/>
        <v>September</v>
      </c>
      <c r="O818" t="str">
        <f t="shared" si="38"/>
        <v>2023</v>
      </c>
      <c r="P818" s="3">
        <f>Table1[[#This Row],[Revenue]]-Table1[[#This Row],[Cost]]</f>
        <v>1967.2733181818203</v>
      </c>
      <c r="Q818" s="6">
        <f>IF(Table1[[#This Row],[UnitsSold]]*Table1[[#This Row],[UnitPrice]]*(1-Table1[[#This Row],[Discount]])=0, 0, ((Table1[[#This Row],[UnitsSold]]*Table1[[#This Row],[UnitPrice]]*(1-Table1[[#This Row],[Discount]])) - (Table1[[#This Row],[UnitsSold]]*Table1[[#This Row],[UnitPrice]]*0.7)) / (Table1[[#This Row],[UnitsSold]]*Table1[[#This Row],[UnitPrice]]*(1-Table1[[#This Row],[Discount]])))</f>
        <v>0.17647058823529413</v>
      </c>
    </row>
    <row r="819" spans="1:17" x14ac:dyDescent="0.2">
      <c r="A819" t="s">
        <v>43</v>
      </c>
      <c r="B819" s="1">
        <v>45285</v>
      </c>
      <c r="C819" t="s">
        <v>37</v>
      </c>
      <c r="D819" t="s">
        <v>13</v>
      </c>
      <c r="E819" t="s">
        <v>25</v>
      </c>
      <c r="F819" t="s">
        <v>26</v>
      </c>
      <c r="G819">
        <v>0</v>
      </c>
      <c r="H819">
        <f>Table1[[#This Row],[UnitPrice]]*0.7*Table1[[#This Row],[UnitsSold]]</f>
        <v>0</v>
      </c>
      <c r="I819">
        <v>1415.86</v>
      </c>
      <c r="J819">
        <v>0</v>
      </c>
      <c r="K819" t="s">
        <v>248</v>
      </c>
      <c r="L819" t="s">
        <v>249</v>
      </c>
      <c r="M819" s="3">
        <f t="shared" si="36"/>
        <v>0</v>
      </c>
      <c r="N819" t="str">
        <f t="shared" si="37"/>
        <v>December</v>
      </c>
      <c r="O819" t="str">
        <f t="shared" si="38"/>
        <v>2023</v>
      </c>
      <c r="P819" s="3">
        <f>Table1[[#This Row],[Revenue]]-Table1[[#This Row],[Cost]]</f>
        <v>0</v>
      </c>
      <c r="Q81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20" spans="1:17" x14ac:dyDescent="0.2">
      <c r="A820" t="s">
        <v>111</v>
      </c>
      <c r="B820" s="1">
        <v>45229</v>
      </c>
      <c r="C820" t="s">
        <v>246</v>
      </c>
      <c r="D820" t="s">
        <v>19</v>
      </c>
      <c r="E820" t="s">
        <v>46</v>
      </c>
      <c r="F820" t="s">
        <v>26</v>
      </c>
      <c r="G820">
        <v>13</v>
      </c>
      <c r="H820">
        <f>Table1[[#This Row],[UnitPrice]]*0.7*Table1[[#This Row],[UnitsSold]]</f>
        <v>5050.3180000000002</v>
      </c>
      <c r="I820">
        <v>554.98</v>
      </c>
      <c r="J820">
        <v>0</v>
      </c>
      <c r="K820" t="s">
        <v>16</v>
      </c>
      <c r="L820" t="s">
        <v>17</v>
      </c>
      <c r="M820" s="3">
        <f t="shared" si="36"/>
        <v>7214.74</v>
      </c>
      <c r="N820" t="str">
        <f t="shared" si="37"/>
        <v>October</v>
      </c>
      <c r="O820" t="str">
        <f t="shared" si="38"/>
        <v>2023</v>
      </c>
      <c r="P820" s="3">
        <f>Table1[[#This Row],[Revenue]]-Table1[[#This Row],[Cost]]</f>
        <v>2164.4219999999996</v>
      </c>
      <c r="Q82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821" spans="1:17" x14ac:dyDescent="0.2">
      <c r="A821" t="s">
        <v>217</v>
      </c>
      <c r="B821" s="1">
        <v>44973</v>
      </c>
      <c r="C821" t="s">
        <v>12</v>
      </c>
      <c r="D821" t="s">
        <v>83</v>
      </c>
      <c r="E821" t="s">
        <v>38</v>
      </c>
      <c r="F821" t="s">
        <v>34</v>
      </c>
      <c r="G821">
        <v>0</v>
      </c>
      <c r="H821">
        <f>Table1[[#This Row],[UnitPrice]]*0.7*Table1[[#This Row],[UnitsSold]]</f>
        <v>0</v>
      </c>
      <c r="I821">
        <v>1270.29</v>
      </c>
      <c r="J821">
        <v>0</v>
      </c>
      <c r="K821" t="s">
        <v>42</v>
      </c>
      <c r="L821" t="s">
        <v>27</v>
      </c>
      <c r="M821" s="3">
        <f t="shared" si="36"/>
        <v>0</v>
      </c>
      <c r="N821" t="str">
        <f t="shared" si="37"/>
        <v>February</v>
      </c>
      <c r="O821" t="str">
        <f t="shared" si="38"/>
        <v>2023</v>
      </c>
      <c r="P821" s="3">
        <f>Table1[[#This Row],[Revenue]]-Table1[[#This Row],[Cost]]</f>
        <v>0</v>
      </c>
      <c r="Q82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22" spans="1:17" x14ac:dyDescent="0.2">
      <c r="A822" t="s">
        <v>80</v>
      </c>
      <c r="B822" s="1">
        <v>45145</v>
      </c>
      <c r="C822" t="s">
        <v>12</v>
      </c>
      <c r="D822" t="s">
        <v>59</v>
      </c>
      <c r="E822" t="s">
        <v>46</v>
      </c>
      <c r="F822" t="s">
        <v>26</v>
      </c>
      <c r="G822">
        <v>0</v>
      </c>
      <c r="H822">
        <f>Table1[[#This Row],[UnitPrice]]*0.7*Table1[[#This Row],[UnitsSold]]</f>
        <v>0</v>
      </c>
      <c r="I822">
        <v>1106.0261904761899</v>
      </c>
      <c r="J822">
        <v>0</v>
      </c>
      <c r="K822" t="s">
        <v>16</v>
      </c>
      <c r="L822" t="s">
        <v>249</v>
      </c>
      <c r="M822" s="3">
        <f t="shared" si="36"/>
        <v>0</v>
      </c>
      <c r="N822" t="str">
        <f t="shared" si="37"/>
        <v>August</v>
      </c>
      <c r="O822" t="str">
        <f t="shared" si="38"/>
        <v>2023</v>
      </c>
      <c r="P822" s="3">
        <f>Table1[[#This Row],[Revenue]]-Table1[[#This Row],[Cost]]</f>
        <v>0</v>
      </c>
      <c r="Q82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23" spans="1:17" x14ac:dyDescent="0.2">
      <c r="A823" t="s">
        <v>200</v>
      </c>
      <c r="B823" s="1">
        <v>44927</v>
      </c>
      <c r="C823" t="s">
        <v>12</v>
      </c>
      <c r="D823" t="s">
        <v>13</v>
      </c>
      <c r="E823" t="s">
        <v>48</v>
      </c>
      <c r="F823" t="s">
        <v>39</v>
      </c>
      <c r="G823">
        <v>0</v>
      </c>
      <c r="H823">
        <f>Table1[[#This Row],[UnitPrice]]*0.7*Table1[[#This Row],[UnitsSold]]</f>
        <v>0</v>
      </c>
      <c r="I823">
        <v>1017.3087234042553</v>
      </c>
      <c r="J823">
        <v>0.03</v>
      </c>
      <c r="K823" t="s">
        <v>52</v>
      </c>
      <c r="L823" t="s">
        <v>22</v>
      </c>
      <c r="M823" s="3">
        <f t="shared" si="36"/>
        <v>0</v>
      </c>
      <c r="N823" t="str">
        <f t="shared" si="37"/>
        <v>January</v>
      </c>
      <c r="O823" t="str">
        <f t="shared" si="38"/>
        <v>2023</v>
      </c>
      <c r="P823" s="3">
        <f>Table1[[#This Row],[Revenue]]-Table1[[#This Row],[Cost]]</f>
        <v>0</v>
      </c>
      <c r="Q82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24" spans="1:17" x14ac:dyDescent="0.2">
      <c r="A824" t="s">
        <v>77</v>
      </c>
      <c r="B824" s="1">
        <v>45098</v>
      </c>
      <c r="C824" t="s">
        <v>24</v>
      </c>
      <c r="D824" t="s">
        <v>19</v>
      </c>
      <c r="E824" t="s">
        <v>46</v>
      </c>
      <c r="F824" t="s">
        <v>26</v>
      </c>
      <c r="G824">
        <v>18</v>
      </c>
      <c r="H824">
        <f>Table1[[#This Row],[UnitPrice]]*0.7*Table1[[#This Row],[UnitsSold]]</f>
        <v>13935.929999999993</v>
      </c>
      <c r="I824">
        <v>1106.0261904761899</v>
      </c>
      <c r="J824">
        <v>0</v>
      </c>
      <c r="K824" t="s">
        <v>248</v>
      </c>
      <c r="L824" t="s">
        <v>17</v>
      </c>
      <c r="M824" s="3">
        <f t="shared" si="36"/>
        <v>19908.471428571418</v>
      </c>
      <c r="N824" t="str">
        <f t="shared" si="37"/>
        <v>June</v>
      </c>
      <c r="O824" t="str">
        <f t="shared" si="38"/>
        <v>2023</v>
      </c>
      <c r="P824" s="3">
        <f>Table1[[#This Row],[Revenue]]-Table1[[#This Row],[Cost]]</f>
        <v>5972.5414285714251</v>
      </c>
      <c r="Q824"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825" spans="1:17" x14ac:dyDescent="0.2">
      <c r="A825" t="s">
        <v>136</v>
      </c>
      <c r="B825" s="1">
        <v>45117</v>
      </c>
      <c r="C825" t="s">
        <v>37</v>
      </c>
      <c r="D825" t="s">
        <v>13</v>
      </c>
      <c r="E825" t="s">
        <v>14</v>
      </c>
      <c r="F825" t="s">
        <v>26</v>
      </c>
      <c r="G825">
        <v>0</v>
      </c>
      <c r="H825">
        <f>Table1[[#This Row],[UnitPrice]]*0.7*Table1[[#This Row],[UnitsSold]]</f>
        <v>0</v>
      </c>
      <c r="I825">
        <v>183.59</v>
      </c>
      <c r="J825">
        <v>0</v>
      </c>
      <c r="K825" t="s">
        <v>248</v>
      </c>
      <c r="L825" t="s">
        <v>27</v>
      </c>
      <c r="M825" s="3">
        <f t="shared" si="36"/>
        <v>0</v>
      </c>
      <c r="N825" t="str">
        <f t="shared" si="37"/>
        <v>July</v>
      </c>
      <c r="O825" t="str">
        <f t="shared" si="38"/>
        <v>2023</v>
      </c>
      <c r="P825" s="3">
        <f>Table1[[#This Row],[Revenue]]-Table1[[#This Row],[Cost]]</f>
        <v>0</v>
      </c>
      <c r="Q82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26" spans="1:17" x14ac:dyDescent="0.2">
      <c r="A826" t="s">
        <v>200</v>
      </c>
      <c r="B826" s="1">
        <v>45227</v>
      </c>
      <c r="C826" t="s">
        <v>37</v>
      </c>
      <c r="D826" t="s">
        <v>19</v>
      </c>
      <c r="E826" t="s">
        <v>48</v>
      </c>
      <c r="F826" t="s">
        <v>39</v>
      </c>
      <c r="G826">
        <v>4</v>
      </c>
      <c r="H826">
        <f>Table1[[#This Row],[UnitPrice]]*0.7*Table1[[#This Row],[UnitsSold]]</f>
        <v>2848.4644255319145</v>
      </c>
      <c r="I826">
        <v>1017.3087234042553</v>
      </c>
      <c r="J826">
        <v>0</v>
      </c>
      <c r="K826" t="s">
        <v>42</v>
      </c>
      <c r="L826" t="s">
        <v>249</v>
      </c>
      <c r="M826" s="3">
        <f t="shared" si="36"/>
        <v>4069.234893617021</v>
      </c>
      <c r="N826" t="str">
        <f t="shared" si="37"/>
        <v>October</v>
      </c>
      <c r="O826" t="str">
        <f t="shared" si="38"/>
        <v>2023</v>
      </c>
      <c r="P826" s="3">
        <f>Table1[[#This Row],[Revenue]]-Table1[[#This Row],[Cost]]</f>
        <v>1220.7704680851066</v>
      </c>
      <c r="Q826"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827" spans="1:17" x14ac:dyDescent="0.2">
      <c r="A827" t="s">
        <v>36</v>
      </c>
      <c r="B827" s="1">
        <v>45296</v>
      </c>
      <c r="C827" t="s">
        <v>246</v>
      </c>
      <c r="D827" t="s">
        <v>19</v>
      </c>
      <c r="E827" t="s">
        <v>247</v>
      </c>
      <c r="F827" t="s">
        <v>26</v>
      </c>
      <c r="G827">
        <v>0</v>
      </c>
      <c r="H827">
        <f>Table1[[#This Row],[UnitPrice]]*0.7*Table1[[#This Row],[UnitsSold]]</f>
        <v>0</v>
      </c>
      <c r="I827">
        <v>981.36020408163256</v>
      </c>
      <c r="J827">
        <v>0</v>
      </c>
      <c r="K827" t="s">
        <v>42</v>
      </c>
      <c r="L827" t="s">
        <v>27</v>
      </c>
      <c r="M827" s="3">
        <f t="shared" si="36"/>
        <v>0</v>
      </c>
      <c r="N827" t="str">
        <f t="shared" si="37"/>
        <v>January</v>
      </c>
      <c r="O827" t="str">
        <f t="shared" si="38"/>
        <v>2024</v>
      </c>
      <c r="P827" s="3">
        <f>Table1[[#This Row],[Revenue]]-Table1[[#This Row],[Cost]]</f>
        <v>0</v>
      </c>
      <c r="Q82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28" spans="1:17" x14ac:dyDescent="0.2">
      <c r="A828" t="s">
        <v>92</v>
      </c>
      <c r="B828" s="1">
        <v>44961</v>
      </c>
      <c r="C828" t="s">
        <v>57</v>
      </c>
      <c r="D828" t="s">
        <v>83</v>
      </c>
      <c r="E828" t="s">
        <v>44</v>
      </c>
      <c r="F828" t="s">
        <v>26</v>
      </c>
      <c r="G828">
        <v>1</v>
      </c>
      <c r="H828">
        <f>Table1[[#This Row],[UnitPrice]]*0.7*Table1[[#This Row],[UnitsSold]]</f>
        <v>755.7036170212765</v>
      </c>
      <c r="I828">
        <v>1079.5765957446808</v>
      </c>
      <c r="J828">
        <v>0</v>
      </c>
      <c r="K828" t="s">
        <v>16</v>
      </c>
      <c r="L828" t="s">
        <v>17</v>
      </c>
      <c r="M828" s="3">
        <f t="shared" si="36"/>
        <v>1079.5765957446808</v>
      </c>
      <c r="N828" t="str">
        <f t="shared" si="37"/>
        <v>February</v>
      </c>
      <c r="O828" t="str">
        <f t="shared" si="38"/>
        <v>2023</v>
      </c>
      <c r="P828" s="3">
        <f>Table1[[#This Row],[Revenue]]-Table1[[#This Row],[Cost]]</f>
        <v>323.87297872340434</v>
      </c>
      <c r="Q828"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829" spans="1:17" x14ac:dyDescent="0.2">
      <c r="A829" t="s">
        <v>62</v>
      </c>
      <c r="B829" s="1">
        <v>45282</v>
      </c>
      <c r="C829" t="s">
        <v>37</v>
      </c>
      <c r="D829" t="s">
        <v>13</v>
      </c>
      <c r="E829" t="s">
        <v>25</v>
      </c>
      <c r="F829" t="s">
        <v>26</v>
      </c>
      <c r="G829">
        <v>0</v>
      </c>
      <c r="H829">
        <f>Table1[[#This Row],[UnitPrice]]*0.7*Table1[[#This Row],[UnitsSold]]</f>
        <v>0</v>
      </c>
      <c r="I829">
        <v>961.05661016949136</v>
      </c>
      <c r="J829">
        <v>0.28999999999999998</v>
      </c>
      <c r="K829" t="s">
        <v>42</v>
      </c>
      <c r="L829" t="s">
        <v>17</v>
      </c>
      <c r="M829" s="3">
        <f t="shared" si="36"/>
        <v>0</v>
      </c>
      <c r="N829" t="str">
        <f t="shared" si="37"/>
        <v>December</v>
      </c>
      <c r="O829" t="str">
        <f t="shared" si="38"/>
        <v>2023</v>
      </c>
      <c r="P829" s="3">
        <f>Table1[[#This Row],[Revenue]]-Table1[[#This Row],[Cost]]</f>
        <v>0</v>
      </c>
      <c r="Q82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30" spans="1:17" x14ac:dyDescent="0.2">
      <c r="A830" t="s">
        <v>142</v>
      </c>
      <c r="B830" s="1">
        <v>45214</v>
      </c>
      <c r="C830" t="s">
        <v>57</v>
      </c>
      <c r="D830" t="s">
        <v>83</v>
      </c>
      <c r="E830" t="s">
        <v>44</v>
      </c>
      <c r="F830" t="s">
        <v>26</v>
      </c>
      <c r="G830">
        <v>7</v>
      </c>
      <c r="H830">
        <f>Table1[[#This Row],[UnitPrice]]*0.7*Table1[[#This Row],[UnitsSold]]</f>
        <v>5289.9253191489352</v>
      </c>
      <c r="I830">
        <v>1079.5765957446808</v>
      </c>
      <c r="J830">
        <v>0</v>
      </c>
      <c r="K830" t="s">
        <v>16</v>
      </c>
      <c r="L830" t="s">
        <v>17</v>
      </c>
      <c r="M830" s="3">
        <f t="shared" si="36"/>
        <v>7557.0361702127657</v>
      </c>
      <c r="N830" t="str">
        <f t="shared" si="37"/>
        <v>October</v>
      </c>
      <c r="O830" t="str">
        <f t="shared" si="38"/>
        <v>2023</v>
      </c>
      <c r="P830" s="3">
        <f>Table1[[#This Row],[Revenue]]-Table1[[#This Row],[Cost]]</f>
        <v>2267.1108510638305</v>
      </c>
      <c r="Q830"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831" spans="1:17" x14ac:dyDescent="0.2">
      <c r="A831" t="s">
        <v>125</v>
      </c>
      <c r="B831" s="1">
        <v>45184</v>
      </c>
      <c r="C831" t="s">
        <v>24</v>
      </c>
      <c r="D831" t="s">
        <v>59</v>
      </c>
      <c r="E831" t="s">
        <v>25</v>
      </c>
      <c r="F831" t="s">
        <v>26</v>
      </c>
      <c r="G831">
        <v>0</v>
      </c>
      <c r="H831">
        <f>Table1[[#This Row],[UnitPrice]]*0.7*Table1[[#This Row],[UnitsSold]]</f>
        <v>0</v>
      </c>
      <c r="I831">
        <v>544.34</v>
      </c>
      <c r="J831">
        <v>0.05</v>
      </c>
      <c r="K831" t="s">
        <v>248</v>
      </c>
      <c r="L831" t="s">
        <v>249</v>
      </c>
      <c r="M831" s="3">
        <f t="shared" si="36"/>
        <v>0</v>
      </c>
      <c r="N831" t="str">
        <f t="shared" si="37"/>
        <v>September</v>
      </c>
      <c r="O831" t="str">
        <f t="shared" si="38"/>
        <v>2023</v>
      </c>
      <c r="P831" s="3">
        <f>Table1[[#This Row],[Revenue]]-Table1[[#This Row],[Cost]]</f>
        <v>0</v>
      </c>
      <c r="Q83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32" spans="1:17" x14ac:dyDescent="0.2">
      <c r="A832" t="s">
        <v>152</v>
      </c>
      <c r="B832" s="1">
        <v>44947</v>
      </c>
      <c r="C832" t="s">
        <v>246</v>
      </c>
      <c r="D832" t="s">
        <v>59</v>
      </c>
      <c r="E832" t="s">
        <v>247</v>
      </c>
      <c r="F832" t="s">
        <v>26</v>
      </c>
      <c r="G832">
        <v>0</v>
      </c>
      <c r="H832">
        <f>Table1[[#This Row],[UnitPrice]]*0.7*Table1[[#This Row],[UnitsSold]]</f>
        <v>0</v>
      </c>
      <c r="I832">
        <v>1960.25</v>
      </c>
      <c r="J832">
        <v>0.16</v>
      </c>
      <c r="K832" t="s">
        <v>283</v>
      </c>
      <c r="L832" t="s">
        <v>55</v>
      </c>
      <c r="M832" s="3">
        <f t="shared" si="36"/>
        <v>0</v>
      </c>
      <c r="N832" t="str">
        <f t="shared" si="37"/>
        <v>January</v>
      </c>
      <c r="O832" t="str">
        <f t="shared" si="38"/>
        <v>2023</v>
      </c>
      <c r="P832" s="3">
        <f>Table1[[#This Row],[Revenue]]-Table1[[#This Row],[Cost]]</f>
        <v>0</v>
      </c>
      <c r="Q83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33" spans="1:17" x14ac:dyDescent="0.2">
      <c r="A833" t="s">
        <v>235</v>
      </c>
      <c r="B833" s="1">
        <v>45236</v>
      </c>
      <c r="C833" t="s">
        <v>29</v>
      </c>
      <c r="D833" t="s">
        <v>59</v>
      </c>
      <c r="E833" t="s">
        <v>46</v>
      </c>
      <c r="F833" t="s">
        <v>26</v>
      </c>
      <c r="G833">
        <v>0</v>
      </c>
      <c r="H833">
        <f>Table1[[#This Row],[UnitPrice]]*0.7*Table1[[#This Row],[UnitsSold]]</f>
        <v>0</v>
      </c>
      <c r="I833">
        <v>1106.0261904761899</v>
      </c>
      <c r="J833">
        <v>0.09</v>
      </c>
      <c r="K833" t="s">
        <v>283</v>
      </c>
      <c r="L833" t="s">
        <v>27</v>
      </c>
      <c r="M833" s="3">
        <f t="shared" si="36"/>
        <v>0</v>
      </c>
      <c r="N833" t="str">
        <f t="shared" si="37"/>
        <v>November</v>
      </c>
      <c r="O833" t="str">
        <f t="shared" si="38"/>
        <v>2023</v>
      </c>
      <c r="P833" s="3">
        <f>Table1[[#This Row],[Revenue]]-Table1[[#This Row],[Cost]]</f>
        <v>0</v>
      </c>
      <c r="Q83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34" spans="1:17" x14ac:dyDescent="0.2">
      <c r="A834" t="s">
        <v>230</v>
      </c>
      <c r="B834" s="1">
        <v>45039</v>
      </c>
      <c r="C834" t="s">
        <v>24</v>
      </c>
      <c r="D834" t="s">
        <v>19</v>
      </c>
      <c r="E834" t="s">
        <v>14</v>
      </c>
      <c r="F834" t="s">
        <v>26</v>
      </c>
      <c r="G834">
        <v>0</v>
      </c>
      <c r="H834">
        <f>Table1[[#This Row],[UnitPrice]]*0.7*Table1[[#This Row],[UnitsSold]]</f>
        <v>0</v>
      </c>
      <c r="I834">
        <v>1002.870425531915</v>
      </c>
      <c r="J834">
        <v>0</v>
      </c>
      <c r="K834" t="s">
        <v>283</v>
      </c>
      <c r="L834" t="s">
        <v>22</v>
      </c>
      <c r="M834" s="3">
        <f t="shared" ref="M834:M897" si="39">G834*I834*(1-J834)</f>
        <v>0</v>
      </c>
      <c r="N834" t="str">
        <f t="shared" ref="N834:N897" si="40">TEXT(B834, "mmmm")</f>
        <v>April</v>
      </c>
      <c r="O834" t="str">
        <f t="shared" ref="O834:O897" si="41">TEXT(B834, "yyyy")</f>
        <v>2023</v>
      </c>
      <c r="P834" s="3">
        <f>Table1[[#This Row],[Revenue]]-Table1[[#This Row],[Cost]]</f>
        <v>0</v>
      </c>
      <c r="Q83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35" spans="1:17" x14ac:dyDescent="0.2">
      <c r="A835" t="s">
        <v>188</v>
      </c>
      <c r="B835" s="1">
        <v>45058</v>
      </c>
      <c r="C835" t="s">
        <v>37</v>
      </c>
      <c r="D835" t="s">
        <v>267</v>
      </c>
      <c r="E835" t="s">
        <v>38</v>
      </c>
      <c r="F835" t="s">
        <v>34</v>
      </c>
      <c r="G835">
        <v>0</v>
      </c>
      <c r="H835">
        <f>Table1[[#This Row],[UnitPrice]]*0.7*Table1[[#This Row],[UnitsSold]]</f>
        <v>0</v>
      </c>
      <c r="I835">
        <v>936.79681818181825</v>
      </c>
      <c r="J835">
        <v>0</v>
      </c>
      <c r="K835" t="s">
        <v>16</v>
      </c>
      <c r="L835" t="s">
        <v>22</v>
      </c>
      <c r="M835" s="3">
        <f t="shared" si="39"/>
        <v>0</v>
      </c>
      <c r="N835" t="str">
        <f t="shared" si="40"/>
        <v>May</v>
      </c>
      <c r="O835" t="str">
        <f t="shared" si="41"/>
        <v>2023</v>
      </c>
      <c r="P835" s="3">
        <f>Table1[[#This Row],[Revenue]]-Table1[[#This Row],[Cost]]</f>
        <v>0</v>
      </c>
      <c r="Q83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36" spans="1:17" x14ac:dyDescent="0.2">
      <c r="A836" t="s">
        <v>228</v>
      </c>
      <c r="B836" s="1">
        <v>45300</v>
      </c>
      <c r="C836" t="s">
        <v>57</v>
      </c>
      <c r="D836" t="s">
        <v>59</v>
      </c>
      <c r="E836" t="s">
        <v>247</v>
      </c>
      <c r="F836" t="s">
        <v>26</v>
      </c>
      <c r="G836">
        <v>0</v>
      </c>
      <c r="H836">
        <f>Table1[[#This Row],[UnitPrice]]*0.7*Table1[[#This Row],[UnitsSold]]</f>
        <v>0</v>
      </c>
      <c r="I836">
        <v>371.21</v>
      </c>
      <c r="J836">
        <v>0.24</v>
      </c>
      <c r="K836" t="s">
        <v>16</v>
      </c>
      <c r="L836" t="s">
        <v>17</v>
      </c>
      <c r="M836" s="3">
        <f t="shared" si="39"/>
        <v>0</v>
      </c>
      <c r="N836" t="str">
        <f t="shared" si="40"/>
        <v>January</v>
      </c>
      <c r="O836" t="str">
        <f t="shared" si="41"/>
        <v>2024</v>
      </c>
      <c r="P836" s="3">
        <f>Table1[[#This Row],[Revenue]]-Table1[[#This Row],[Cost]]</f>
        <v>0</v>
      </c>
      <c r="Q83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37" spans="1:17" x14ac:dyDescent="0.2">
      <c r="A837" t="s">
        <v>164</v>
      </c>
      <c r="B837" s="1">
        <v>45300</v>
      </c>
      <c r="C837" t="s">
        <v>246</v>
      </c>
      <c r="D837" t="s">
        <v>13</v>
      </c>
      <c r="E837" t="s">
        <v>14</v>
      </c>
      <c r="F837" t="s">
        <v>26</v>
      </c>
      <c r="G837">
        <v>10</v>
      </c>
      <c r="H837">
        <f>Table1[[#This Row],[UnitPrice]]*0.7*Table1[[#This Row],[UnitsSold]]</f>
        <v>7020.0929787234045</v>
      </c>
      <c r="I837">
        <v>1002.870425531915</v>
      </c>
      <c r="J837">
        <v>0.21</v>
      </c>
      <c r="K837" t="s">
        <v>16</v>
      </c>
      <c r="L837" t="s">
        <v>249</v>
      </c>
      <c r="M837" s="3">
        <f t="shared" si="39"/>
        <v>7922.6763617021288</v>
      </c>
      <c r="N837" t="str">
        <f t="shared" si="40"/>
        <v>January</v>
      </c>
      <c r="O837" t="str">
        <f t="shared" si="41"/>
        <v>2024</v>
      </c>
      <c r="P837" s="3">
        <f>Table1[[#This Row],[Revenue]]-Table1[[#This Row],[Cost]]</f>
        <v>902.58338297872433</v>
      </c>
      <c r="Q837" s="6">
        <f>IF(Table1[[#This Row],[UnitsSold]]*Table1[[#This Row],[UnitPrice]]*(1-Table1[[#This Row],[Discount]])=0, 0, ((Table1[[#This Row],[UnitsSold]]*Table1[[#This Row],[UnitPrice]]*(1-Table1[[#This Row],[Discount]])) - (Table1[[#This Row],[UnitsSold]]*Table1[[#This Row],[UnitPrice]]*0.7)) / (Table1[[#This Row],[UnitsSold]]*Table1[[#This Row],[UnitPrice]]*(1-Table1[[#This Row],[Discount]])))</f>
        <v>0.11392405063291149</v>
      </c>
    </row>
    <row r="838" spans="1:17" x14ac:dyDescent="0.2">
      <c r="A838" t="s">
        <v>67</v>
      </c>
      <c r="B838" s="1">
        <v>45145</v>
      </c>
      <c r="C838" t="s">
        <v>37</v>
      </c>
      <c r="D838" t="s">
        <v>83</v>
      </c>
      <c r="E838" t="s">
        <v>48</v>
      </c>
      <c r="F838" t="s">
        <v>39</v>
      </c>
      <c r="G838">
        <v>0</v>
      </c>
      <c r="H838">
        <f>Table1[[#This Row],[UnitPrice]]*0.7*Table1[[#This Row],[UnitsSold]]</f>
        <v>0</v>
      </c>
      <c r="I838">
        <v>1017.3087234042553</v>
      </c>
      <c r="J838">
        <v>0.23</v>
      </c>
      <c r="K838" t="s">
        <v>248</v>
      </c>
      <c r="L838" t="s">
        <v>27</v>
      </c>
      <c r="M838" s="3">
        <f t="shared" si="39"/>
        <v>0</v>
      </c>
      <c r="N838" t="str">
        <f t="shared" si="40"/>
        <v>August</v>
      </c>
      <c r="O838" t="str">
        <f t="shared" si="41"/>
        <v>2023</v>
      </c>
      <c r="P838" s="3">
        <f>Table1[[#This Row],[Revenue]]-Table1[[#This Row],[Cost]]</f>
        <v>0</v>
      </c>
      <c r="Q83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39" spans="1:17" x14ac:dyDescent="0.2">
      <c r="A839" t="s">
        <v>166</v>
      </c>
      <c r="B839" s="1">
        <v>45123</v>
      </c>
      <c r="C839" t="s">
        <v>12</v>
      </c>
      <c r="D839" t="s">
        <v>19</v>
      </c>
      <c r="E839" t="s">
        <v>25</v>
      </c>
      <c r="F839" t="s">
        <v>26</v>
      </c>
      <c r="G839">
        <v>2</v>
      </c>
      <c r="H839">
        <f>Table1[[#This Row],[UnitPrice]]*0.7*Table1[[#This Row],[UnitsSold]]</f>
        <v>705.88</v>
      </c>
      <c r="I839">
        <v>504.2</v>
      </c>
      <c r="J839">
        <v>0</v>
      </c>
      <c r="K839" t="s">
        <v>248</v>
      </c>
      <c r="L839" t="s">
        <v>27</v>
      </c>
      <c r="M839" s="3">
        <f t="shared" si="39"/>
        <v>1008.4</v>
      </c>
      <c r="N839" t="str">
        <f t="shared" si="40"/>
        <v>July</v>
      </c>
      <c r="O839" t="str">
        <f t="shared" si="41"/>
        <v>2023</v>
      </c>
      <c r="P839" s="3">
        <f>Table1[[#This Row],[Revenue]]-Table1[[#This Row],[Cost]]</f>
        <v>302.52</v>
      </c>
      <c r="Q839"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840" spans="1:17" x14ac:dyDescent="0.2">
      <c r="A840" t="s">
        <v>190</v>
      </c>
      <c r="B840" s="1">
        <v>44981</v>
      </c>
      <c r="C840" t="s">
        <v>29</v>
      </c>
      <c r="D840" t="s">
        <v>267</v>
      </c>
      <c r="E840" t="s">
        <v>48</v>
      </c>
      <c r="F840" t="s">
        <v>39</v>
      </c>
      <c r="G840">
        <v>7</v>
      </c>
      <c r="H840">
        <f>Table1[[#This Row],[UnitPrice]]*0.7*Table1[[#This Row],[UnitsSold]]</f>
        <v>4984.8127446808503</v>
      </c>
      <c r="I840">
        <v>1017.3087234042553</v>
      </c>
      <c r="J840">
        <v>0.27</v>
      </c>
      <c r="K840" t="s">
        <v>52</v>
      </c>
      <c r="L840" t="s">
        <v>55</v>
      </c>
      <c r="M840" s="3">
        <f t="shared" si="39"/>
        <v>5198.4475765957441</v>
      </c>
      <c r="N840" t="str">
        <f t="shared" si="40"/>
        <v>February</v>
      </c>
      <c r="O840" t="str">
        <f t="shared" si="41"/>
        <v>2023</v>
      </c>
      <c r="P840" s="3">
        <f>Table1[[#This Row],[Revenue]]-Table1[[#This Row],[Cost]]</f>
        <v>213.63483191489377</v>
      </c>
      <c r="Q840" s="6">
        <f>IF(Table1[[#This Row],[UnitsSold]]*Table1[[#This Row],[UnitPrice]]*(1-Table1[[#This Row],[Discount]])=0, 0, ((Table1[[#This Row],[UnitsSold]]*Table1[[#This Row],[UnitPrice]]*(1-Table1[[#This Row],[Discount]])) - (Table1[[#This Row],[UnitsSold]]*Table1[[#This Row],[UnitPrice]]*0.7)) / (Table1[[#This Row],[UnitsSold]]*Table1[[#This Row],[UnitPrice]]*(1-Table1[[#This Row],[Discount]])))</f>
        <v>4.1095890410958937E-2</v>
      </c>
    </row>
    <row r="841" spans="1:17" x14ac:dyDescent="0.2">
      <c r="A841" t="s">
        <v>161</v>
      </c>
      <c r="B841" s="1">
        <v>45006</v>
      </c>
      <c r="C841" t="s">
        <v>37</v>
      </c>
      <c r="D841" t="s">
        <v>19</v>
      </c>
      <c r="E841" t="s">
        <v>44</v>
      </c>
      <c r="F841" t="s">
        <v>26</v>
      </c>
      <c r="G841">
        <v>18</v>
      </c>
      <c r="H841">
        <f>Table1[[#This Row],[UnitPrice]]*0.7*Table1[[#This Row],[UnitsSold]]</f>
        <v>657.72</v>
      </c>
      <c r="I841">
        <v>52.2</v>
      </c>
      <c r="J841">
        <v>0</v>
      </c>
      <c r="K841" t="s">
        <v>16</v>
      </c>
      <c r="L841" t="s">
        <v>17</v>
      </c>
      <c r="M841" s="3">
        <f t="shared" si="39"/>
        <v>939.6</v>
      </c>
      <c r="N841" t="str">
        <f t="shared" si="40"/>
        <v>March</v>
      </c>
      <c r="O841" t="str">
        <f t="shared" si="41"/>
        <v>2023</v>
      </c>
      <c r="P841" s="3">
        <f>Table1[[#This Row],[Revenue]]-Table1[[#This Row],[Cost]]</f>
        <v>281.88</v>
      </c>
      <c r="Q841"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842" spans="1:17" x14ac:dyDescent="0.2">
      <c r="A842" t="s">
        <v>140</v>
      </c>
      <c r="B842" s="1">
        <v>44999</v>
      </c>
      <c r="C842" t="s">
        <v>12</v>
      </c>
      <c r="D842" t="s">
        <v>19</v>
      </c>
      <c r="E842" t="s">
        <v>46</v>
      </c>
      <c r="F842" t="s">
        <v>26</v>
      </c>
      <c r="G842">
        <v>0</v>
      </c>
      <c r="H842">
        <f>Table1[[#This Row],[UnitPrice]]*0.7*Table1[[#This Row],[UnitsSold]]</f>
        <v>0</v>
      </c>
      <c r="I842">
        <v>1106.0261904761899</v>
      </c>
      <c r="J842">
        <v>0</v>
      </c>
      <c r="K842" t="s">
        <v>42</v>
      </c>
      <c r="L842" t="s">
        <v>27</v>
      </c>
      <c r="M842" s="3">
        <f t="shared" si="39"/>
        <v>0</v>
      </c>
      <c r="N842" t="str">
        <f t="shared" si="40"/>
        <v>March</v>
      </c>
      <c r="O842" t="str">
        <f t="shared" si="41"/>
        <v>2023</v>
      </c>
      <c r="P842" s="3">
        <f>Table1[[#This Row],[Revenue]]-Table1[[#This Row],[Cost]]</f>
        <v>0</v>
      </c>
      <c r="Q84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43" spans="1:17" x14ac:dyDescent="0.2">
      <c r="A843" t="s">
        <v>164</v>
      </c>
      <c r="B843" s="1">
        <v>45013</v>
      </c>
      <c r="C843" t="s">
        <v>12</v>
      </c>
      <c r="D843" t="s">
        <v>19</v>
      </c>
      <c r="E843" t="s">
        <v>46</v>
      </c>
      <c r="F843" t="s">
        <v>26</v>
      </c>
      <c r="G843">
        <v>12</v>
      </c>
      <c r="H843">
        <f>Table1[[#This Row],[UnitPrice]]*0.7*Table1[[#This Row],[UnitsSold]]</f>
        <v>10376.016</v>
      </c>
      <c r="I843">
        <v>1235.24</v>
      </c>
      <c r="J843">
        <v>0.11</v>
      </c>
      <c r="K843" t="s">
        <v>16</v>
      </c>
      <c r="L843" t="s">
        <v>17</v>
      </c>
      <c r="M843" s="3">
        <f t="shared" si="39"/>
        <v>13192.363200000002</v>
      </c>
      <c r="N843" t="str">
        <f t="shared" si="40"/>
        <v>March</v>
      </c>
      <c r="O843" t="str">
        <f t="shared" si="41"/>
        <v>2023</v>
      </c>
      <c r="P843" s="3">
        <f>Table1[[#This Row],[Revenue]]-Table1[[#This Row],[Cost]]</f>
        <v>2816.347200000002</v>
      </c>
      <c r="Q843" s="6">
        <f>IF(Table1[[#This Row],[UnitsSold]]*Table1[[#This Row],[UnitPrice]]*(1-Table1[[#This Row],[Discount]])=0, 0, ((Table1[[#This Row],[UnitsSold]]*Table1[[#This Row],[UnitPrice]]*(1-Table1[[#This Row],[Discount]])) - (Table1[[#This Row],[UnitsSold]]*Table1[[#This Row],[UnitPrice]]*0.7)) / (Table1[[#This Row],[UnitsSold]]*Table1[[#This Row],[UnitPrice]]*(1-Table1[[#This Row],[Discount]])))</f>
        <v>0.21348314606741586</v>
      </c>
    </row>
    <row r="844" spans="1:17" x14ac:dyDescent="0.2">
      <c r="A844" t="s">
        <v>133</v>
      </c>
      <c r="B844" s="1">
        <v>45018</v>
      </c>
      <c r="C844" t="s">
        <v>57</v>
      </c>
      <c r="D844" t="s">
        <v>31</v>
      </c>
      <c r="E844" t="s">
        <v>14</v>
      </c>
      <c r="F844" t="s">
        <v>26</v>
      </c>
      <c r="G844">
        <v>0</v>
      </c>
      <c r="H844">
        <f>Table1[[#This Row],[UnitPrice]]*0.7*Table1[[#This Row],[UnitsSold]]</f>
        <v>0</v>
      </c>
      <c r="I844">
        <v>1002.870425531915</v>
      </c>
      <c r="J844">
        <v>0</v>
      </c>
      <c r="K844" t="s">
        <v>52</v>
      </c>
      <c r="L844" t="s">
        <v>55</v>
      </c>
      <c r="M844" s="3">
        <f t="shared" si="39"/>
        <v>0</v>
      </c>
      <c r="N844" t="str">
        <f t="shared" si="40"/>
        <v>April</v>
      </c>
      <c r="O844" t="str">
        <f t="shared" si="41"/>
        <v>2023</v>
      </c>
      <c r="P844" s="3">
        <f>Table1[[#This Row],[Revenue]]-Table1[[#This Row],[Cost]]</f>
        <v>0</v>
      </c>
      <c r="Q84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45" spans="1:17" x14ac:dyDescent="0.2">
      <c r="A845" t="s">
        <v>97</v>
      </c>
      <c r="B845" s="1">
        <v>45065</v>
      </c>
      <c r="C845" t="s">
        <v>57</v>
      </c>
      <c r="D845" t="s">
        <v>13</v>
      </c>
      <c r="E845" t="s">
        <v>14</v>
      </c>
      <c r="F845" t="s">
        <v>26</v>
      </c>
      <c r="G845">
        <v>3</v>
      </c>
      <c r="H845">
        <f>Table1[[#This Row],[UnitPrice]]*0.7*Table1[[#This Row],[UnitsSold]]</f>
        <v>3622.1009999999997</v>
      </c>
      <c r="I845">
        <v>1724.81</v>
      </c>
      <c r="J845">
        <v>0.23</v>
      </c>
      <c r="K845" t="s">
        <v>52</v>
      </c>
      <c r="L845" t="s">
        <v>249</v>
      </c>
      <c r="M845" s="3">
        <f t="shared" si="39"/>
        <v>3984.3111000000004</v>
      </c>
      <c r="N845" t="str">
        <f t="shared" si="40"/>
        <v>May</v>
      </c>
      <c r="O845" t="str">
        <f t="shared" si="41"/>
        <v>2023</v>
      </c>
      <c r="P845" s="3">
        <f>Table1[[#This Row],[Revenue]]-Table1[[#This Row],[Cost]]</f>
        <v>362.21010000000069</v>
      </c>
      <c r="Q845" s="6">
        <f>IF(Table1[[#This Row],[UnitsSold]]*Table1[[#This Row],[UnitPrice]]*(1-Table1[[#This Row],[Discount]])=0, 0, ((Table1[[#This Row],[UnitsSold]]*Table1[[#This Row],[UnitPrice]]*(1-Table1[[#This Row],[Discount]])) - (Table1[[#This Row],[UnitsSold]]*Table1[[#This Row],[UnitPrice]]*0.7)) / (Table1[[#This Row],[UnitsSold]]*Table1[[#This Row],[UnitPrice]]*(1-Table1[[#This Row],[Discount]])))</f>
        <v>9.0909090909090967E-2</v>
      </c>
    </row>
    <row r="846" spans="1:17" x14ac:dyDescent="0.2">
      <c r="A846" t="s">
        <v>185</v>
      </c>
      <c r="B846" s="1">
        <v>45155</v>
      </c>
      <c r="C846" t="s">
        <v>57</v>
      </c>
      <c r="D846" t="s">
        <v>267</v>
      </c>
      <c r="E846" t="s">
        <v>46</v>
      </c>
      <c r="F846" t="s">
        <v>26</v>
      </c>
      <c r="G846">
        <v>0</v>
      </c>
      <c r="H846">
        <f>Table1[[#This Row],[UnitPrice]]*0.7*Table1[[#This Row],[UnitsSold]]</f>
        <v>0</v>
      </c>
      <c r="I846">
        <v>1106.0261904761899</v>
      </c>
      <c r="J846">
        <v>0</v>
      </c>
      <c r="K846" t="s">
        <v>16</v>
      </c>
      <c r="L846" t="s">
        <v>249</v>
      </c>
      <c r="M846" s="3">
        <f t="shared" si="39"/>
        <v>0</v>
      </c>
      <c r="N846" t="str">
        <f t="shared" si="40"/>
        <v>August</v>
      </c>
      <c r="O846" t="str">
        <f t="shared" si="41"/>
        <v>2023</v>
      </c>
      <c r="P846" s="3">
        <f>Table1[[#This Row],[Revenue]]-Table1[[#This Row],[Cost]]</f>
        <v>0</v>
      </c>
      <c r="Q84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47" spans="1:17" x14ac:dyDescent="0.2">
      <c r="A847" t="s">
        <v>227</v>
      </c>
      <c r="B847" s="1">
        <v>45124</v>
      </c>
      <c r="C847" t="s">
        <v>29</v>
      </c>
      <c r="D847" t="s">
        <v>59</v>
      </c>
      <c r="E847" t="s">
        <v>38</v>
      </c>
      <c r="F847" t="s">
        <v>34</v>
      </c>
      <c r="G847">
        <v>0</v>
      </c>
      <c r="H847">
        <f>Table1[[#This Row],[UnitPrice]]*0.7*Table1[[#This Row],[UnitsSold]]</f>
        <v>0</v>
      </c>
      <c r="I847">
        <v>936.79681818181825</v>
      </c>
      <c r="J847">
        <v>0</v>
      </c>
      <c r="K847" t="s">
        <v>16</v>
      </c>
      <c r="L847" t="s">
        <v>249</v>
      </c>
      <c r="M847" s="3">
        <f t="shared" si="39"/>
        <v>0</v>
      </c>
      <c r="N847" t="str">
        <f t="shared" si="40"/>
        <v>July</v>
      </c>
      <c r="O847" t="str">
        <f t="shared" si="41"/>
        <v>2023</v>
      </c>
      <c r="P847" s="3">
        <f>Table1[[#This Row],[Revenue]]-Table1[[#This Row],[Cost]]</f>
        <v>0</v>
      </c>
      <c r="Q84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48" spans="1:17" x14ac:dyDescent="0.2">
      <c r="A848" t="s">
        <v>142</v>
      </c>
      <c r="B848" s="1">
        <v>45141</v>
      </c>
      <c r="C848" t="s">
        <v>57</v>
      </c>
      <c r="D848" t="s">
        <v>31</v>
      </c>
      <c r="E848" t="s">
        <v>44</v>
      </c>
      <c r="F848" t="s">
        <v>26</v>
      </c>
      <c r="G848">
        <v>0</v>
      </c>
      <c r="H848">
        <f>Table1[[#This Row],[UnitPrice]]*0.7*Table1[[#This Row],[UnitsSold]]</f>
        <v>0</v>
      </c>
      <c r="I848">
        <v>1079.5765957446808</v>
      </c>
      <c r="J848">
        <v>0</v>
      </c>
      <c r="K848" t="s">
        <v>42</v>
      </c>
      <c r="L848" t="s">
        <v>17</v>
      </c>
      <c r="M848" s="3">
        <f t="shared" si="39"/>
        <v>0</v>
      </c>
      <c r="N848" t="str">
        <f t="shared" si="40"/>
        <v>August</v>
      </c>
      <c r="O848" t="str">
        <f t="shared" si="41"/>
        <v>2023</v>
      </c>
      <c r="P848" s="3">
        <f>Table1[[#This Row],[Revenue]]-Table1[[#This Row],[Cost]]</f>
        <v>0</v>
      </c>
      <c r="Q84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49" spans="1:17" x14ac:dyDescent="0.2">
      <c r="A849" t="s">
        <v>76</v>
      </c>
      <c r="B849" s="1">
        <v>45324</v>
      </c>
      <c r="C849" t="s">
        <v>37</v>
      </c>
      <c r="D849" t="s">
        <v>13</v>
      </c>
      <c r="E849" t="s">
        <v>46</v>
      </c>
      <c r="F849" t="s">
        <v>26</v>
      </c>
      <c r="G849">
        <v>12</v>
      </c>
      <c r="H849">
        <f>Table1[[#This Row],[UnitPrice]]*0.7*Table1[[#This Row],[UnitsSold]]</f>
        <v>3482.0519999999992</v>
      </c>
      <c r="I849">
        <v>414.53</v>
      </c>
      <c r="J849">
        <v>0</v>
      </c>
      <c r="K849" t="s">
        <v>16</v>
      </c>
      <c r="L849" t="s">
        <v>27</v>
      </c>
      <c r="M849" s="3">
        <f t="shared" si="39"/>
        <v>4974.3599999999997</v>
      </c>
      <c r="N849" t="str">
        <f t="shared" si="40"/>
        <v>February</v>
      </c>
      <c r="O849" t="str">
        <f t="shared" si="41"/>
        <v>2024</v>
      </c>
      <c r="P849" s="3">
        <f>Table1[[#This Row],[Revenue]]-Table1[[#This Row],[Cost]]</f>
        <v>1492.3080000000004</v>
      </c>
      <c r="Q84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850" spans="1:17" x14ac:dyDescent="0.2">
      <c r="A850" t="s">
        <v>62</v>
      </c>
      <c r="B850" s="1">
        <v>45105</v>
      </c>
      <c r="C850" t="s">
        <v>29</v>
      </c>
      <c r="D850" t="s">
        <v>267</v>
      </c>
      <c r="E850" t="s">
        <v>25</v>
      </c>
      <c r="F850" t="s">
        <v>26</v>
      </c>
      <c r="G850">
        <v>0</v>
      </c>
      <c r="H850">
        <f>Table1[[#This Row],[UnitPrice]]*0.7*Table1[[#This Row],[UnitsSold]]</f>
        <v>0</v>
      </c>
      <c r="I850">
        <v>961.05661016949136</v>
      </c>
      <c r="J850">
        <v>0</v>
      </c>
      <c r="K850" t="s">
        <v>16</v>
      </c>
      <c r="L850" t="s">
        <v>249</v>
      </c>
      <c r="M850" s="3">
        <f t="shared" si="39"/>
        <v>0</v>
      </c>
      <c r="N850" t="str">
        <f t="shared" si="40"/>
        <v>June</v>
      </c>
      <c r="O850" t="str">
        <f t="shared" si="41"/>
        <v>2023</v>
      </c>
      <c r="P850" s="3">
        <f>Table1[[#This Row],[Revenue]]-Table1[[#This Row],[Cost]]</f>
        <v>0</v>
      </c>
      <c r="Q85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51" spans="1:17" x14ac:dyDescent="0.2">
      <c r="A851" t="s">
        <v>81</v>
      </c>
      <c r="B851" s="1">
        <v>44955</v>
      </c>
      <c r="C851" t="s">
        <v>246</v>
      </c>
      <c r="D851" t="s">
        <v>19</v>
      </c>
      <c r="E851" t="s">
        <v>48</v>
      </c>
      <c r="F851" t="s">
        <v>39</v>
      </c>
      <c r="G851">
        <v>0</v>
      </c>
      <c r="H851">
        <f>Table1[[#This Row],[UnitPrice]]*0.7*Table1[[#This Row],[UnitsSold]]</f>
        <v>0</v>
      </c>
      <c r="I851">
        <v>1017.3087234042553</v>
      </c>
      <c r="J851">
        <v>0</v>
      </c>
      <c r="K851" t="s">
        <v>16</v>
      </c>
      <c r="L851" t="s">
        <v>17</v>
      </c>
      <c r="M851" s="3">
        <f t="shared" si="39"/>
        <v>0</v>
      </c>
      <c r="N851" t="str">
        <f t="shared" si="40"/>
        <v>January</v>
      </c>
      <c r="O851" t="str">
        <f t="shared" si="41"/>
        <v>2023</v>
      </c>
      <c r="P851" s="3">
        <f>Table1[[#This Row],[Revenue]]-Table1[[#This Row],[Cost]]</f>
        <v>0</v>
      </c>
      <c r="Q85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52" spans="1:17" x14ac:dyDescent="0.2">
      <c r="A852" t="s">
        <v>67</v>
      </c>
      <c r="B852" s="1">
        <v>45171</v>
      </c>
      <c r="C852" t="s">
        <v>246</v>
      </c>
      <c r="D852" t="s">
        <v>19</v>
      </c>
      <c r="E852" t="s">
        <v>247</v>
      </c>
      <c r="F852" t="s">
        <v>26</v>
      </c>
      <c r="G852">
        <v>5</v>
      </c>
      <c r="H852">
        <f>Table1[[#This Row],[UnitPrice]]*0.7*Table1[[#This Row],[UnitsSold]]</f>
        <v>1741.7399999999998</v>
      </c>
      <c r="I852">
        <v>497.64</v>
      </c>
      <c r="J852">
        <v>0</v>
      </c>
      <c r="K852" t="s">
        <v>16</v>
      </c>
      <c r="L852" t="s">
        <v>249</v>
      </c>
      <c r="M852" s="3">
        <f t="shared" si="39"/>
        <v>2488.1999999999998</v>
      </c>
      <c r="N852" t="str">
        <f t="shared" si="40"/>
        <v>September</v>
      </c>
      <c r="O852" t="str">
        <f t="shared" si="41"/>
        <v>2023</v>
      </c>
      <c r="P852" s="3">
        <f>Table1[[#This Row],[Revenue]]-Table1[[#This Row],[Cost]]</f>
        <v>746.46</v>
      </c>
      <c r="Q85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853" spans="1:17" x14ac:dyDescent="0.2">
      <c r="A853" t="s">
        <v>103</v>
      </c>
      <c r="B853" s="1">
        <v>45307</v>
      </c>
      <c r="C853" t="s">
        <v>246</v>
      </c>
      <c r="D853" t="s">
        <v>13</v>
      </c>
      <c r="E853" t="s">
        <v>44</v>
      </c>
      <c r="F853" t="s">
        <v>26</v>
      </c>
      <c r="G853">
        <v>0</v>
      </c>
      <c r="H853">
        <f>Table1[[#This Row],[UnitPrice]]*0.7*Table1[[#This Row],[UnitsSold]]</f>
        <v>0</v>
      </c>
      <c r="I853">
        <v>1079.5765957446808</v>
      </c>
      <c r="J853">
        <v>0</v>
      </c>
      <c r="K853" t="s">
        <v>16</v>
      </c>
      <c r="L853" t="s">
        <v>55</v>
      </c>
      <c r="M853" s="3">
        <f t="shared" si="39"/>
        <v>0</v>
      </c>
      <c r="N853" t="str">
        <f t="shared" si="40"/>
        <v>January</v>
      </c>
      <c r="O853" t="str">
        <f t="shared" si="41"/>
        <v>2024</v>
      </c>
      <c r="P853" s="3">
        <f>Table1[[#This Row],[Revenue]]-Table1[[#This Row],[Cost]]</f>
        <v>0</v>
      </c>
      <c r="Q85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54" spans="1:17" x14ac:dyDescent="0.2">
      <c r="A854" t="s">
        <v>122</v>
      </c>
      <c r="B854" s="1">
        <v>45006</v>
      </c>
      <c r="C854" t="s">
        <v>12</v>
      </c>
      <c r="D854" t="s">
        <v>13</v>
      </c>
      <c r="E854" t="s">
        <v>46</v>
      </c>
      <c r="F854" t="s">
        <v>26</v>
      </c>
      <c r="G854">
        <v>0</v>
      </c>
      <c r="H854">
        <f>Table1[[#This Row],[UnitPrice]]*0.7*Table1[[#This Row],[UnitsSold]]</f>
        <v>0</v>
      </c>
      <c r="I854">
        <v>1106.0261904761899</v>
      </c>
      <c r="J854">
        <v>0</v>
      </c>
      <c r="K854" t="s">
        <v>42</v>
      </c>
      <c r="L854" t="s">
        <v>17</v>
      </c>
      <c r="M854" s="3">
        <f t="shared" si="39"/>
        <v>0</v>
      </c>
      <c r="N854" t="str">
        <f t="shared" si="40"/>
        <v>March</v>
      </c>
      <c r="O854" t="str">
        <f t="shared" si="41"/>
        <v>2023</v>
      </c>
      <c r="P854" s="3">
        <f>Table1[[#This Row],[Revenue]]-Table1[[#This Row],[Cost]]</f>
        <v>0</v>
      </c>
      <c r="Q85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55" spans="1:17" x14ac:dyDescent="0.2">
      <c r="A855" t="s">
        <v>195</v>
      </c>
      <c r="B855" s="1">
        <v>45059</v>
      </c>
      <c r="C855" t="s">
        <v>24</v>
      </c>
      <c r="D855" t="s">
        <v>13</v>
      </c>
      <c r="E855" t="s">
        <v>247</v>
      </c>
      <c r="F855" t="s">
        <v>26</v>
      </c>
      <c r="G855">
        <v>0</v>
      </c>
      <c r="H855">
        <f>Table1[[#This Row],[UnitPrice]]*0.7*Table1[[#This Row],[UnitsSold]]</f>
        <v>0</v>
      </c>
      <c r="I855">
        <v>981.36020408163256</v>
      </c>
      <c r="J855">
        <v>0.11</v>
      </c>
      <c r="K855" t="s">
        <v>283</v>
      </c>
      <c r="L855" t="s">
        <v>249</v>
      </c>
      <c r="M855" s="3">
        <f t="shared" si="39"/>
        <v>0</v>
      </c>
      <c r="N855" t="str">
        <f t="shared" si="40"/>
        <v>May</v>
      </c>
      <c r="O855" t="str">
        <f t="shared" si="41"/>
        <v>2023</v>
      </c>
      <c r="P855" s="3">
        <f>Table1[[#This Row],[Revenue]]-Table1[[#This Row],[Cost]]</f>
        <v>0</v>
      </c>
      <c r="Q85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56" spans="1:17" x14ac:dyDescent="0.2">
      <c r="A856" t="s">
        <v>98</v>
      </c>
      <c r="B856" s="1">
        <v>45243</v>
      </c>
      <c r="C856" t="s">
        <v>12</v>
      </c>
      <c r="D856" t="s">
        <v>19</v>
      </c>
      <c r="E856" t="s">
        <v>38</v>
      </c>
      <c r="F856" t="s">
        <v>34</v>
      </c>
      <c r="G856">
        <v>0</v>
      </c>
      <c r="H856">
        <f>Table1[[#This Row],[UnitPrice]]*0.7*Table1[[#This Row],[UnitsSold]]</f>
        <v>0</v>
      </c>
      <c r="I856">
        <v>936.79681818181825</v>
      </c>
      <c r="J856">
        <v>0</v>
      </c>
      <c r="K856" t="s">
        <v>283</v>
      </c>
      <c r="L856" t="s">
        <v>22</v>
      </c>
      <c r="M856" s="3">
        <f t="shared" si="39"/>
        <v>0</v>
      </c>
      <c r="N856" t="str">
        <f t="shared" si="40"/>
        <v>November</v>
      </c>
      <c r="O856" t="str">
        <f t="shared" si="41"/>
        <v>2023</v>
      </c>
      <c r="P856" s="3">
        <f>Table1[[#This Row],[Revenue]]-Table1[[#This Row],[Cost]]</f>
        <v>0</v>
      </c>
      <c r="Q85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57" spans="1:17" x14ac:dyDescent="0.2">
      <c r="A857" t="s">
        <v>28</v>
      </c>
      <c r="B857" s="1">
        <v>45011</v>
      </c>
      <c r="C857" t="s">
        <v>12</v>
      </c>
      <c r="D857" t="s">
        <v>267</v>
      </c>
      <c r="E857" t="s">
        <v>14</v>
      </c>
      <c r="F857" t="s">
        <v>26</v>
      </c>
      <c r="G857">
        <v>0</v>
      </c>
      <c r="H857">
        <f>Table1[[#This Row],[UnitPrice]]*0.7*Table1[[#This Row],[UnitsSold]]</f>
        <v>0</v>
      </c>
      <c r="I857">
        <v>225.72</v>
      </c>
      <c r="J857">
        <v>0</v>
      </c>
      <c r="K857" t="s">
        <v>16</v>
      </c>
      <c r="L857" t="s">
        <v>249</v>
      </c>
      <c r="M857" s="3">
        <f t="shared" si="39"/>
        <v>0</v>
      </c>
      <c r="N857" t="str">
        <f t="shared" si="40"/>
        <v>March</v>
      </c>
      <c r="O857" t="str">
        <f t="shared" si="41"/>
        <v>2023</v>
      </c>
      <c r="P857" s="3">
        <f>Table1[[#This Row],[Revenue]]-Table1[[#This Row],[Cost]]</f>
        <v>0</v>
      </c>
      <c r="Q85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58" spans="1:17" x14ac:dyDescent="0.2">
      <c r="A858" t="s">
        <v>229</v>
      </c>
      <c r="B858" s="1">
        <v>45010</v>
      </c>
      <c r="C858" t="s">
        <v>12</v>
      </c>
      <c r="D858" t="s">
        <v>19</v>
      </c>
      <c r="E858" t="s">
        <v>247</v>
      </c>
      <c r="F858" t="s">
        <v>26</v>
      </c>
      <c r="G858">
        <v>0</v>
      </c>
      <c r="H858">
        <f>Table1[[#This Row],[UnitPrice]]*0.7*Table1[[#This Row],[UnitsSold]]</f>
        <v>0</v>
      </c>
      <c r="I858">
        <v>383.61</v>
      </c>
      <c r="J858">
        <v>0.19</v>
      </c>
      <c r="K858" t="s">
        <v>16</v>
      </c>
      <c r="L858" t="s">
        <v>55</v>
      </c>
      <c r="M858" s="3">
        <f t="shared" si="39"/>
        <v>0</v>
      </c>
      <c r="N858" t="str">
        <f t="shared" si="40"/>
        <v>March</v>
      </c>
      <c r="O858" t="str">
        <f t="shared" si="41"/>
        <v>2023</v>
      </c>
      <c r="P858" s="3">
        <f>Table1[[#This Row],[Revenue]]-Table1[[#This Row],[Cost]]</f>
        <v>0</v>
      </c>
      <c r="Q85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59" spans="1:17" x14ac:dyDescent="0.2">
      <c r="A859" t="s">
        <v>174</v>
      </c>
      <c r="B859" s="1">
        <v>45218</v>
      </c>
      <c r="C859" t="s">
        <v>12</v>
      </c>
      <c r="D859" t="s">
        <v>31</v>
      </c>
      <c r="E859" t="s">
        <v>25</v>
      </c>
      <c r="F859" t="s">
        <v>26</v>
      </c>
      <c r="G859">
        <v>2</v>
      </c>
      <c r="H859">
        <f>Table1[[#This Row],[UnitPrice]]*0.7*Table1[[#This Row],[UnitsSold]]</f>
        <v>1345.4792542372879</v>
      </c>
      <c r="I859">
        <v>961.05661016949136</v>
      </c>
      <c r="J859">
        <v>0</v>
      </c>
      <c r="K859" t="s">
        <v>52</v>
      </c>
      <c r="L859" t="s">
        <v>22</v>
      </c>
      <c r="M859" s="3">
        <f t="shared" si="39"/>
        <v>1922.1132203389827</v>
      </c>
      <c r="N859" t="str">
        <f t="shared" si="40"/>
        <v>October</v>
      </c>
      <c r="O859" t="str">
        <f t="shared" si="41"/>
        <v>2023</v>
      </c>
      <c r="P859" s="3">
        <f>Table1[[#This Row],[Revenue]]-Table1[[#This Row],[Cost]]</f>
        <v>576.6339661016948</v>
      </c>
      <c r="Q859"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860" spans="1:17" x14ac:dyDescent="0.2">
      <c r="A860" t="s">
        <v>238</v>
      </c>
      <c r="B860" s="1">
        <v>45026</v>
      </c>
      <c r="C860" t="s">
        <v>29</v>
      </c>
      <c r="D860" t="s">
        <v>267</v>
      </c>
      <c r="E860" t="s">
        <v>38</v>
      </c>
      <c r="F860" t="s">
        <v>34</v>
      </c>
      <c r="G860">
        <v>0</v>
      </c>
      <c r="H860">
        <f>Table1[[#This Row],[UnitPrice]]*0.7*Table1[[#This Row],[UnitsSold]]</f>
        <v>0</v>
      </c>
      <c r="I860">
        <v>936.79681818181825</v>
      </c>
      <c r="J860">
        <v>0</v>
      </c>
      <c r="K860" t="s">
        <v>248</v>
      </c>
      <c r="L860" t="s">
        <v>27</v>
      </c>
      <c r="M860" s="3">
        <f t="shared" si="39"/>
        <v>0</v>
      </c>
      <c r="N860" t="str">
        <f t="shared" si="40"/>
        <v>April</v>
      </c>
      <c r="O860" t="str">
        <f t="shared" si="41"/>
        <v>2023</v>
      </c>
      <c r="P860" s="3">
        <f>Table1[[#This Row],[Revenue]]-Table1[[#This Row],[Cost]]</f>
        <v>0</v>
      </c>
      <c r="Q86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61" spans="1:17" x14ac:dyDescent="0.2">
      <c r="A861" t="s">
        <v>238</v>
      </c>
      <c r="B861" s="1">
        <v>45323</v>
      </c>
      <c r="C861" t="s">
        <v>246</v>
      </c>
      <c r="D861" t="s">
        <v>19</v>
      </c>
      <c r="E861" t="s">
        <v>44</v>
      </c>
      <c r="F861" t="s">
        <v>26</v>
      </c>
      <c r="G861">
        <v>0</v>
      </c>
      <c r="H861">
        <f>Table1[[#This Row],[UnitPrice]]*0.7*Table1[[#This Row],[UnitsSold]]</f>
        <v>0</v>
      </c>
      <c r="I861">
        <v>1738.94</v>
      </c>
      <c r="J861">
        <v>0.09</v>
      </c>
      <c r="K861" t="s">
        <v>283</v>
      </c>
      <c r="L861" t="s">
        <v>22</v>
      </c>
      <c r="M861" s="3">
        <f t="shared" si="39"/>
        <v>0</v>
      </c>
      <c r="N861" t="str">
        <f t="shared" si="40"/>
        <v>February</v>
      </c>
      <c r="O861" t="str">
        <f t="shared" si="41"/>
        <v>2024</v>
      </c>
      <c r="P861" s="3">
        <f>Table1[[#This Row],[Revenue]]-Table1[[#This Row],[Cost]]</f>
        <v>0</v>
      </c>
      <c r="Q86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62" spans="1:17" x14ac:dyDescent="0.2">
      <c r="A862" t="s">
        <v>236</v>
      </c>
      <c r="B862" s="1">
        <v>45247</v>
      </c>
      <c r="C862" t="s">
        <v>12</v>
      </c>
      <c r="D862" t="s">
        <v>13</v>
      </c>
      <c r="E862" t="s">
        <v>247</v>
      </c>
      <c r="F862" t="s">
        <v>26</v>
      </c>
      <c r="G862">
        <v>0</v>
      </c>
      <c r="H862">
        <f>Table1[[#This Row],[UnitPrice]]*0.7*Table1[[#This Row],[UnitsSold]]</f>
        <v>0</v>
      </c>
      <c r="I862">
        <v>981.36020408163256</v>
      </c>
      <c r="J862">
        <v>0</v>
      </c>
      <c r="K862" t="s">
        <v>248</v>
      </c>
      <c r="L862" t="s">
        <v>17</v>
      </c>
      <c r="M862" s="3">
        <f t="shared" si="39"/>
        <v>0</v>
      </c>
      <c r="N862" t="str">
        <f t="shared" si="40"/>
        <v>November</v>
      </c>
      <c r="O862" t="str">
        <f t="shared" si="41"/>
        <v>2023</v>
      </c>
      <c r="P862" s="3">
        <f>Table1[[#This Row],[Revenue]]-Table1[[#This Row],[Cost]]</f>
        <v>0</v>
      </c>
      <c r="Q86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63" spans="1:17" x14ac:dyDescent="0.2">
      <c r="A863" t="s">
        <v>227</v>
      </c>
      <c r="B863" s="1">
        <v>45101</v>
      </c>
      <c r="C863" t="s">
        <v>57</v>
      </c>
      <c r="D863" t="s">
        <v>267</v>
      </c>
      <c r="E863" t="s">
        <v>247</v>
      </c>
      <c r="F863" t="s">
        <v>26</v>
      </c>
      <c r="G863">
        <v>0</v>
      </c>
      <c r="H863">
        <f>Table1[[#This Row],[UnitPrice]]*0.7*Table1[[#This Row],[UnitsSold]]</f>
        <v>0</v>
      </c>
      <c r="I863">
        <v>981.36020408163256</v>
      </c>
      <c r="J863">
        <v>0</v>
      </c>
      <c r="K863" t="s">
        <v>283</v>
      </c>
      <c r="L863" t="s">
        <v>22</v>
      </c>
      <c r="M863" s="3">
        <f t="shared" si="39"/>
        <v>0</v>
      </c>
      <c r="N863" t="str">
        <f t="shared" si="40"/>
        <v>June</v>
      </c>
      <c r="O863" t="str">
        <f t="shared" si="41"/>
        <v>2023</v>
      </c>
      <c r="P863" s="3">
        <f>Table1[[#This Row],[Revenue]]-Table1[[#This Row],[Cost]]</f>
        <v>0</v>
      </c>
      <c r="Q86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64" spans="1:17" x14ac:dyDescent="0.2">
      <c r="A864" t="s">
        <v>172</v>
      </c>
      <c r="B864" s="1">
        <v>45033</v>
      </c>
      <c r="C864" t="s">
        <v>12</v>
      </c>
      <c r="D864" t="s">
        <v>19</v>
      </c>
      <c r="E864" t="s">
        <v>44</v>
      </c>
      <c r="F864" t="s">
        <v>26</v>
      </c>
      <c r="G864">
        <v>4</v>
      </c>
      <c r="H864">
        <f>Table1[[#This Row],[UnitPrice]]*0.7*Table1[[#This Row],[UnitsSold]]</f>
        <v>3022.814468085106</v>
      </c>
      <c r="I864">
        <v>1079.5765957446808</v>
      </c>
      <c r="J864">
        <v>0.16</v>
      </c>
      <c r="K864" t="s">
        <v>42</v>
      </c>
      <c r="L864" t="s">
        <v>27</v>
      </c>
      <c r="M864" s="3">
        <f t="shared" si="39"/>
        <v>3627.3773617021275</v>
      </c>
      <c r="N864" t="str">
        <f t="shared" si="40"/>
        <v>April</v>
      </c>
      <c r="O864" t="str">
        <f t="shared" si="41"/>
        <v>2023</v>
      </c>
      <c r="P864" s="3">
        <f>Table1[[#This Row],[Revenue]]-Table1[[#This Row],[Cost]]</f>
        <v>604.56289361702147</v>
      </c>
      <c r="Q864" s="6">
        <f>IF(Table1[[#This Row],[UnitsSold]]*Table1[[#This Row],[UnitPrice]]*(1-Table1[[#This Row],[Discount]])=0, 0, ((Table1[[#This Row],[UnitsSold]]*Table1[[#This Row],[UnitPrice]]*(1-Table1[[#This Row],[Discount]])) - (Table1[[#This Row],[UnitsSold]]*Table1[[#This Row],[UnitPrice]]*0.7)) / (Table1[[#This Row],[UnitsSold]]*Table1[[#This Row],[UnitPrice]]*(1-Table1[[#This Row],[Discount]])))</f>
        <v>0.16666666666666674</v>
      </c>
    </row>
    <row r="865" spans="1:17" x14ac:dyDescent="0.2">
      <c r="A865" t="s">
        <v>125</v>
      </c>
      <c r="B865" s="1">
        <v>45087</v>
      </c>
      <c r="C865" t="s">
        <v>246</v>
      </c>
      <c r="D865" t="s">
        <v>59</v>
      </c>
      <c r="E865" t="s">
        <v>247</v>
      </c>
      <c r="F865" t="s">
        <v>26</v>
      </c>
      <c r="G865">
        <v>0</v>
      </c>
      <c r="H865">
        <f>Table1[[#This Row],[UnitPrice]]*0.7*Table1[[#This Row],[UnitsSold]]</f>
        <v>0</v>
      </c>
      <c r="I865">
        <v>733.02</v>
      </c>
      <c r="J865">
        <v>0</v>
      </c>
      <c r="K865" t="s">
        <v>42</v>
      </c>
      <c r="L865" t="s">
        <v>55</v>
      </c>
      <c r="M865" s="3">
        <f t="shared" si="39"/>
        <v>0</v>
      </c>
      <c r="N865" t="str">
        <f t="shared" si="40"/>
        <v>June</v>
      </c>
      <c r="O865" t="str">
        <f t="shared" si="41"/>
        <v>2023</v>
      </c>
      <c r="P865" s="3">
        <f>Table1[[#This Row],[Revenue]]-Table1[[#This Row],[Cost]]</f>
        <v>0</v>
      </c>
      <c r="Q86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66" spans="1:17" x14ac:dyDescent="0.2">
      <c r="A866" t="s">
        <v>205</v>
      </c>
      <c r="B866" s="1">
        <v>45058</v>
      </c>
      <c r="C866" t="s">
        <v>57</v>
      </c>
      <c r="D866" t="s">
        <v>13</v>
      </c>
      <c r="E866" t="s">
        <v>247</v>
      </c>
      <c r="F866" t="s">
        <v>26</v>
      </c>
      <c r="G866">
        <v>0</v>
      </c>
      <c r="H866">
        <f>Table1[[#This Row],[UnitPrice]]*0.7*Table1[[#This Row],[UnitsSold]]</f>
        <v>0</v>
      </c>
      <c r="I866">
        <v>981.36020408163256</v>
      </c>
      <c r="J866">
        <v>0</v>
      </c>
      <c r="K866" t="s">
        <v>283</v>
      </c>
      <c r="L866" t="s">
        <v>249</v>
      </c>
      <c r="M866" s="3">
        <f t="shared" si="39"/>
        <v>0</v>
      </c>
      <c r="N866" t="str">
        <f t="shared" si="40"/>
        <v>May</v>
      </c>
      <c r="O866" t="str">
        <f t="shared" si="41"/>
        <v>2023</v>
      </c>
      <c r="P866" s="3">
        <f>Table1[[#This Row],[Revenue]]-Table1[[#This Row],[Cost]]</f>
        <v>0</v>
      </c>
      <c r="Q86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67" spans="1:17" x14ac:dyDescent="0.2">
      <c r="A867" t="s">
        <v>183</v>
      </c>
      <c r="B867" s="1">
        <v>45114</v>
      </c>
      <c r="C867" t="s">
        <v>29</v>
      </c>
      <c r="D867" t="s">
        <v>59</v>
      </c>
      <c r="E867" t="s">
        <v>46</v>
      </c>
      <c r="F867" t="s">
        <v>26</v>
      </c>
      <c r="G867">
        <v>0</v>
      </c>
      <c r="H867">
        <f>Table1[[#This Row],[UnitPrice]]*0.7*Table1[[#This Row],[UnitsSold]]</f>
        <v>0</v>
      </c>
      <c r="I867">
        <v>1106.0261904761899</v>
      </c>
      <c r="J867">
        <v>0</v>
      </c>
      <c r="K867" t="s">
        <v>16</v>
      </c>
      <c r="L867" t="s">
        <v>249</v>
      </c>
      <c r="M867" s="3">
        <f t="shared" si="39"/>
        <v>0</v>
      </c>
      <c r="N867" t="str">
        <f t="shared" si="40"/>
        <v>July</v>
      </c>
      <c r="O867" t="str">
        <f t="shared" si="41"/>
        <v>2023</v>
      </c>
      <c r="P867" s="3">
        <f>Table1[[#This Row],[Revenue]]-Table1[[#This Row],[Cost]]</f>
        <v>0</v>
      </c>
      <c r="Q86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68" spans="1:17" x14ac:dyDescent="0.2">
      <c r="A868" t="s">
        <v>244</v>
      </c>
      <c r="B868" s="1">
        <v>45214</v>
      </c>
      <c r="C868" t="s">
        <v>12</v>
      </c>
      <c r="D868" t="s">
        <v>19</v>
      </c>
      <c r="E868" t="s">
        <v>25</v>
      </c>
      <c r="F868" t="s">
        <v>26</v>
      </c>
      <c r="G868">
        <v>0</v>
      </c>
      <c r="H868">
        <f>Table1[[#This Row],[UnitPrice]]*0.7*Table1[[#This Row],[UnitsSold]]</f>
        <v>0</v>
      </c>
      <c r="I868">
        <v>961.05661016949136</v>
      </c>
      <c r="J868">
        <v>0.26</v>
      </c>
      <c r="K868" t="s">
        <v>42</v>
      </c>
      <c r="L868" t="s">
        <v>22</v>
      </c>
      <c r="M868" s="3">
        <f t="shared" si="39"/>
        <v>0</v>
      </c>
      <c r="N868" t="str">
        <f t="shared" si="40"/>
        <v>October</v>
      </c>
      <c r="O868" t="str">
        <f t="shared" si="41"/>
        <v>2023</v>
      </c>
      <c r="P868" s="3">
        <f>Table1[[#This Row],[Revenue]]-Table1[[#This Row],[Cost]]</f>
        <v>0</v>
      </c>
      <c r="Q86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69" spans="1:17" x14ac:dyDescent="0.2">
      <c r="A869" t="s">
        <v>104</v>
      </c>
      <c r="B869" s="1">
        <v>44974</v>
      </c>
      <c r="C869" t="s">
        <v>29</v>
      </c>
      <c r="D869" t="s">
        <v>83</v>
      </c>
      <c r="E869" t="s">
        <v>38</v>
      </c>
      <c r="F869" t="s">
        <v>34</v>
      </c>
      <c r="G869">
        <v>15</v>
      </c>
      <c r="H869">
        <f>Table1[[#This Row],[UnitPrice]]*0.7*Table1[[#This Row],[UnitsSold]]</f>
        <v>9836.3665909090905</v>
      </c>
      <c r="I869">
        <v>936.79681818181825</v>
      </c>
      <c r="J869">
        <v>0</v>
      </c>
      <c r="K869" t="s">
        <v>42</v>
      </c>
      <c r="L869" t="s">
        <v>249</v>
      </c>
      <c r="M869" s="3">
        <f t="shared" si="39"/>
        <v>14051.952272727274</v>
      </c>
      <c r="N869" t="str">
        <f t="shared" si="40"/>
        <v>February</v>
      </c>
      <c r="O869" t="str">
        <f t="shared" si="41"/>
        <v>2023</v>
      </c>
      <c r="P869" s="3">
        <f>Table1[[#This Row],[Revenue]]-Table1[[#This Row],[Cost]]</f>
        <v>4215.5856818181837</v>
      </c>
      <c r="Q86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870" spans="1:17" x14ac:dyDescent="0.2">
      <c r="A870" t="s">
        <v>98</v>
      </c>
      <c r="B870" s="1">
        <v>45095</v>
      </c>
      <c r="C870" t="s">
        <v>12</v>
      </c>
      <c r="D870" t="s">
        <v>59</v>
      </c>
      <c r="E870" t="s">
        <v>14</v>
      </c>
      <c r="F870" t="s">
        <v>26</v>
      </c>
      <c r="G870">
        <v>16</v>
      </c>
      <c r="H870">
        <f>Table1[[#This Row],[UnitPrice]]*0.7*Table1[[#This Row],[UnitsSold]]</f>
        <v>11232.148765957447</v>
      </c>
      <c r="I870">
        <v>1002.870425531915</v>
      </c>
      <c r="J870">
        <v>0</v>
      </c>
      <c r="K870" t="s">
        <v>16</v>
      </c>
      <c r="L870" t="s">
        <v>17</v>
      </c>
      <c r="M870" s="3">
        <f t="shared" si="39"/>
        <v>16045.92680851064</v>
      </c>
      <c r="N870" t="str">
        <f t="shared" si="40"/>
        <v>June</v>
      </c>
      <c r="O870" t="str">
        <f t="shared" si="41"/>
        <v>2023</v>
      </c>
      <c r="P870" s="3">
        <f>Table1[[#This Row],[Revenue]]-Table1[[#This Row],[Cost]]</f>
        <v>4813.7780425531928</v>
      </c>
      <c r="Q87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871" spans="1:17" x14ac:dyDescent="0.2">
      <c r="A871" t="s">
        <v>50</v>
      </c>
      <c r="B871" s="1">
        <v>45167</v>
      </c>
      <c r="C871" t="s">
        <v>246</v>
      </c>
      <c r="D871" t="s">
        <v>13</v>
      </c>
      <c r="E871" t="s">
        <v>247</v>
      </c>
      <c r="F871" t="s">
        <v>26</v>
      </c>
      <c r="G871">
        <v>19</v>
      </c>
      <c r="H871">
        <f>Table1[[#This Row],[UnitPrice]]*0.7*Table1[[#This Row],[UnitsSold]]</f>
        <v>13052.090714285714</v>
      </c>
      <c r="I871">
        <v>981.36020408163256</v>
      </c>
      <c r="J871">
        <v>0</v>
      </c>
      <c r="K871" t="s">
        <v>42</v>
      </c>
      <c r="L871" t="s">
        <v>22</v>
      </c>
      <c r="M871" s="3">
        <f t="shared" si="39"/>
        <v>18645.843877551019</v>
      </c>
      <c r="N871" t="str">
        <f t="shared" si="40"/>
        <v>August</v>
      </c>
      <c r="O871" t="str">
        <f t="shared" si="41"/>
        <v>2023</v>
      </c>
      <c r="P871" s="3">
        <f>Table1[[#This Row],[Revenue]]-Table1[[#This Row],[Cost]]</f>
        <v>5593.7531632653045</v>
      </c>
      <c r="Q87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872" spans="1:17" x14ac:dyDescent="0.2">
      <c r="A872" t="s">
        <v>93</v>
      </c>
      <c r="B872" s="1">
        <v>44954</v>
      </c>
      <c r="C872" t="s">
        <v>37</v>
      </c>
      <c r="D872" t="s">
        <v>267</v>
      </c>
      <c r="E872" t="s">
        <v>46</v>
      </c>
      <c r="F872" t="s">
        <v>26</v>
      </c>
      <c r="G872">
        <v>0</v>
      </c>
      <c r="H872">
        <f>Table1[[#This Row],[UnitPrice]]*0.7*Table1[[#This Row],[UnitsSold]]</f>
        <v>0</v>
      </c>
      <c r="I872">
        <v>1275.02</v>
      </c>
      <c r="J872">
        <v>0</v>
      </c>
      <c r="K872" t="s">
        <v>42</v>
      </c>
      <c r="L872" t="s">
        <v>27</v>
      </c>
      <c r="M872" s="3">
        <f t="shared" si="39"/>
        <v>0</v>
      </c>
      <c r="N872" t="str">
        <f t="shared" si="40"/>
        <v>January</v>
      </c>
      <c r="O872" t="str">
        <f t="shared" si="41"/>
        <v>2023</v>
      </c>
      <c r="P872" s="3">
        <f>Table1[[#This Row],[Revenue]]-Table1[[#This Row],[Cost]]</f>
        <v>0</v>
      </c>
      <c r="Q87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73" spans="1:17" x14ac:dyDescent="0.2">
      <c r="A873" t="s">
        <v>173</v>
      </c>
      <c r="B873" s="1">
        <v>45291</v>
      </c>
      <c r="C873" t="s">
        <v>57</v>
      </c>
      <c r="D873" t="s">
        <v>267</v>
      </c>
      <c r="E873" t="s">
        <v>38</v>
      </c>
      <c r="F873" t="s">
        <v>34</v>
      </c>
      <c r="G873">
        <v>0</v>
      </c>
      <c r="H873">
        <f>Table1[[#This Row],[UnitPrice]]*0.7*Table1[[#This Row],[UnitsSold]]</f>
        <v>0</v>
      </c>
      <c r="I873">
        <v>1787.22</v>
      </c>
      <c r="J873">
        <v>0.25</v>
      </c>
      <c r="K873" t="s">
        <v>42</v>
      </c>
      <c r="L873" t="s">
        <v>55</v>
      </c>
      <c r="M873" s="3">
        <f t="shared" si="39"/>
        <v>0</v>
      </c>
      <c r="N873" t="str">
        <f t="shared" si="40"/>
        <v>December</v>
      </c>
      <c r="O873" t="str">
        <f t="shared" si="41"/>
        <v>2023</v>
      </c>
      <c r="P873" s="3">
        <f>Table1[[#This Row],[Revenue]]-Table1[[#This Row],[Cost]]</f>
        <v>0</v>
      </c>
      <c r="Q87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74" spans="1:17" x14ac:dyDescent="0.2">
      <c r="A874" t="s">
        <v>176</v>
      </c>
      <c r="B874" s="1">
        <v>45079</v>
      </c>
      <c r="C874" t="s">
        <v>246</v>
      </c>
      <c r="D874" t="s">
        <v>19</v>
      </c>
      <c r="E874" t="s">
        <v>14</v>
      </c>
      <c r="F874" t="s">
        <v>26</v>
      </c>
      <c r="G874">
        <v>0</v>
      </c>
      <c r="H874">
        <f>Table1[[#This Row],[UnitPrice]]*0.7*Table1[[#This Row],[UnitsSold]]</f>
        <v>0</v>
      </c>
      <c r="I874">
        <v>1075.6600000000001</v>
      </c>
      <c r="J874">
        <v>0</v>
      </c>
      <c r="K874" t="s">
        <v>52</v>
      </c>
      <c r="L874" t="s">
        <v>17</v>
      </c>
      <c r="M874" s="3">
        <f t="shared" si="39"/>
        <v>0</v>
      </c>
      <c r="N874" t="str">
        <f t="shared" si="40"/>
        <v>June</v>
      </c>
      <c r="O874" t="str">
        <f t="shared" si="41"/>
        <v>2023</v>
      </c>
      <c r="P874" s="3">
        <f>Table1[[#This Row],[Revenue]]-Table1[[#This Row],[Cost]]</f>
        <v>0</v>
      </c>
      <c r="Q87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75" spans="1:17" x14ac:dyDescent="0.2">
      <c r="A875" t="s">
        <v>185</v>
      </c>
      <c r="B875" s="1">
        <v>44932</v>
      </c>
      <c r="C875" t="s">
        <v>37</v>
      </c>
      <c r="D875" t="s">
        <v>19</v>
      </c>
      <c r="E875" t="s">
        <v>48</v>
      </c>
      <c r="F875" t="s">
        <v>39</v>
      </c>
      <c r="G875">
        <v>20</v>
      </c>
      <c r="H875">
        <f>Table1[[#This Row],[UnitPrice]]*0.7*Table1[[#This Row],[UnitsSold]]</f>
        <v>14242.322127659572</v>
      </c>
      <c r="I875">
        <v>1017.3087234042553</v>
      </c>
      <c r="J875">
        <v>0</v>
      </c>
      <c r="K875" t="s">
        <v>283</v>
      </c>
      <c r="L875" t="s">
        <v>55</v>
      </c>
      <c r="M875" s="3">
        <f t="shared" si="39"/>
        <v>20346.174468085104</v>
      </c>
      <c r="N875" t="str">
        <f t="shared" si="40"/>
        <v>January</v>
      </c>
      <c r="O875" t="str">
        <f t="shared" si="41"/>
        <v>2023</v>
      </c>
      <c r="P875" s="3">
        <f>Table1[[#This Row],[Revenue]]-Table1[[#This Row],[Cost]]</f>
        <v>6103.852340425532</v>
      </c>
      <c r="Q87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876" spans="1:17" x14ac:dyDescent="0.2">
      <c r="A876" t="s">
        <v>243</v>
      </c>
      <c r="B876" s="1">
        <v>45004</v>
      </c>
      <c r="C876" t="s">
        <v>57</v>
      </c>
      <c r="D876" t="s">
        <v>19</v>
      </c>
      <c r="E876" t="s">
        <v>38</v>
      </c>
      <c r="F876" t="s">
        <v>34</v>
      </c>
      <c r="G876">
        <v>0</v>
      </c>
      <c r="H876">
        <f>Table1[[#This Row],[UnitPrice]]*0.7*Table1[[#This Row],[UnitsSold]]</f>
        <v>0</v>
      </c>
      <c r="I876">
        <v>936.79681818181825</v>
      </c>
      <c r="J876">
        <v>0</v>
      </c>
      <c r="K876" t="s">
        <v>16</v>
      </c>
      <c r="L876" t="s">
        <v>22</v>
      </c>
      <c r="M876" s="3">
        <f t="shared" si="39"/>
        <v>0</v>
      </c>
      <c r="N876" t="str">
        <f t="shared" si="40"/>
        <v>March</v>
      </c>
      <c r="O876" t="str">
        <f t="shared" si="41"/>
        <v>2023</v>
      </c>
      <c r="P876" s="3">
        <f>Table1[[#This Row],[Revenue]]-Table1[[#This Row],[Cost]]</f>
        <v>0</v>
      </c>
      <c r="Q87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77" spans="1:17" x14ac:dyDescent="0.2">
      <c r="A877" t="s">
        <v>11</v>
      </c>
      <c r="B877" s="1">
        <v>45223</v>
      </c>
      <c r="C877" t="s">
        <v>12</v>
      </c>
      <c r="D877" t="s">
        <v>19</v>
      </c>
      <c r="E877" t="s">
        <v>247</v>
      </c>
      <c r="F877" t="s">
        <v>26</v>
      </c>
      <c r="G877">
        <v>0</v>
      </c>
      <c r="H877">
        <f>Table1[[#This Row],[UnitPrice]]*0.7*Table1[[#This Row],[UnitsSold]]</f>
        <v>0</v>
      </c>
      <c r="I877">
        <v>1096.71</v>
      </c>
      <c r="J877">
        <v>0.18</v>
      </c>
      <c r="K877" t="s">
        <v>52</v>
      </c>
      <c r="L877" t="s">
        <v>249</v>
      </c>
      <c r="M877" s="3">
        <f t="shared" si="39"/>
        <v>0</v>
      </c>
      <c r="N877" t="str">
        <f t="shared" si="40"/>
        <v>October</v>
      </c>
      <c r="O877" t="str">
        <f t="shared" si="41"/>
        <v>2023</v>
      </c>
      <c r="P877" s="3">
        <f>Table1[[#This Row],[Revenue]]-Table1[[#This Row],[Cost]]</f>
        <v>0</v>
      </c>
      <c r="Q87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78" spans="1:17" x14ac:dyDescent="0.2">
      <c r="A878" t="s">
        <v>111</v>
      </c>
      <c r="B878" s="1">
        <v>45274</v>
      </c>
      <c r="C878" t="s">
        <v>12</v>
      </c>
      <c r="D878" t="s">
        <v>59</v>
      </c>
      <c r="E878" t="s">
        <v>25</v>
      </c>
      <c r="F878" t="s">
        <v>26</v>
      </c>
      <c r="G878">
        <v>0</v>
      </c>
      <c r="H878">
        <f>Table1[[#This Row],[UnitPrice]]*0.7*Table1[[#This Row],[UnitsSold]]</f>
        <v>0</v>
      </c>
      <c r="I878">
        <v>961.05661016949136</v>
      </c>
      <c r="J878">
        <v>0.25</v>
      </c>
      <c r="K878" t="s">
        <v>283</v>
      </c>
      <c r="L878" t="s">
        <v>22</v>
      </c>
      <c r="M878" s="3">
        <f t="shared" si="39"/>
        <v>0</v>
      </c>
      <c r="N878" t="str">
        <f t="shared" si="40"/>
        <v>December</v>
      </c>
      <c r="O878" t="str">
        <f t="shared" si="41"/>
        <v>2023</v>
      </c>
      <c r="P878" s="3">
        <f>Table1[[#This Row],[Revenue]]-Table1[[#This Row],[Cost]]</f>
        <v>0</v>
      </c>
      <c r="Q87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79" spans="1:17" x14ac:dyDescent="0.2">
      <c r="A879" t="s">
        <v>147</v>
      </c>
      <c r="B879" s="1">
        <v>45160</v>
      </c>
      <c r="C879" t="s">
        <v>57</v>
      </c>
      <c r="D879" t="s">
        <v>83</v>
      </c>
      <c r="E879" t="s">
        <v>14</v>
      </c>
      <c r="F879" t="s">
        <v>26</v>
      </c>
      <c r="G879">
        <v>0</v>
      </c>
      <c r="H879">
        <f>Table1[[#This Row],[UnitPrice]]*0.7*Table1[[#This Row],[UnitsSold]]</f>
        <v>0</v>
      </c>
      <c r="I879">
        <v>1002.870425531915</v>
      </c>
      <c r="J879">
        <v>0.03</v>
      </c>
      <c r="K879" t="s">
        <v>42</v>
      </c>
      <c r="L879" t="s">
        <v>22</v>
      </c>
      <c r="M879" s="3">
        <f t="shared" si="39"/>
        <v>0</v>
      </c>
      <c r="N879" t="str">
        <f t="shared" si="40"/>
        <v>August</v>
      </c>
      <c r="O879" t="str">
        <f t="shared" si="41"/>
        <v>2023</v>
      </c>
      <c r="P879" s="3">
        <f>Table1[[#This Row],[Revenue]]-Table1[[#This Row],[Cost]]</f>
        <v>0</v>
      </c>
      <c r="Q87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80" spans="1:17" x14ac:dyDescent="0.2">
      <c r="A880" t="s">
        <v>194</v>
      </c>
      <c r="B880" s="1">
        <v>45017</v>
      </c>
      <c r="C880" t="s">
        <v>246</v>
      </c>
      <c r="D880" t="s">
        <v>31</v>
      </c>
      <c r="E880" t="s">
        <v>38</v>
      </c>
      <c r="F880" t="s">
        <v>34</v>
      </c>
      <c r="G880">
        <v>0</v>
      </c>
      <c r="H880">
        <f>Table1[[#This Row],[UnitPrice]]*0.7*Table1[[#This Row],[UnitsSold]]</f>
        <v>0</v>
      </c>
      <c r="I880">
        <v>936.79681818181825</v>
      </c>
      <c r="J880">
        <v>0</v>
      </c>
      <c r="K880" t="s">
        <v>248</v>
      </c>
      <c r="L880" t="s">
        <v>27</v>
      </c>
      <c r="M880" s="3">
        <f t="shared" si="39"/>
        <v>0</v>
      </c>
      <c r="N880" t="str">
        <f t="shared" si="40"/>
        <v>April</v>
      </c>
      <c r="O880" t="str">
        <f t="shared" si="41"/>
        <v>2023</v>
      </c>
      <c r="P880" s="3">
        <f>Table1[[#This Row],[Revenue]]-Table1[[#This Row],[Cost]]</f>
        <v>0</v>
      </c>
      <c r="Q88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81" spans="1:17" x14ac:dyDescent="0.2">
      <c r="A881" t="s">
        <v>201</v>
      </c>
      <c r="B881" s="1">
        <v>44980</v>
      </c>
      <c r="C881" t="s">
        <v>12</v>
      </c>
      <c r="D881" t="s">
        <v>13</v>
      </c>
      <c r="E881" t="s">
        <v>46</v>
      </c>
      <c r="F881" t="s">
        <v>26</v>
      </c>
      <c r="G881">
        <v>14</v>
      </c>
      <c r="H881">
        <f>Table1[[#This Row],[UnitPrice]]*0.7*Table1[[#This Row],[UnitsSold]]</f>
        <v>10839.05666666666</v>
      </c>
      <c r="I881">
        <v>1106.0261904761899</v>
      </c>
      <c r="J881">
        <v>0.28000000000000003</v>
      </c>
      <c r="K881" t="s">
        <v>283</v>
      </c>
      <c r="L881" t="s">
        <v>22</v>
      </c>
      <c r="M881" s="3">
        <f t="shared" si="39"/>
        <v>11148.743999999993</v>
      </c>
      <c r="N881" t="str">
        <f t="shared" si="40"/>
        <v>February</v>
      </c>
      <c r="O881" t="str">
        <f t="shared" si="41"/>
        <v>2023</v>
      </c>
      <c r="P881" s="3">
        <f>Table1[[#This Row],[Revenue]]-Table1[[#This Row],[Cost]]</f>
        <v>309.6873333333333</v>
      </c>
      <c r="Q881" s="6">
        <f>IF(Table1[[#This Row],[UnitsSold]]*Table1[[#This Row],[UnitPrice]]*(1-Table1[[#This Row],[Discount]])=0, 0, ((Table1[[#This Row],[UnitsSold]]*Table1[[#This Row],[UnitPrice]]*(1-Table1[[#This Row],[Discount]])) - (Table1[[#This Row],[UnitsSold]]*Table1[[#This Row],[UnitPrice]]*0.7)) / (Table1[[#This Row],[UnitsSold]]*Table1[[#This Row],[UnitPrice]]*(1-Table1[[#This Row],[Discount]])))</f>
        <v>2.777777777777779E-2</v>
      </c>
    </row>
    <row r="882" spans="1:17" x14ac:dyDescent="0.2">
      <c r="A882" t="s">
        <v>238</v>
      </c>
      <c r="B882" s="1">
        <v>45224</v>
      </c>
      <c r="C882" t="s">
        <v>12</v>
      </c>
      <c r="D882" t="s">
        <v>13</v>
      </c>
      <c r="E882" t="s">
        <v>14</v>
      </c>
      <c r="F882" t="s">
        <v>26</v>
      </c>
      <c r="G882">
        <v>7</v>
      </c>
      <c r="H882">
        <f>Table1[[#This Row],[UnitPrice]]*0.7*Table1[[#This Row],[UnitsSold]]</f>
        <v>4914.0650851063829</v>
      </c>
      <c r="I882">
        <v>1002.870425531915</v>
      </c>
      <c r="J882">
        <v>0.11</v>
      </c>
      <c r="K882" t="s">
        <v>42</v>
      </c>
      <c r="L882" t="s">
        <v>27</v>
      </c>
      <c r="M882" s="3">
        <f t="shared" si="39"/>
        <v>6247.8827510638303</v>
      </c>
      <c r="N882" t="str">
        <f t="shared" si="40"/>
        <v>October</v>
      </c>
      <c r="O882" t="str">
        <f t="shared" si="41"/>
        <v>2023</v>
      </c>
      <c r="P882" s="3">
        <f>Table1[[#This Row],[Revenue]]-Table1[[#This Row],[Cost]]</f>
        <v>1333.8176659574474</v>
      </c>
      <c r="Q882" s="6">
        <f>IF(Table1[[#This Row],[UnitsSold]]*Table1[[#This Row],[UnitPrice]]*(1-Table1[[#This Row],[Discount]])=0, 0, ((Table1[[#This Row],[UnitsSold]]*Table1[[#This Row],[UnitPrice]]*(1-Table1[[#This Row],[Discount]])) - (Table1[[#This Row],[UnitsSold]]*Table1[[#This Row],[UnitPrice]]*0.7)) / (Table1[[#This Row],[UnitsSold]]*Table1[[#This Row],[UnitPrice]]*(1-Table1[[#This Row],[Discount]])))</f>
        <v>0.21348314606741581</v>
      </c>
    </row>
    <row r="883" spans="1:17" x14ac:dyDescent="0.2">
      <c r="A883" t="s">
        <v>144</v>
      </c>
      <c r="B883" s="1">
        <v>45164</v>
      </c>
      <c r="C883" t="s">
        <v>57</v>
      </c>
      <c r="D883" t="s">
        <v>267</v>
      </c>
      <c r="E883" t="s">
        <v>48</v>
      </c>
      <c r="F883" t="s">
        <v>39</v>
      </c>
      <c r="G883">
        <v>0</v>
      </c>
      <c r="H883">
        <f>Table1[[#This Row],[UnitPrice]]*0.7*Table1[[#This Row],[UnitsSold]]</f>
        <v>0</v>
      </c>
      <c r="I883">
        <v>1017.3087234042553</v>
      </c>
      <c r="J883">
        <v>0</v>
      </c>
      <c r="K883" t="s">
        <v>52</v>
      </c>
      <c r="L883" t="s">
        <v>55</v>
      </c>
      <c r="M883" s="3">
        <f t="shared" si="39"/>
        <v>0</v>
      </c>
      <c r="N883" t="str">
        <f t="shared" si="40"/>
        <v>August</v>
      </c>
      <c r="O883" t="str">
        <f t="shared" si="41"/>
        <v>2023</v>
      </c>
      <c r="P883" s="3">
        <f>Table1[[#This Row],[Revenue]]-Table1[[#This Row],[Cost]]</f>
        <v>0</v>
      </c>
      <c r="Q88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84" spans="1:17" x14ac:dyDescent="0.2">
      <c r="A884" t="s">
        <v>140</v>
      </c>
      <c r="B884" s="1">
        <v>45271</v>
      </c>
      <c r="C884" t="s">
        <v>37</v>
      </c>
      <c r="D884" t="s">
        <v>19</v>
      </c>
      <c r="E884" t="s">
        <v>38</v>
      </c>
      <c r="F884" t="s">
        <v>34</v>
      </c>
      <c r="G884">
        <v>1</v>
      </c>
      <c r="H884">
        <f>Table1[[#This Row],[UnitPrice]]*0.7*Table1[[#This Row],[UnitsSold]]</f>
        <v>655.75777272727271</v>
      </c>
      <c r="I884">
        <v>936.79681818181825</v>
      </c>
      <c r="J884">
        <v>0</v>
      </c>
      <c r="K884" t="s">
        <v>283</v>
      </c>
      <c r="L884" t="s">
        <v>17</v>
      </c>
      <c r="M884" s="3">
        <f t="shared" si="39"/>
        <v>936.79681818181825</v>
      </c>
      <c r="N884" t="str">
        <f t="shared" si="40"/>
        <v>December</v>
      </c>
      <c r="O884" t="str">
        <f t="shared" si="41"/>
        <v>2023</v>
      </c>
      <c r="P884" s="3">
        <f>Table1[[#This Row],[Revenue]]-Table1[[#This Row],[Cost]]</f>
        <v>281.03904545454554</v>
      </c>
      <c r="Q884"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0.3000000000000001</v>
      </c>
    </row>
    <row r="885" spans="1:17" x14ac:dyDescent="0.2">
      <c r="A885" t="s">
        <v>169</v>
      </c>
      <c r="B885" s="1">
        <v>45098</v>
      </c>
      <c r="C885" t="s">
        <v>246</v>
      </c>
      <c r="D885" t="s">
        <v>31</v>
      </c>
      <c r="E885" t="s">
        <v>38</v>
      </c>
      <c r="F885" t="s">
        <v>34</v>
      </c>
      <c r="G885">
        <v>0</v>
      </c>
      <c r="H885">
        <f>Table1[[#This Row],[UnitPrice]]*0.7*Table1[[#This Row],[UnitsSold]]</f>
        <v>0</v>
      </c>
      <c r="I885">
        <v>936.79681818181825</v>
      </c>
      <c r="J885">
        <v>0.12</v>
      </c>
      <c r="K885" t="s">
        <v>248</v>
      </c>
      <c r="L885" t="s">
        <v>22</v>
      </c>
      <c r="M885" s="3">
        <f t="shared" si="39"/>
        <v>0</v>
      </c>
      <c r="N885" t="str">
        <f t="shared" si="40"/>
        <v>June</v>
      </c>
      <c r="O885" t="str">
        <f t="shared" si="41"/>
        <v>2023</v>
      </c>
      <c r="P885" s="3">
        <f>Table1[[#This Row],[Revenue]]-Table1[[#This Row],[Cost]]</f>
        <v>0</v>
      </c>
      <c r="Q88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86" spans="1:17" x14ac:dyDescent="0.2">
      <c r="A886" t="s">
        <v>88</v>
      </c>
      <c r="B886" s="1">
        <v>45252</v>
      </c>
      <c r="C886" t="s">
        <v>57</v>
      </c>
      <c r="D886" t="s">
        <v>13</v>
      </c>
      <c r="E886" t="s">
        <v>247</v>
      </c>
      <c r="F886" t="s">
        <v>26</v>
      </c>
      <c r="G886">
        <v>0</v>
      </c>
      <c r="H886">
        <f>Table1[[#This Row],[UnitPrice]]*0.7*Table1[[#This Row],[UnitsSold]]</f>
        <v>0</v>
      </c>
      <c r="I886">
        <v>325.3</v>
      </c>
      <c r="J886">
        <v>0.03</v>
      </c>
      <c r="K886" t="s">
        <v>248</v>
      </c>
      <c r="L886" t="s">
        <v>27</v>
      </c>
      <c r="M886" s="3">
        <f t="shared" si="39"/>
        <v>0</v>
      </c>
      <c r="N886" t="str">
        <f t="shared" si="40"/>
        <v>November</v>
      </c>
      <c r="O886" t="str">
        <f t="shared" si="41"/>
        <v>2023</v>
      </c>
      <c r="P886" s="3">
        <f>Table1[[#This Row],[Revenue]]-Table1[[#This Row],[Cost]]</f>
        <v>0</v>
      </c>
      <c r="Q88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87" spans="1:17" x14ac:dyDescent="0.2">
      <c r="A887" t="s">
        <v>235</v>
      </c>
      <c r="B887" s="1">
        <v>45222</v>
      </c>
      <c r="C887" t="s">
        <v>57</v>
      </c>
      <c r="D887" t="s">
        <v>267</v>
      </c>
      <c r="E887" t="s">
        <v>25</v>
      </c>
      <c r="F887" t="s">
        <v>26</v>
      </c>
      <c r="G887">
        <v>18</v>
      </c>
      <c r="H887">
        <f>Table1[[#This Row],[UnitPrice]]*0.7*Table1[[#This Row],[UnitsSold]]</f>
        <v>23913.666000000001</v>
      </c>
      <c r="I887">
        <v>1897.91</v>
      </c>
      <c r="J887">
        <v>0.03</v>
      </c>
      <c r="K887" t="s">
        <v>42</v>
      </c>
      <c r="L887" t="s">
        <v>27</v>
      </c>
      <c r="M887" s="3">
        <f t="shared" si="39"/>
        <v>33137.508600000001</v>
      </c>
      <c r="N887" t="str">
        <f t="shared" si="40"/>
        <v>October</v>
      </c>
      <c r="O887" t="str">
        <f t="shared" si="41"/>
        <v>2023</v>
      </c>
      <c r="P887" s="3">
        <f>Table1[[#This Row],[Revenue]]-Table1[[#This Row],[Cost]]</f>
        <v>9223.8425999999999</v>
      </c>
      <c r="Q887" s="6">
        <f>IF(Table1[[#This Row],[UnitsSold]]*Table1[[#This Row],[UnitPrice]]*(1-Table1[[#This Row],[Discount]])=0, 0, ((Table1[[#This Row],[UnitsSold]]*Table1[[#This Row],[UnitPrice]]*(1-Table1[[#This Row],[Discount]])) - (Table1[[#This Row],[UnitsSold]]*Table1[[#This Row],[UnitPrice]]*0.7)) / (Table1[[#This Row],[UnitsSold]]*Table1[[#This Row],[UnitPrice]]*(1-Table1[[#This Row],[Discount]])))</f>
        <v>0.27835051546391754</v>
      </c>
    </row>
    <row r="888" spans="1:17" x14ac:dyDescent="0.2">
      <c r="A888" t="s">
        <v>116</v>
      </c>
      <c r="B888" s="1">
        <v>45321</v>
      </c>
      <c r="C888" t="s">
        <v>246</v>
      </c>
      <c r="D888" t="s">
        <v>19</v>
      </c>
      <c r="E888" t="s">
        <v>44</v>
      </c>
      <c r="F888" t="s">
        <v>26</v>
      </c>
      <c r="G888">
        <v>0</v>
      </c>
      <c r="H888">
        <f>Table1[[#This Row],[UnitPrice]]*0.7*Table1[[#This Row],[UnitsSold]]</f>
        <v>0</v>
      </c>
      <c r="I888">
        <v>1079.5765957446808</v>
      </c>
      <c r="J888">
        <v>0</v>
      </c>
      <c r="K888" t="s">
        <v>283</v>
      </c>
      <c r="L888" t="s">
        <v>55</v>
      </c>
      <c r="M888" s="3">
        <f t="shared" si="39"/>
        <v>0</v>
      </c>
      <c r="N888" t="str">
        <f t="shared" si="40"/>
        <v>January</v>
      </c>
      <c r="O888" t="str">
        <f t="shared" si="41"/>
        <v>2024</v>
      </c>
      <c r="P888" s="3">
        <f>Table1[[#This Row],[Revenue]]-Table1[[#This Row],[Cost]]</f>
        <v>0</v>
      </c>
      <c r="Q88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89" spans="1:17" x14ac:dyDescent="0.2">
      <c r="A889" t="s">
        <v>171</v>
      </c>
      <c r="B889" s="1">
        <v>45049</v>
      </c>
      <c r="C889" t="s">
        <v>37</v>
      </c>
      <c r="D889" t="s">
        <v>59</v>
      </c>
      <c r="E889" t="s">
        <v>247</v>
      </c>
      <c r="F889" t="s">
        <v>26</v>
      </c>
      <c r="G889">
        <v>0</v>
      </c>
      <c r="H889">
        <f>Table1[[#This Row],[UnitPrice]]*0.7*Table1[[#This Row],[UnitsSold]]</f>
        <v>0</v>
      </c>
      <c r="I889">
        <v>981.36020408163256</v>
      </c>
      <c r="J889">
        <v>0</v>
      </c>
      <c r="K889" t="s">
        <v>16</v>
      </c>
      <c r="L889" t="s">
        <v>55</v>
      </c>
      <c r="M889" s="3">
        <f t="shared" si="39"/>
        <v>0</v>
      </c>
      <c r="N889" t="str">
        <f t="shared" si="40"/>
        <v>May</v>
      </c>
      <c r="O889" t="str">
        <f t="shared" si="41"/>
        <v>2023</v>
      </c>
      <c r="P889" s="3">
        <f>Table1[[#This Row],[Revenue]]-Table1[[#This Row],[Cost]]</f>
        <v>0</v>
      </c>
      <c r="Q88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90" spans="1:17" x14ac:dyDescent="0.2">
      <c r="A890" t="s">
        <v>174</v>
      </c>
      <c r="B890" s="1">
        <v>45000</v>
      </c>
      <c r="C890" t="s">
        <v>12</v>
      </c>
      <c r="D890" t="s">
        <v>13</v>
      </c>
      <c r="E890" t="s">
        <v>44</v>
      </c>
      <c r="F890" t="s">
        <v>26</v>
      </c>
      <c r="G890">
        <v>0</v>
      </c>
      <c r="H890">
        <f>Table1[[#This Row],[UnitPrice]]*0.7*Table1[[#This Row],[UnitsSold]]</f>
        <v>0</v>
      </c>
      <c r="I890">
        <v>1855.13</v>
      </c>
      <c r="J890">
        <v>0</v>
      </c>
      <c r="K890" t="s">
        <v>52</v>
      </c>
      <c r="L890" t="s">
        <v>249</v>
      </c>
      <c r="M890" s="3">
        <f t="shared" si="39"/>
        <v>0</v>
      </c>
      <c r="N890" t="str">
        <f t="shared" si="40"/>
        <v>March</v>
      </c>
      <c r="O890" t="str">
        <f t="shared" si="41"/>
        <v>2023</v>
      </c>
      <c r="P890" s="3">
        <f>Table1[[#This Row],[Revenue]]-Table1[[#This Row],[Cost]]</f>
        <v>0</v>
      </c>
      <c r="Q89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91" spans="1:17" x14ac:dyDescent="0.2">
      <c r="A891" t="s">
        <v>126</v>
      </c>
      <c r="B891" s="1">
        <v>44966</v>
      </c>
      <c r="C891" t="s">
        <v>57</v>
      </c>
      <c r="D891" t="s">
        <v>267</v>
      </c>
      <c r="E891" t="s">
        <v>14</v>
      </c>
      <c r="F891" t="s">
        <v>26</v>
      </c>
      <c r="G891">
        <v>13</v>
      </c>
      <c r="H891">
        <f>Table1[[#This Row],[UnitPrice]]*0.7*Table1[[#This Row],[UnitsSold]]</f>
        <v>8983.155999999999</v>
      </c>
      <c r="I891">
        <v>987.16</v>
      </c>
      <c r="J891">
        <v>0</v>
      </c>
      <c r="K891" t="s">
        <v>283</v>
      </c>
      <c r="L891" t="s">
        <v>27</v>
      </c>
      <c r="M891" s="3">
        <f t="shared" si="39"/>
        <v>12833.08</v>
      </c>
      <c r="N891" t="str">
        <f t="shared" si="40"/>
        <v>February</v>
      </c>
      <c r="O891" t="str">
        <f t="shared" si="41"/>
        <v>2023</v>
      </c>
      <c r="P891" s="3">
        <f>Table1[[#This Row],[Revenue]]-Table1[[#This Row],[Cost]]</f>
        <v>3849.9240000000009</v>
      </c>
      <c r="Q891"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892" spans="1:17" x14ac:dyDescent="0.2">
      <c r="A892" t="s">
        <v>225</v>
      </c>
      <c r="B892" s="1">
        <v>45278</v>
      </c>
      <c r="C892" t="s">
        <v>57</v>
      </c>
      <c r="D892" t="s">
        <v>83</v>
      </c>
      <c r="E892" t="s">
        <v>14</v>
      </c>
      <c r="F892" t="s">
        <v>26</v>
      </c>
      <c r="G892">
        <v>6</v>
      </c>
      <c r="H892">
        <f>Table1[[#This Row],[UnitPrice]]*0.7*Table1[[#This Row],[UnitsSold]]</f>
        <v>2538.9839999999999</v>
      </c>
      <c r="I892">
        <v>604.52</v>
      </c>
      <c r="J892">
        <v>0</v>
      </c>
      <c r="K892" t="s">
        <v>248</v>
      </c>
      <c r="L892" t="s">
        <v>27</v>
      </c>
      <c r="M892" s="3">
        <f t="shared" si="39"/>
        <v>3627.12</v>
      </c>
      <c r="N892" t="str">
        <f t="shared" si="40"/>
        <v>December</v>
      </c>
      <c r="O892" t="str">
        <f t="shared" si="41"/>
        <v>2023</v>
      </c>
      <c r="P892" s="3">
        <f>Table1[[#This Row],[Revenue]]-Table1[[#This Row],[Cost]]</f>
        <v>1088.136</v>
      </c>
      <c r="Q892"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893" spans="1:17" x14ac:dyDescent="0.2">
      <c r="A893" t="s">
        <v>131</v>
      </c>
      <c r="B893" s="1">
        <v>45102</v>
      </c>
      <c r="C893" t="s">
        <v>29</v>
      </c>
      <c r="D893" t="s">
        <v>83</v>
      </c>
      <c r="E893" t="s">
        <v>44</v>
      </c>
      <c r="F893" t="s">
        <v>26</v>
      </c>
      <c r="G893">
        <v>18</v>
      </c>
      <c r="H893">
        <f>Table1[[#This Row],[UnitPrice]]*0.7*Table1[[#This Row],[UnitsSold]]</f>
        <v>13602.665106382978</v>
      </c>
      <c r="I893">
        <v>1079.5765957446808</v>
      </c>
      <c r="J893">
        <v>0.08</v>
      </c>
      <c r="K893" t="s">
        <v>16</v>
      </c>
      <c r="L893" t="s">
        <v>17</v>
      </c>
      <c r="M893" s="3">
        <f t="shared" si="39"/>
        <v>17877.788425531915</v>
      </c>
      <c r="N893" t="str">
        <f t="shared" si="40"/>
        <v>June</v>
      </c>
      <c r="O893" t="str">
        <f t="shared" si="41"/>
        <v>2023</v>
      </c>
      <c r="P893" s="3">
        <f>Table1[[#This Row],[Revenue]]-Table1[[#This Row],[Cost]]</f>
        <v>4275.1233191489373</v>
      </c>
      <c r="Q893" s="6">
        <f>IF(Table1[[#This Row],[UnitsSold]]*Table1[[#This Row],[UnitPrice]]*(1-Table1[[#This Row],[Discount]])=0, 0, ((Table1[[#This Row],[UnitsSold]]*Table1[[#This Row],[UnitPrice]]*(1-Table1[[#This Row],[Discount]])) - (Table1[[#This Row],[UnitsSold]]*Table1[[#This Row],[UnitPrice]]*0.7)) / (Table1[[#This Row],[UnitsSold]]*Table1[[#This Row],[UnitPrice]]*(1-Table1[[#This Row],[Discount]])))</f>
        <v>0.23913043478260876</v>
      </c>
    </row>
    <row r="894" spans="1:17" x14ac:dyDescent="0.2">
      <c r="A894" t="s">
        <v>209</v>
      </c>
      <c r="B894" s="1">
        <v>45201</v>
      </c>
      <c r="C894" t="s">
        <v>12</v>
      </c>
      <c r="D894" t="s">
        <v>31</v>
      </c>
      <c r="E894" t="s">
        <v>44</v>
      </c>
      <c r="F894" t="s">
        <v>26</v>
      </c>
      <c r="G894">
        <v>0</v>
      </c>
      <c r="H894">
        <f>Table1[[#This Row],[UnitPrice]]*0.7*Table1[[#This Row],[UnitsSold]]</f>
        <v>0</v>
      </c>
      <c r="I894">
        <v>238.43</v>
      </c>
      <c r="J894">
        <v>0.01</v>
      </c>
      <c r="K894" t="s">
        <v>16</v>
      </c>
      <c r="L894" t="s">
        <v>27</v>
      </c>
      <c r="M894" s="3">
        <f t="shared" si="39"/>
        <v>0</v>
      </c>
      <c r="N894" t="str">
        <f t="shared" si="40"/>
        <v>October</v>
      </c>
      <c r="O894" t="str">
        <f t="shared" si="41"/>
        <v>2023</v>
      </c>
      <c r="P894" s="3">
        <f>Table1[[#This Row],[Revenue]]-Table1[[#This Row],[Cost]]</f>
        <v>0</v>
      </c>
      <c r="Q89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95" spans="1:17" x14ac:dyDescent="0.2">
      <c r="A895" t="s">
        <v>139</v>
      </c>
      <c r="B895" s="1">
        <v>45281</v>
      </c>
      <c r="C895" t="s">
        <v>246</v>
      </c>
      <c r="D895" t="s">
        <v>59</v>
      </c>
      <c r="E895" t="s">
        <v>14</v>
      </c>
      <c r="F895" t="s">
        <v>26</v>
      </c>
      <c r="G895">
        <v>7</v>
      </c>
      <c r="H895">
        <f>Table1[[#This Row],[UnitPrice]]*0.7*Table1[[#This Row],[UnitsSold]]</f>
        <v>4914.0650851063829</v>
      </c>
      <c r="I895">
        <v>1002.870425531915</v>
      </c>
      <c r="J895">
        <v>0</v>
      </c>
      <c r="K895" t="s">
        <v>283</v>
      </c>
      <c r="L895" t="s">
        <v>22</v>
      </c>
      <c r="M895" s="3">
        <f t="shared" si="39"/>
        <v>7020.0929787234045</v>
      </c>
      <c r="N895" t="str">
        <f t="shared" si="40"/>
        <v>December</v>
      </c>
      <c r="O895" t="str">
        <f t="shared" si="41"/>
        <v>2023</v>
      </c>
      <c r="P895" s="3">
        <f>Table1[[#This Row],[Revenue]]-Table1[[#This Row],[Cost]]</f>
        <v>2106.0278936170216</v>
      </c>
      <c r="Q89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896" spans="1:17" x14ac:dyDescent="0.2">
      <c r="A896" t="s">
        <v>92</v>
      </c>
      <c r="B896" s="1">
        <v>45189</v>
      </c>
      <c r="C896" t="s">
        <v>57</v>
      </c>
      <c r="D896" t="s">
        <v>19</v>
      </c>
      <c r="E896" t="s">
        <v>14</v>
      </c>
      <c r="F896" t="s">
        <v>26</v>
      </c>
      <c r="G896">
        <v>0</v>
      </c>
      <c r="H896">
        <f>Table1[[#This Row],[UnitPrice]]*0.7*Table1[[#This Row],[UnitsSold]]</f>
        <v>0</v>
      </c>
      <c r="I896">
        <v>1002.870425531915</v>
      </c>
      <c r="J896">
        <v>0</v>
      </c>
      <c r="K896" t="s">
        <v>16</v>
      </c>
      <c r="L896" t="s">
        <v>17</v>
      </c>
      <c r="M896" s="3">
        <f t="shared" si="39"/>
        <v>0</v>
      </c>
      <c r="N896" t="str">
        <f t="shared" si="40"/>
        <v>September</v>
      </c>
      <c r="O896" t="str">
        <f t="shared" si="41"/>
        <v>2023</v>
      </c>
      <c r="P896" s="3">
        <f>Table1[[#This Row],[Revenue]]-Table1[[#This Row],[Cost]]</f>
        <v>0</v>
      </c>
      <c r="Q89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97" spans="1:17" x14ac:dyDescent="0.2">
      <c r="A897" t="s">
        <v>227</v>
      </c>
      <c r="B897" s="1">
        <v>45227</v>
      </c>
      <c r="C897" t="s">
        <v>24</v>
      </c>
      <c r="D897" t="s">
        <v>19</v>
      </c>
      <c r="E897" t="s">
        <v>25</v>
      </c>
      <c r="F897" t="s">
        <v>26</v>
      </c>
      <c r="G897">
        <v>0</v>
      </c>
      <c r="H897">
        <f>Table1[[#This Row],[UnitPrice]]*0.7*Table1[[#This Row],[UnitsSold]]</f>
        <v>0</v>
      </c>
      <c r="I897">
        <v>961.05661016949136</v>
      </c>
      <c r="J897">
        <v>0</v>
      </c>
      <c r="K897" t="s">
        <v>52</v>
      </c>
      <c r="L897" t="s">
        <v>17</v>
      </c>
      <c r="M897" s="3">
        <f t="shared" si="39"/>
        <v>0</v>
      </c>
      <c r="N897" t="str">
        <f t="shared" si="40"/>
        <v>October</v>
      </c>
      <c r="O897" t="str">
        <f t="shared" si="41"/>
        <v>2023</v>
      </c>
      <c r="P897" s="3">
        <f>Table1[[#This Row],[Revenue]]-Table1[[#This Row],[Cost]]</f>
        <v>0</v>
      </c>
      <c r="Q89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98" spans="1:17" x14ac:dyDescent="0.2">
      <c r="A898" t="s">
        <v>199</v>
      </c>
      <c r="B898" s="1">
        <v>45237</v>
      </c>
      <c r="C898" t="s">
        <v>57</v>
      </c>
      <c r="D898" t="s">
        <v>83</v>
      </c>
      <c r="E898" t="s">
        <v>247</v>
      </c>
      <c r="F898" t="s">
        <v>26</v>
      </c>
      <c r="G898">
        <v>0</v>
      </c>
      <c r="H898">
        <f>Table1[[#This Row],[UnitPrice]]*0.7*Table1[[#This Row],[UnitsSold]]</f>
        <v>0</v>
      </c>
      <c r="I898">
        <v>1796.81</v>
      </c>
      <c r="J898">
        <v>0.13</v>
      </c>
      <c r="K898" t="s">
        <v>248</v>
      </c>
      <c r="L898" t="s">
        <v>55</v>
      </c>
      <c r="M898" s="3">
        <f t="shared" ref="M898:M961" si="42">G898*I898*(1-J898)</f>
        <v>0</v>
      </c>
      <c r="N898" t="str">
        <f t="shared" ref="N898:N961" si="43">TEXT(B898, "mmmm")</f>
        <v>November</v>
      </c>
      <c r="O898" t="str">
        <f t="shared" ref="O898:O961" si="44">TEXT(B898, "yyyy")</f>
        <v>2023</v>
      </c>
      <c r="P898" s="3">
        <f>Table1[[#This Row],[Revenue]]-Table1[[#This Row],[Cost]]</f>
        <v>0</v>
      </c>
      <c r="Q89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899" spans="1:17" x14ac:dyDescent="0.2">
      <c r="A899" t="s">
        <v>110</v>
      </c>
      <c r="B899" s="1">
        <v>45136</v>
      </c>
      <c r="C899" t="s">
        <v>24</v>
      </c>
      <c r="D899" t="s">
        <v>31</v>
      </c>
      <c r="E899" t="s">
        <v>25</v>
      </c>
      <c r="F899" t="s">
        <v>26</v>
      </c>
      <c r="G899">
        <v>0</v>
      </c>
      <c r="H899">
        <f>Table1[[#This Row],[UnitPrice]]*0.7*Table1[[#This Row],[UnitsSold]]</f>
        <v>0</v>
      </c>
      <c r="I899">
        <v>69.58</v>
      </c>
      <c r="J899">
        <v>0</v>
      </c>
      <c r="K899" t="s">
        <v>16</v>
      </c>
      <c r="L899" t="s">
        <v>55</v>
      </c>
      <c r="M899" s="3">
        <f t="shared" si="42"/>
        <v>0</v>
      </c>
      <c r="N899" t="str">
        <f t="shared" si="43"/>
        <v>July</v>
      </c>
      <c r="O899" t="str">
        <f t="shared" si="44"/>
        <v>2023</v>
      </c>
      <c r="P899" s="3">
        <f>Table1[[#This Row],[Revenue]]-Table1[[#This Row],[Cost]]</f>
        <v>0</v>
      </c>
      <c r="Q89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00" spans="1:17" x14ac:dyDescent="0.2">
      <c r="A900" t="s">
        <v>61</v>
      </c>
      <c r="B900" s="1">
        <v>44964</v>
      </c>
      <c r="C900" t="s">
        <v>37</v>
      </c>
      <c r="D900" t="s">
        <v>13</v>
      </c>
      <c r="E900" t="s">
        <v>14</v>
      </c>
      <c r="F900" t="s">
        <v>26</v>
      </c>
      <c r="G900">
        <v>0</v>
      </c>
      <c r="H900">
        <f>Table1[[#This Row],[UnitPrice]]*0.7*Table1[[#This Row],[UnitsSold]]</f>
        <v>0</v>
      </c>
      <c r="I900">
        <v>1002.870425531915</v>
      </c>
      <c r="J900">
        <v>0</v>
      </c>
      <c r="K900" t="s">
        <v>52</v>
      </c>
      <c r="L900" t="s">
        <v>249</v>
      </c>
      <c r="M900" s="3">
        <f t="shared" si="42"/>
        <v>0</v>
      </c>
      <c r="N900" t="str">
        <f t="shared" si="43"/>
        <v>February</v>
      </c>
      <c r="O900" t="str">
        <f t="shared" si="44"/>
        <v>2023</v>
      </c>
      <c r="P900" s="3">
        <f>Table1[[#This Row],[Revenue]]-Table1[[#This Row],[Cost]]</f>
        <v>0</v>
      </c>
      <c r="Q90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01" spans="1:17" x14ac:dyDescent="0.2">
      <c r="A901" t="s">
        <v>204</v>
      </c>
      <c r="B901" s="1">
        <v>45217</v>
      </c>
      <c r="C901" t="s">
        <v>29</v>
      </c>
      <c r="D901" t="s">
        <v>19</v>
      </c>
      <c r="E901" t="s">
        <v>44</v>
      </c>
      <c r="F901" t="s">
        <v>26</v>
      </c>
      <c r="G901">
        <v>0</v>
      </c>
      <c r="H901">
        <f>Table1[[#This Row],[UnitPrice]]*0.7*Table1[[#This Row],[UnitsSold]]</f>
        <v>0</v>
      </c>
      <c r="I901">
        <v>1079.5765957446808</v>
      </c>
      <c r="J901">
        <v>0</v>
      </c>
      <c r="K901" t="s">
        <v>52</v>
      </c>
      <c r="L901" t="s">
        <v>17</v>
      </c>
      <c r="M901" s="3">
        <f t="shared" si="42"/>
        <v>0</v>
      </c>
      <c r="N901" t="str">
        <f t="shared" si="43"/>
        <v>October</v>
      </c>
      <c r="O901" t="str">
        <f t="shared" si="44"/>
        <v>2023</v>
      </c>
      <c r="P901" s="3">
        <f>Table1[[#This Row],[Revenue]]-Table1[[#This Row],[Cost]]</f>
        <v>0</v>
      </c>
      <c r="Q90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02" spans="1:17" x14ac:dyDescent="0.2">
      <c r="A902" t="s">
        <v>104</v>
      </c>
      <c r="B902" s="1">
        <v>44965</v>
      </c>
      <c r="C902" t="s">
        <v>57</v>
      </c>
      <c r="D902" t="s">
        <v>13</v>
      </c>
      <c r="E902" t="s">
        <v>25</v>
      </c>
      <c r="F902" t="s">
        <v>26</v>
      </c>
      <c r="G902">
        <v>0</v>
      </c>
      <c r="H902">
        <f>Table1[[#This Row],[UnitPrice]]*0.7*Table1[[#This Row],[UnitsSold]]</f>
        <v>0</v>
      </c>
      <c r="I902">
        <v>404.32</v>
      </c>
      <c r="J902">
        <v>0</v>
      </c>
      <c r="K902" t="s">
        <v>16</v>
      </c>
      <c r="L902" t="s">
        <v>55</v>
      </c>
      <c r="M902" s="3">
        <f t="shared" si="42"/>
        <v>0</v>
      </c>
      <c r="N902" t="str">
        <f t="shared" si="43"/>
        <v>February</v>
      </c>
      <c r="O902" t="str">
        <f t="shared" si="44"/>
        <v>2023</v>
      </c>
      <c r="P902" s="3">
        <f>Table1[[#This Row],[Revenue]]-Table1[[#This Row],[Cost]]</f>
        <v>0</v>
      </c>
      <c r="Q90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03" spans="1:17" x14ac:dyDescent="0.2">
      <c r="A903" t="s">
        <v>212</v>
      </c>
      <c r="B903" s="1">
        <v>44988</v>
      </c>
      <c r="C903" t="s">
        <v>12</v>
      </c>
      <c r="D903" t="s">
        <v>83</v>
      </c>
      <c r="E903" t="s">
        <v>247</v>
      </c>
      <c r="F903" t="s">
        <v>26</v>
      </c>
      <c r="G903">
        <v>0</v>
      </c>
      <c r="H903">
        <f>Table1[[#This Row],[UnitPrice]]*0.7*Table1[[#This Row],[UnitsSold]]</f>
        <v>0</v>
      </c>
      <c r="I903">
        <v>981.36020408163256</v>
      </c>
      <c r="J903">
        <v>0.01</v>
      </c>
      <c r="K903" t="s">
        <v>283</v>
      </c>
      <c r="L903" t="s">
        <v>17</v>
      </c>
      <c r="M903" s="3">
        <f t="shared" si="42"/>
        <v>0</v>
      </c>
      <c r="N903" t="str">
        <f t="shared" si="43"/>
        <v>March</v>
      </c>
      <c r="O903" t="str">
        <f t="shared" si="44"/>
        <v>2023</v>
      </c>
      <c r="P903" s="3">
        <f>Table1[[#This Row],[Revenue]]-Table1[[#This Row],[Cost]]</f>
        <v>0</v>
      </c>
      <c r="Q90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04" spans="1:17" x14ac:dyDescent="0.2">
      <c r="A904" t="s">
        <v>237</v>
      </c>
      <c r="B904" s="1">
        <v>45163</v>
      </c>
      <c r="C904" t="s">
        <v>24</v>
      </c>
      <c r="D904" t="s">
        <v>19</v>
      </c>
      <c r="E904" t="s">
        <v>25</v>
      </c>
      <c r="F904" t="s">
        <v>26</v>
      </c>
      <c r="G904">
        <v>0</v>
      </c>
      <c r="H904">
        <f>Table1[[#This Row],[UnitPrice]]*0.7*Table1[[#This Row],[UnitsSold]]</f>
        <v>0</v>
      </c>
      <c r="I904">
        <v>1836.89</v>
      </c>
      <c r="J904">
        <v>0.1</v>
      </c>
      <c r="K904" t="s">
        <v>16</v>
      </c>
      <c r="L904" t="s">
        <v>22</v>
      </c>
      <c r="M904" s="3">
        <f t="shared" si="42"/>
        <v>0</v>
      </c>
      <c r="N904" t="str">
        <f t="shared" si="43"/>
        <v>August</v>
      </c>
      <c r="O904" t="str">
        <f t="shared" si="44"/>
        <v>2023</v>
      </c>
      <c r="P904" s="3">
        <f>Table1[[#This Row],[Revenue]]-Table1[[#This Row],[Cost]]</f>
        <v>0</v>
      </c>
      <c r="Q90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05" spans="1:17" x14ac:dyDescent="0.2">
      <c r="A905" t="s">
        <v>241</v>
      </c>
      <c r="B905" s="1">
        <v>45139</v>
      </c>
      <c r="C905" t="s">
        <v>24</v>
      </c>
      <c r="D905" t="s">
        <v>59</v>
      </c>
      <c r="E905" t="s">
        <v>14</v>
      </c>
      <c r="F905" t="s">
        <v>26</v>
      </c>
      <c r="G905">
        <v>13</v>
      </c>
      <c r="H905">
        <f>Table1[[#This Row],[UnitPrice]]*0.7*Table1[[#This Row],[UnitsSold]]</f>
        <v>9126.1208723404252</v>
      </c>
      <c r="I905">
        <v>1002.870425531915</v>
      </c>
      <c r="J905">
        <v>0.15</v>
      </c>
      <c r="K905" t="s">
        <v>42</v>
      </c>
      <c r="L905" t="s">
        <v>55</v>
      </c>
      <c r="M905" s="3">
        <f t="shared" si="42"/>
        <v>11081.71820212766</v>
      </c>
      <c r="N905" t="str">
        <f t="shared" si="43"/>
        <v>August</v>
      </c>
      <c r="O905" t="str">
        <f t="shared" si="44"/>
        <v>2023</v>
      </c>
      <c r="P905" s="3">
        <f>Table1[[#This Row],[Revenue]]-Table1[[#This Row],[Cost]]</f>
        <v>1955.5973297872351</v>
      </c>
      <c r="Q905" s="6">
        <f>IF(Table1[[#This Row],[UnitsSold]]*Table1[[#This Row],[UnitPrice]]*(1-Table1[[#This Row],[Discount]])=0, 0, ((Table1[[#This Row],[UnitsSold]]*Table1[[#This Row],[UnitPrice]]*(1-Table1[[#This Row],[Discount]])) - (Table1[[#This Row],[UnitsSold]]*Table1[[#This Row],[UnitPrice]]*0.7)) / (Table1[[#This Row],[UnitsSold]]*Table1[[#This Row],[UnitPrice]]*(1-Table1[[#This Row],[Discount]])))</f>
        <v>0.17647058823529405</v>
      </c>
    </row>
    <row r="906" spans="1:17" x14ac:dyDescent="0.2">
      <c r="A906" t="s">
        <v>65</v>
      </c>
      <c r="B906" s="1">
        <v>45159</v>
      </c>
      <c r="C906" t="s">
        <v>57</v>
      </c>
      <c r="D906" t="s">
        <v>267</v>
      </c>
      <c r="E906" t="s">
        <v>48</v>
      </c>
      <c r="F906" t="s">
        <v>39</v>
      </c>
      <c r="G906">
        <v>0</v>
      </c>
      <c r="H906">
        <f>Table1[[#This Row],[UnitPrice]]*0.7*Table1[[#This Row],[UnitsSold]]</f>
        <v>0</v>
      </c>
      <c r="I906">
        <v>214.46</v>
      </c>
      <c r="J906">
        <v>0.01</v>
      </c>
      <c r="K906" t="s">
        <v>16</v>
      </c>
      <c r="L906" t="s">
        <v>27</v>
      </c>
      <c r="M906" s="3">
        <f t="shared" si="42"/>
        <v>0</v>
      </c>
      <c r="N906" t="str">
        <f t="shared" si="43"/>
        <v>August</v>
      </c>
      <c r="O906" t="str">
        <f t="shared" si="44"/>
        <v>2023</v>
      </c>
      <c r="P906" s="3">
        <f>Table1[[#This Row],[Revenue]]-Table1[[#This Row],[Cost]]</f>
        <v>0</v>
      </c>
      <c r="Q90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07" spans="1:17" x14ac:dyDescent="0.2">
      <c r="A907" t="s">
        <v>105</v>
      </c>
      <c r="B907" s="1">
        <v>45279</v>
      </c>
      <c r="C907" t="s">
        <v>57</v>
      </c>
      <c r="D907" t="s">
        <v>19</v>
      </c>
      <c r="E907" t="s">
        <v>247</v>
      </c>
      <c r="F907" t="s">
        <v>26</v>
      </c>
      <c r="G907">
        <v>0</v>
      </c>
      <c r="H907">
        <f>Table1[[#This Row],[UnitPrice]]*0.7*Table1[[#This Row],[UnitsSold]]</f>
        <v>0</v>
      </c>
      <c r="I907">
        <v>981.36020408163256</v>
      </c>
      <c r="J907">
        <v>0</v>
      </c>
      <c r="K907" t="s">
        <v>16</v>
      </c>
      <c r="L907" t="s">
        <v>27</v>
      </c>
      <c r="M907" s="3">
        <f t="shared" si="42"/>
        <v>0</v>
      </c>
      <c r="N907" t="str">
        <f t="shared" si="43"/>
        <v>December</v>
      </c>
      <c r="O907" t="str">
        <f t="shared" si="44"/>
        <v>2023</v>
      </c>
      <c r="P907" s="3">
        <f>Table1[[#This Row],[Revenue]]-Table1[[#This Row],[Cost]]</f>
        <v>0</v>
      </c>
      <c r="Q90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08" spans="1:17" x14ac:dyDescent="0.2">
      <c r="A908" t="s">
        <v>206</v>
      </c>
      <c r="B908" s="1">
        <v>44949</v>
      </c>
      <c r="C908" t="s">
        <v>12</v>
      </c>
      <c r="D908" t="s">
        <v>19</v>
      </c>
      <c r="E908" t="s">
        <v>14</v>
      </c>
      <c r="F908" t="s">
        <v>26</v>
      </c>
      <c r="G908">
        <v>0</v>
      </c>
      <c r="H908">
        <f>Table1[[#This Row],[UnitPrice]]*0.7*Table1[[#This Row],[UnitsSold]]</f>
        <v>0</v>
      </c>
      <c r="I908">
        <v>1002.870425531915</v>
      </c>
      <c r="J908">
        <v>0.08</v>
      </c>
      <c r="K908" t="s">
        <v>16</v>
      </c>
      <c r="L908" t="s">
        <v>17</v>
      </c>
      <c r="M908" s="3">
        <f t="shared" si="42"/>
        <v>0</v>
      </c>
      <c r="N908" t="str">
        <f t="shared" si="43"/>
        <v>January</v>
      </c>
      <c r="O908" t="str">
        <f t="shared" si="44"/>
        <v>2023</v>
      </c>
      <c r="P908" s="3">
        <f>Table1[[#This Row],[Revenue]]-Table1[[#This Row],[Cost]]</f>
        <v>0</v>
      </c>
      <c r="Q90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09" spans="1:17" x14ac:dyDescent="0.2">
      <c r="A909" t="s">
        <v>167</v>
      </c>
      <c r="B909" s="1">
        <v>44988</v>
      </c>
      <c r="C909" t="s">
        <v>246</v>
      </c>
      <c r="D909" t="s">
        <v>59</v>
      </c>
      <c r="E909" t="s">
        <v>25</v>
      </c>
      <c r="F909" t="s">
        <v>26</v>
      </c>
      <c r="G909">
        <v>0</v>
      </c>
      <c r="H909">
        <f>Table1[[#This Row],[UnitPrice]]*0.7*Table1[[#This Row],[UnitsSold]]</f>
        <v>0</v>
      </c>
      <c r="I909">
        <v>961.05661016949136</v>
      </c>
      <c r="J909">
        <v>0</v>
      </c>
      <c r="K909" t="s">
        <v>16</v>
      </c>
      <c r="L909" t="s">
        <v>17</v>
      </c>
      <c r="M909" s="3">
        <f t="shared" si="42"/>
        <v>0</v>
      </c>
      <c r="N909" t="str">
        <f t="shared" si="43"/>
        <v>March</v>
      </c>
      <c r="O909" t="str">
        <f t="shared" si="44"/>
        <v>2023</v>
      </c>
      <c r="P909" s="3">
        <f>Table1[[#This Row],[Revenue]]-Table1[[#This Row],[Cost]]</f>
        <v>0</v>
      </c>
      <c r="Q90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10" spans="1:17" x14ac:dyDescent="0.2">
      <c r="A910" t="s">
        <v>161</v>
      </c>
      <c r="B910" s="1">
        <v>45265</v>
      </c>
      <c r="C910" t="s">
        <v>57</v>
      </c>
      <c r="D910" t="s">
        <v>59</v>
      </c>
      <c r="E910" t="s">
        <v>14</v>
      </c>
      <c r="F910" t="s">
        <v>26</v>
      </c>
      <c r="G910">
        <v>8</v>
      </c>
      <c r="H910">
        <f>Table1[[#This Row],[UnitPrice]]*0.7*Table1[[#This Row],[UnitsSold]]</f>
        <v>5616.0743829787234</v>
      </c>
      <c r="I910">
        <v>1002.870425531915</v>
      </c>
      <c r="J910">
        <v>0</v>
      </c>
      <c r="K910" t="s">
        <v>248</v>
      </c>
      <c r="L910" t="s">
        <v>249</v>
      </c>
      <c r="M910" s="3">
        <f t="shared" si="42"/>
        <v>8022.9634042553198</v>
      </c>
      <c r="N910" t="str">
        <f t="shared" si="43"/>
        <v>December</v>
      </c>
      <c r="O910" t="str">
        <f t="shared" si="44"/>
        <v>2023</v>
      </c>
      <c r="P910" s="3">
        <f>Table1[[#This Row],[Revenue]]-Table1[[#This Row],[Cost]]</f>
        <v>2406.8890212765964</v>
      </c>
      <c r="Q91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911" spans="1:17" x14ac:dyDescent="0.2">
      <c r="A911" t="s">
        <v>224</v>
      </c>
      <c r="B911" s="1">
        <v>45258</v>
      </c>
      <c r="C911" t="s">
        <v>37</v>
      </c>
      <c r="D911" t="s">
        <v>13</v>
      </c>
      <c r="E911" t="s">
        <v>46</v>
      </c>
      <c r="F911" t="s">
        <v>26</v>
      </c>
      <c r="G911">
        <v>16</v>
      </c>
      <c r="H911">
        <f>Table1[[#This Row],[UnitPrice]]*0.7*Table1[[#This Row],[UnitsSold]]</f>
        <v>12387.493333333327</v>
      </c>
      <c r="I911">
        <v>1106.0261904761899</v>
      </c>
      <c r="J911">
        <v>0</v>
      </c>
      <c r="K911" t="s">
        <v>16</v>
      </c>
      <c r="L911" t="s">
        <v>22</v>
      </c>
      <c r="M911" s="3">
        <f t="shared" si="42"/>
        <v>17696.419047619038</v>
      </c>
      <c r="N911" t="str">
        <f t="shared" si="43"/>
        <v>November</v>
      </c>
      <c r="O911" t="str">
        <f t="shared" si="44"/>
        <v>2023</v>
      </c>
      <c r="P911" s="3">
        <f>Table1[[#This Row],[Revenue]]-Table1[[#This Row],[Cost]]</f>
        <v>5308.9257142857114</v>
      </c>
      <c r="Q911"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912" spans="1:17" x14ac:dyDescent="0.2">
      <c r="A912" t="s">
        <v>97</v>
      </c>
      <c r="B912" s="1">
        <v>45101</v>
      </c>
      <c r="C912" t="s">
        <v>37</v>
      </c>
      <c r="D912" t="s">
        <v>267</v>
      </c>
      <c r="E912" t="s">
        <v>44</v>
      </c>
      <c r="F912" t="s">
        <v>26</v>
      </c>
      <c r="G912">
        <v>0</v>
      </c>
      <c r="H912">
        <f>Table1[[#This Row],[UnitPrice]]*0.7*Table1[[#This Row],[UnitsSold]]</f>
        <v>0</v>
      </c>
      <c r="I912">
        <v>1079.5765957446808</v>
      </c>
      <c r="J912">
        <v>0</v>
      </c>
      <c r="K912" t="s">
        <v>16</v>
      </c>
      <c r="L912" t="s">
        <v>17</v>
      </c>
      <c r="M912" s="3">
        <f t="shared" si="42"/>
        <v>0</v>
      </c>
      <c r="N912" t="str">
        <f t="shared" si="43"/>
        <v>June</v>
      </c>
      <c r="O912" t="str">
        <f t="shared" si="44"/>
        <v>2023</v>
      </c>
      <c r="P912" s="3">
        <f>Table1[[#This Row],[Revenue]]-Table1[[#This Row],[Cost]]</f>
        <v>0</v>
      </c>
      <c r="Q91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13" spans="1:17" x14ac:dyDescent="0.2">
      <c r="A913" t="s">
        <v>199</v>
      </c>
      <c r="B913" s="1">
        <v>44993</v>
      </c>
      <c r="C913" t="s">
        <v>37</v>
      </c>
      <c r="D913" t="s">
        <v>59</v>
      </c>
      <c r="E913" t="s">
        <v>38</v>
      </c>
      <c r="F913" t="s">
        <v>34</v>
      </c>
      <c r="G913">
        <v>0</v>
      </c>
      <c r="H913">
        <f>Table1[[#This Row],[UnitPrice]]*0.7*Table1[[#This Row],[UnitsSold]]</f>
        <v>0</v>
      </c>
      <c r="I913">
        <v>936.79681818181825</v>
      </c>
      <c r="J913">
        <v>0</v>
      </c>
      <c r="K913" t="s">
        <v>42</v>
      </c>
      <c r="L913" t="s">
        <v>249</v>
      </c>
      <c r="M913" s="3">
        <f t="shared" si="42"/>
        <v>0</v>
      </c>
      <c r="N913" t="str">
        <f t="shared" si="43"/>
        <v>March</v>
      </c>
      <c r="O913" t="str">
        <f t="shared" si="44"/>
        <v>2023</v>
      </c>
      <c r="P913" s="3">
        <f>Table1[[#This Row],[Revenue]]-Table1[[#This Row],[Cost]]</f>
        <v>0</v>
      </c>
      <c r="Q91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14" spans="1:17" x14ac:dyDescent="0.2">
      <c r="A914" t="s">
        <v>232</v>
      </c>
      <c r="B914" s="1">
        <v>45084</v>
      </c>
      <c r="C914" t="s">
        <v>12</v>
      </c>
      <c r="D914" t="s">
        <v>19</v>
      </c>
      <c r="E914" t="s">
        <v>38</v>
      </c>
      <c r="F914" t="s">
        <v>34</v>
      </c>
      <c r="G914">
        <v>4</v>
      </c>
      <c r="H914">
        <f>Table1[[#This Row],[UnitPrice]]*0.7*Table1[[#This Row],[UnitsSold]]</f>
        <v>2623.0310909090908</v>
      </c>
      <c r="I914">
        <v>936.79681818181825</v>
      </c>
      <c r="J914">
        <v>0.06</v>
      </c>
      <c r="K914" t="s">
        <v>42</v>
      </c>
      <c r="L914" t="s">
        <v>17</v>
      </c>
      <c r="M914" s="3">
        <f t="shared" si="42"/>
        <v>3522.3560363636366</v>
      </c>
      <c r="N914" t="str">
        <f t="shared" si="43"/>
        <v>June</v>
      </c>
      <c r="O914" t="str">
        <f t="shared" si="44"/>
        <v>2023</v>
      </c>
      <c r="P914" s="3">
        <f>Table1[[#This Row],[Revenue]]-Table1[[#This Row],[Cost]]</f>
        <v>899.32494545454574</v>
      </c>
      <c r="Q914" s="6">
        <f>IF(Table1[[#This Row],[UnitsSold]]*Table1[[#This Row],[UnitPrice]]*(1-Table1[[#This Row],[Discount]])=0, 0, ((Table1[[#This Row],[UnitsSold]]*Table1[[#This Row],[UnitPrice]]*(1-Table1[[#This Row],[Discount]])) - (Table1[[#This Row],[UnitsSold]]*Table1[[#This Row],[UnitPrice]]*0.7)) / (Table1[[#This Row],[UnitsSold]]*Table1[[#This Row],[UnitPrice]]*(1-Table1[[#This Row],[Discount]])))</f>
        <v>0.2553191489361703</v>
      </c>
    </row>
    <row r="915" spans="1:17" x14ac:dyDescent="0.2">
      <c r="A915" t="s">
        <v>149</v>
      </c>
      <c r="B915" s="1">
        <v>45107</v>
      </c>
      <c r="C915" t="s">
        <v>24</v>
      </c>
      <c r="D915" t="s">
        <v>19</v>
      </c>
      <c r="E915" t="s">
        <v>44</v>
      </c>
      <c r="F915" t="s">
        <v>26</v>
      </c>
      <c r="G915">
        <v>0</v>
      </c>
      <c r="H915">
        <f>Table1[[#This Row],[UnitPrice]]*0.7*Table1[[#This Row],[UnitsSold]]</f>
        <v>0</v>
      </c>
      <c r="I915">
        <v>1079.5765957446808</v>
      </c>
      <c r="J915">
        <v>0</v>
      </c>
      <c r="K915" t="s">
        <v>52</v>
      </c>
      <c r="L915" t="s">
        <v>27</v>
      </c>
      <c r="M915" s="3">
        <f t="shared" si="42"/>
        <v>0</v>
      </c>
      <c r="N915" t="str">
        <f t="shared" si="43"/>
        <v>June</v>
      </c>
      <c r="O915" t="str">
        <f t="shared" si="44"/>
        <v>2023</v>
      </c>
      <c r="P915" s="3">
        <f>Table1[[#This Row],[Revenue]]-Table1[[#This Row],[Cost]]</f>
        <v>0</v>
      </c>
      <c r="Q91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16" spans="1:17" x14ac:dyDescent="0.2">
      <c r="A916" t="s">
        <v>183</v>
      </c>
      <c r="B916" s="1">
        <v>45066</v>
      </c>
      <c r="C916" t="s">
        <v>29</v>
      </c>
      <c r="D916" t="s">
        <v>19</v>
      </c>
      <c r="E916" t="s">
        <v>46</v>
      </c>
      <c r="F916" t="s">
        <v>26</v>
      </c>
      <c r="G916">
        <v>14</v>
      </c>
      <c r="H916">
        <f>Table1[[#This Row],[UnitPrice]]*0.7*Table1[[#This Row],[UnitsSold]]</f>
        <v>10839.05666666666</v>
      </c>
      <c r="I916">
        <v>1106.0261904761899</v>
      </c>
      <c r="J916">
        <v>0</v>
      </c>
      <c r="K916" t="s">
        <v>248</v>
      </c>
      <c r="L916" t="s">
        <v>17</v>
      </c>
      <c r="M916" s="3">
        <f t="shared" si="42"/>
        <v>15484.366666666658</v>
      </c>
      <c r="N916" t="str">
        <f t="shared" si="43"/>
        <v>May</v>
      </c>
      <c r="O916" t="str">
        <f t="shared" si="44"/>
        <v>2023</v>
      </c>
      <c r="P916" s="3">
        <f>Table1[[#This Row],[Revenue]]-Table1[[#This Row],[Cost]]</f>
        <v>4645.3099999999977</v>
      </c>
      <c r="Q916"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917" spans="1:17" x14ac:dyDescent="0.2">
      <c r="A917" t="s">
        <v>45</v>
      </c>
      <c r="B917" s="1">
        <v>45192</v>
      </c>
      <c r="C917" t="s">
        <v>57</v>
      </c>
      <c r="D917" t="s">
        <v>19</v>
      </c>
      <c r="E917" t="s">
        <v>48</v>
      </c>
      <c r="F917" t="s">
        <v>39</v>
      </c>
      <c r="G917">
        <v>8</v>
      </c>
      <c r="H917">
        <f>Table1[[#This Row],[UnitPrice]]*0.7*Table1[[#This Row],[UnitsSold]]</f>
        <v>2502.9759999999997</v>
      </c>
      <c r="I917">
        <v>446.96</v>
      </c>
      <c r="J917">
        <v>0</v>
      </c>
      <c r="K917" t="s">
        <v>52</v>
      </c>
      <c r="L917" t="s">
        <v>249</v>
      </c>
      <c r="M917" s="3">
        <f t="shared" si="42"/>
        <v>3575.68</v>
      </c>
      <c r="N917" t="str">
        <f t="shared" si="43"/>
        <v>September</v>
      </c>
      <c r="O917" t="str">
        <f t="shared" si="44"/>
        <v>2023</v>
      </c>
      <c r="P917" s="3">
        <f>Table1[[#This Row],[Revenue]]-Table1[[#This Row],[Cost]]</f>
        <v>1072.7040000000002</v>
      </c>
      <c r="Q91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918" spans="1:17" x14ac:dyDescent="0.2">
      <c r="A918" t="s">
        <v>207</v>
      </c>
      <c r="B918" s="1">
        <v>45199</v>
      </c>
      <c r="C918" t="s">
        <v>12</v>
      </c>
      <c r="D918" t="s">
        <v>59</v>
      </c>
      <c r="E918" t="s">
        <v>247</v>
      </c>
      <c r="F918" t="s">
        <v>26</v>
      </c>
      <c r="G918">
        <v>0</v>
      </c>
      <c r="H918">
        <f>Table1[[#This Row],[UnitPrice]]*0.7*Table1[[#This Row],[UnitsSold]]</f>
        <v>0</v>
      </c>
      <c r="I918">
        <v>791.84</v>
      </c>
      <c r="J918">
        <v>0</v>
      </c>
      <c r="K918" t="s">
        <v>52</v>
      </c>
      <c r="L918" t="s">
        <v>22</v>
      </c>
      <c r="M918" s="3">
        <f t="shared" si="42"/>
        <v>0</v>
      </c>
      <c r="N918" t="str">
        <f t="shared" si="43"/>
        <v>September</v>
      </c>
      <c r="O918" t="str">
        <f t="shared" si="44"/>
        <v>2023</v>
      </c>
      <c r="P918" s="3">
        <f>Table1[[#This Row],[Revenue]]-Table1[[#This Row],[Cost]]</f>
        <v>0</v>
      </c>
      <c r="Q91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19" spans="1:17" x14ac:dyDescent="0.2">
      <c r="A919" t="s">
        <v>197</v>
      </c>
      <c r="B919" s="1">
        <v>45014</v>
      </c>
      <c r="C919" t="s">
        <v>37</v>
      </c>
      <c r="D919" t="s">
        <v>59</v>
      </c>
      <c r="E919" t="s">
        <v>48</v>
      </c>
      <c r="F919" t="s">
        <v>39</v>
      </c>
      <c r="G919">
        <v>0</v>
      </c>
      <c r="H919">
        <f>Table1[[#This Row],[UnitPrice]]*0.7*Table1[[#This Row],[UnitsSold]]</f>
        <v>0</v>
      </c>
      <c r="I919">
        <v>1470.43</v>
      </c>
      <c r="J919">
        <v>0</v>
      </c>
      <c r="K919" t="s">
        <v>248</v>
      </c>
      <c r="L919" t="s">
        <v>22</v>
      </c>
      <c r="M919" s="3">
        <f t="shared" si="42"/>
        <v>0</v>
      </c>
      <c r="N919" t="str">
        <f t="shared" si="43"/>
        <v>March</v>
      </c>
      <c r="O919" t="str">
        <f t="shared" si="44"/>
        <v>2023</v>
      </c>
      <c r="P919" s="3">
        <f>Table1[[#This Row],[Revenue]]-Table1[[#This Row],[Cost]]</f>
        <v>0</v>
      </c>
      <c r="Q91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20" spans="1:17" x14ac:dyDescent="0.2">
      <c r="A920" t="s">
        <v>177</v>
      </c>
      <c r="B920" s="1">
        <v>45083</v>
      </c>
      <c r="C920" t="s">
        <v>37</v>
      </c>
      <c r="D920" t="s">
        <v>19</v>
      </c>
      <c r="E920" t="s">
        <v>14</v>
      </c>
      <c r="F920" t="s">
        <v>26</v>
      </c>
      <c r="G920">
        <v>6</v>
      </c>
      <c r="H920">
        <f>Table1[[#This Row],[UnitPrice]]*0.7*Table1[[#This Row],[UnitsSold]]</f>
        <v>4212.0557872340423</v>
      </c>
      <c r="I920">
        <v>1002.870425531915</v>
      </c>
      <c r="J920">
        <v>0.04</v>
      </c>
      <c r="K920" t="s">
        <v>283</v>
      </c>
      <c r="L920" t="s">
        <v>22</v>
      </c>
      <c r="M920" s="3">
        <f t="shared" si="42"/>
        <v>5776.5336510638299</v>
      </c>
      <c r="N920" t="str">
        <f t="shared" si="43"/>
        <v>June</v>
      </c>
      <c r="O920" t="str">
        <f t="shared" si="44"/>
        <v>2023</v>
      </c>
      <c r="P920" s="3">
        <f>Table1[[#This Row],[Revenue]]-Table1[[#This Row],[Cost]]</f>
        <v>1564.4778638297876</v>
      </c>
      <c r="Q920" s="6">
        <f>IF(Table1[[#This Row],[UnitsSold]]*Table1[[#This Row],[UnitPrice]]*(1-Table1[[#This Row],[Discount]])=0, 0, ((Table1[[#This Row],[UnitsSold]]*Table1[[#This Row],[UnitPrice]]*(1-Table1[[#This Row],[Discount]])) - (Table1[[#This Row],[UnitsSold]]*Table1[[#This Row],[UnitPrice]]*0.7)) / (Table1[[#This Row],[UnitsSold]]*Table1[[#This Row],[UnitPrice]]*(1-Table1[[#This Row],[Discount]])))</f>
        <v>0.2708333333333332</v>
      </c>
    </row>
    <row r="921" spans="1:17" x14ac:dyDescent="0.2">
      <c r="A921" t="s">
        <v>85</v>
      </c>
      <c r="B921" s="1">
        <v>45098</v>
      </c>
      <c r="C921" t="s">
        <v>12</v>
      </c>
      <c r="D921" t="s">
        <v>19</v>
      </c>
      <c r="E921" t="s">
        <v>14</v>
      </c>
      <c r="F921" t="s">
        <v>26</v>
      </c>
      <c r="G921">
        <v>0</v>
      </c>
      <c r="H921">
        <f>Table1[[#This Row],[UnitPrice]]*0.7*Table1[[#This Row],[UnitsSold]]</f>
        <v>0</v>
      </c>
      <c r="I921">
        <v>1522.92</v>
      </c>
      <c r="J921">
        <v>0</v>
      </c>
      <c r="K921" t="s">
        <v>248</v>
      </c>
      <c r="L921" t="s">
        <v>27</v>
      </c>
      <c r="M921" s="3">
        <f t="shared" si="42"/>
        <v>0</v>
      </c>
      <c r="N921" t="str">
        <f t="shared" si="43"/>
        <v>June</v>
      </c>
      <c r="O921" t="str">
        <f t="shared" si="44"/>
        <v>2023</v>
      </c>
      <c r="P921" s="3">
        <f>Table1[[#This Row],[Revenue]]-Table1[[#This Row],[Cost]]</f>
        <v>0</v>
      </c>
      <c r="Q92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22" spans="1:17" x14ac:dyDescent="0.2">
      <c r="A922" t="s">
        <v>164</v>
      </c>
      <c r="B922" s="1">
        <v>45053</v>
      </c>
      <c r="C922" t="s">
        <v>57</v>
      </c>
      <c r="D922" t="s">
        <v>19</v>
      </c>
      <c r="E922" t="s">
        <v>46</v>
      </c>
      <c r="F922" t="s">
        <v>26</v>
      </c>
      <c r="G922">
        <v>0</v>
      </c>
      <c r="H922">
        <f>Table1[[#This Row],[UnitPrice]]*0.7*Table1[[#This Row],[UnitsSold]]</f>
        <v>0</v>
      </c>
      <c r="I922">
        <v>1980.92</v>
      </c>
      <c r="J922">
        <v>0.16</v>
      </c>
      <c r="K922" t="s">
        <v>16</v>
      </c>
      <c r="L922" t="s">
        <v>27</v>
      </c>
      <c r="M922" s="3">
        <f t="shared" si="42"/>
        <v>0</v>
      </c>
      <c r="N922" t="str">
        <f t="shared" si="43"/>
        <v>May</v>
      </c>
      <c r="O922" t="str">
        <f t="shared" si="44"/>
        <v>2023</v>
      </c>
      <c r="P922" s="3">
        <f>Table1[[#This Row],[Revenue]]-Table1[[#This Row],[Cost]]</f>
        <v>0</v>
      </c>
      <c r="Q92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23" spans="1:17" x14ac:dyDescent="0.2">
      <c r="A923" t="s">
        <v>242</v>
      </c>
      <c r="B923" s="1">
        <v>45082</v>
      </c>
      <c r="C923" t="s">
        <v>29</v>
      </c>
      <c r="D923" t="s">
        <v>83</v>
      </c>
      <c r="E923" t="s">
        <v>38</v>
      </c>
      <c r="F923" t="s">
        <v>34</v>
      </c>
      <c r="G923">
        <v>0</v>
      </c>
      <c r="H923">
        <f>Table1[[#This Row],[UnitPrice]]*0.7*Table1[[#This Row],[UnitsSold]]</f>
        <v>0</v>
      </c>
      <c r="I923">
        <v>936.79681818181825</v>
      </c>
      <c r="J923">
        <v>0.11</v>
      </c>
      <c r="K923" t="s">
        <v>52</v>
      </c>
      <c r="L923" t="s">
        <v>55</v>
      </c>
      <c r="M923" s="3">
        <f t="shared" si="42"/>
        <v>0</v>
      </c>
      <c r="N923" t="str">
        <f t="shared" si="43"/>
        <v>June</v>
      </c>
      <c r="O923" t="str">
        <f t="shared" si="44"/>
        <v>2023</v>
      </c>
      <c r="P923" s="3">
        <f>Table1[[#This Row],[Revenue]]-Table1[[#This Row],[Cost]]</f>
        <v>0</v>
      </c>
      <c r="Q92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24" spans="1:17" x14ac:dyDescent="0.2">
      <c r="A924" t="s">
        <v>107</v>
      </c>
      <c r="B924" s="1">
        <v>45097</v>
      </c>
      <c r="C924" t="s">
        <v>57</v>
      </c>
      <c r="D924" t="s">
        <v>19</v>
      </c>
      <c r="E924" t="s">
        <v>14</v>
      </c>
      <c r="F924" t="s">
        <v>26</v>
      </c>
      <c r="G924">
        <v>1</v>
      </c>
      <c r="H924">
        <f>Table1[[#This Row],[UnitPrice]]*0.7*Table1[[#This Row],[UnitsSold]]</f>
        <v>1370.2429999999999</v>
      </c>
      <c r="I924">
        <v>1957.49</v>
      </c>
      <c r="J924">
        <v>0.2</v>
      </c>
      <c r="K924" t="s">
        <v>52</v>
      </c>
      <c r="L924" t="s">
        <v>22</v>
      </c>
      <c r="M924" s="3">
        <f t="shared" si="42"/>
        <v>1565.9920000000002</v>
      </c>
      <c r="N924" t="str">
        <f t="shared" si="43"/>
        <v>June</v>
      </c>
      <c r="O924" t="str">
        <f t="shared" si="44"/>
        <v>2023</v>
      </c>
      <c r="P924" s="3">
        <f>Table1[[#This Row],[Revenue]]-Table1[[#This Row],[Cost]]</f>
        <v>195.74900000000025</v>
      </c>
      <c r="Q924" s="6">
        <f>IF(Table1[[#This Row],[UnitsSold]]*Table1[[#This Row],[UnitPrice]]*(1-Table1[[#This Row],[Discount]])=0, 0, ((Table1[[#This Row],[UnitsSold]]*Table1[[#This Row],[UnitPrice]]*(1-Table1[[#This Row],[Discount]])) - (Table1[[#This Row],[UnitsSold]]*Table1[[#This Row],[UnitPrice]]*0.7)) / (Table1[[#This Row],[UnitsSold]]*Table1[[#This Row],[UnitPrice]]*(1-Table1[[#This Row],[Discount]])))</f>
        <v>0.12500000000000014</v>
      </c>
    </row>
    <row r="925" spans="1:17" x14ac:dyDescent="0.2">
      <c r="A925" t="s">
        <v>209</v>
      </c>
      <c r="B925" s="1">
        <v>45052</v>
      </c>
      <c r="C925" t="s">
        <v>57</v>
      </c>
      <c r="D925" t="s">
        <v>59</v>
      </c>
      <c r="E925" t="s">
        <v>247</v>
      </c>
      <c r="F925" t="s">
        <v>26</v>
      </c>
      <c r="G925">
        <v>0</v>
      </c>
      <c r="H925">
        <f>Table1[[#This Row],[UnitPrice]]*0.7*Table1[[#This Row],[UnitsSold]]</f>
        <v>0</v>
      </c>
      <c r="I925">
        <v>981.36020408163256</v>
      </c>
      <c r="J925">
        <v>0</v>
      </c>
      <c r="K925" t="s">
        <v>248</v>
      </c>
      <c r="L925" t="s">
        <v>22</v>
      </c>
      <c r="M925" s="3">
        <f t="shared" si="42"/>
        <v>0</v>
      </c>
      <c r="N925" t="str">
        <f t="shared" si="43"/>
        <v>May</v>
      </c>
      <c r="O925" t="str">
        <f t="shared" si="44"/>
        <v>2023</v>
      </c>
      <c r="P925" s="3">
        <f>Table1[[#This Row],[Revenue]]-Table1[[#This Row],[Cost]]</f>
        <v>0</v>
      </c>
      <c r="Q92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26" spans="1:17" x14ac:dyDescent="0.2">
      <c r="A926" t="s">
        <v>123</v>
      </c>
      <c r="B926" s="1">
        <v>45016</v>
      </c>
      <c r="C926" t="s">
        <v>24</v>
      </c>
      <c r="D926" t="s">
        <v>13</v>
      </c>
      <c r="E926" t="s">
        <v>14</v>
      </c>
      <c r="F926" t="s">
        <v>26</v>
      </c>
      <c r="G926">
        <v>0</v>
      </c>
      <c r="H926">
        <f>Table1[[#This Row],[UnitPrice]]*0.7*Table1[[#This Row],[UnitsSold]]</f>
        <v>0</v>
      </c>
      <c r="I926">
        <v>1002.870425531915</v>
      </c>
      <c r="J926">
        <v>0.09</v>
      </c>
      <c r="K926" t="s">
        <v>248</v>
      </c>
      <c r="L926" t="s">
        <v>17</v>
      </c>
      <c r="M926" s="3">
        <f t="shared" si="42"/>
        <v>0</v>
      </c>
      <c r="N926" t="str">
        <f t="shared" si="43"/>
        <v>March</v>
      </c>
      <c r="O926" t="str">
        <f t="shared" si="44"/>
        <v>2023</v>
      </c>
      <c r="P926" s="3">
        <f>Table1[[#This Row],[Revenue]]-Table1[[#This Row],[Cost]]</f>
        <v>0</v>
      </c>
      <c r="Q92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27" spans="1:17" x14ac:dyDescent="0.2">
      <c r="A927" t="s">
        <v>244</v>
      </c>
      <c r="B927" s="1">
        <v>45102</v>
      </c>
      <c r="C927" t="s">
        <v>12</v>
      </c>
      <c r="D927" t="s">
        <v>83</v>
      </c>
      <c r="E927" t="s">
        <v>25</v>
      </c>
      <c r="F927" t="s">
        <v>26</v>
      </c>
      <c r="G927">
        <v>0</v>
      </c>
      <c r="H927">
        <f>Table1[[#This Row],[UnitPrice]]*0.7*Table1[[#This Row],[UnitsSold]]</f>
        <v>0</v>
      </c>
      <c r="I927">
        <v>583.92999999999995</v>
      </c>
      <c r="J927">
        <v>0</v>
      </c>
      <c r="K927" t="s">
        <v>16</v>
      </c>
      <c r="L927" t="s">
        <v>22</v>
      </c>
      <c r="M927" s="3">
        <f t="shared" si="42"/>
        <v>0</v>
      </c>
      <c r="N927" t="str">
        <f t="shared" si="43"/>
        <v>June</v>
      </c>
      <c r="O927" t="str">
        <f t="shared" si="44"/>
        <v>2023</v>
      </c>
      <c r="P927" s="3">
        <f>Table1[[#This Row],[Revenue]]-Table1[[#This Row],[Cost]]</f>
        <v>0</v>
      </c>
      <c r="Q92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28" spans="1:17" x14ac:dyDescent="0.2">
      <c r="A928" t="s">
        <v>115</v>
      </c>
      <c r="B928" s="1">
        <v>45003</v>
      </c>
      <c r="C928" t="s">
        <v>24</v>
      </c>
      <c r="D928" t="s">
        <v>31</v>
      </c>
      <c r="E928" t="s">
        <v>44</v>
      </c>
      <c r="F928" t="s">
        <v>26</v>
      </c>
      <c r="G928">
        <v>0</v>
      </c>
      <c r="H928">
        <f>Table1[[#This Row],[UnitPrice]]*0.7*Table1[[#This Row],[UnitsSold]]</f>
        <v>0</v>
      </c>
      <c r="I928">
        <v>1079.5765957446808</v>
      </c>
      <c r="J928">
        <v>0</v>
      </c>
      <c r="K928" t="s">
        <v>16</v>
      </c>
      <c r="L928" t="s">
        <v>55</v>
      </c>
      <c r="M928" s="3">
        <f t="shared" si="42"/>
        <v>0</v>
      </c>
      <c r="N928" t="str">
        <f t="shared" si="43"/>
        <v>March</v>
      </c>
      <c r="O928" t="str">
        <f t="shared" si="44"/>
        <v>2023</v>
      </c>
      <c r="P928" s="3">
        <f>Table1[[#This Row],[Revenue]]-Table1[[#This Row],[Cost]]</f>
        <v>0</v>
      </c>
      <c r="Q92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29" spans="1:17" x14ac:dyDescent="0.2">
      <c r="A929" t="s">
        <v>213</v>
      </c>
      <c r="B929" s="1">
        <v>44990</v>
      </c>
      <c r="C929" t="s">
        <v>12</v>
      </c>
      <c r="D929" t="s">
        <v>83</v>
      </c>
      <c r="E929" t="s">
        <v>14</v>
      </c>
      <c r="F929" t="s">
        <v>26</v>
      </c>
      <c r="G929">
        <v>0</v>
      </c>
      <c r="H929">
        <f>Table1[[#This Row],[UnitPrice]]*0.7*Table1[[#This Row],[UnitsSold]]</f>
        <v>0</v>
      </c>
      <c r="I929">
        <v>1323.9</v>
      </c>
      <c r="J929">
        <v>0.01</v>
      </c>
      <c r="K929" t="s">
        <v>52</v>
      </c>
      <c r="L929" t="s">
        <v>55</v>
      </c>
      <c r="M929" s="3">
        <f t="shared" si="42"/>
        <v>0</v>
      </c>
      <c r="N929" t="str">
        <f t="shared" si="43"/>
        <v>March</v>
      </c>
      <c r="O929" t="str">
        <f t="shared" si="44"/>
        <v>2023</v>
      </c>
      <c r="P929" s="3">
        <f>Table1[[#This Row],[Revenue]]-Table1[[#This Row],[Cost]]</f>
        <v>0</v>
      </c>
      <c r="Q92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30" spans="1:17" x14ac:dyDescent="0.2">
      <c r="A930" t="s">
        <v>238</v>
      </c>
      <c r="B930" s="1">
        <v>45267</v>
      </c>
      <c r="C930" t="s">
        <v>246</v>
      </c>
      <c r="D930" t="s">
        <v>19</v>
      </c>
      <c r="E930" t="s">
        <v>48</v>
      </c>
      <c r="F930" t="s">
        <v>39</v>
      </c>
      <c r="G930">
        <v>0</v>
      </c>
      <c r="H930">
        <f>Table1[[#This Row],[UnitPrice]]*0.7*Table1[[#This Row],[UnitsSold]]</f>
        <v>0</v>
      </c>
      <c r="I930">
        <v>1017.3087234042553</v>
      </c>
      <c r="J930">
        <v>0</v>
      </c>
      <c r="K930" t="s">
        <v>16</v>
      </c>
      <c r="L930" t="s">
        <v>27</v>
      </c>
      <c r="M930" s="3">
        <f t="shared" si="42"/>
        <v>0</v>
      </c>
      <c r="N930" t="str">
        <f t="shared" si="43"/>
        <v>December</v>
      </c>
      <c r="O930" t="str">
        <f t="shared" si="44"/>
        <v>2023</v>
      </c>
      <c r="P930" s="3">
        <f>Table1[[#This Row],[Revenue]]-Table1[[#This Row],[Cost]]</f>
        <v>0</v>
      </c>
      <c r="Q93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31" spans="1:17" x14ac:dyDescent="0.2">
      <c r="A931" t="s">
        <v>205</v>
      </c>
      <c r="B931" s="1">
        <v>45108</v>
      </c>
      <c r="C931" t="s">
        <v>37</v>
      </c>
      <c r="D931" t="s">
        <v>267</v>
      </c>
      <c r="E931" t="s">
        <v>48</v>
      </c>
      <c r="F931" t="s">
        <v>39</v>
      </c>
      <c r="G931">
        <v>0</v>
      </c>
      <c r="H931">
        <f>Table1[[#This Row],[UnitPrice]]*0.7*Table1[[#This Row],[UnitsSold]]</f>
        <v>0</v>
      </c>
      <c r="I931">
        <v>1934.14</v>
      </c>
      <c r="J931">
        <v>0</v>
      </c>
      <c r="K931" t="s">
        <v>248</v>
      </c>
      <c r="L931" t="s">
        <v>55</v>
      </c>
      <c r="M931" s="3">
        <f t="shared" si="42"/>
        <v>0</v>
      </c>
      <c r="N931" t="str">
        <f t="shared" si="43"/>
        <v>July</v>
      </c>
      <c r="O931" t="str">
        <f t="shared" si="44"/>
        <v>2023</v>
      </c>
      <c r="P931" s="3">
        <f>Table1[[#This Row],[Revenue]]-Table1[[#This Row],[Cost]]</f>
        <v>0</v>
      </c>
      <c r="Q93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32" spans="1:17" x14ac:dyDescent="0.2">
      <c r="A932" t="s">
        <v>117</v>
      </c>
      <c r="B932" s="1">
        <v>45215</v>
      </c>
      <c r="C932" t="s">
        <v>57</v>
      </c>
      <c r="D932" t="s">
        <v>13</v>
      </c>
      <c r="E932" t="s">
        <v>14</v>
      </c>
      <c r="F932" t="s">
        <v>26</v>
      </c>
      <c r="G932">
        <v>0</v>
      </c>
      <c r="H932">
        <f>Table1[[#This Row],[UnitPrice]]*0.7*Table1[[#This Row],[UnitsSold]]</f>
        <v>0</v>
      </c>
      <c r="I932">
        <v>1002.870425531915</v>
      </c>
      <c r="J932">
        <v>0</v>
      </c>
      <c r="K932" t="s">
        <v>16</v>
      </c>
      <c r="L932" t="s">
        <v>55</v>
      </c>
      <c r="M932" s="3">
        <f t="shared" si="42"/>
        <v>0</v>
      </c>
      <c r="N932" t="str">
        <f t="shared" si="43"/>
        <v>October</v>
      </c>
      <c r="O932" t="str">
        <f t="shared" si="44"/>
        <v>2023</v>
      </c>
      <c r="P932" s="3">
        <f>Table1[[#This Row],[Revenue]]-Table1[[#This Row],[Cost]]</f>
        <v>0</v>
      </c>
      <c r="Q93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33" spans="1:17" x14ac:dyDescent="0.2">
      <c r="A933" t="s">
        <v>71</v>
      </c>
      <c r="B933" s="1">
        <v>44970</v>
      </c>
      <c r="C933" t="s">
        <v>24</v>
      </c>
      <c r="D933" t="s">
        <v>31</v>
      </c>
      <c r="E933" t="s">
        <v>48</v>
      </c>
      <c r="F933" t="s">
        <v>39</v>
      </c>
      <c r="G933">
        <v>18</v>
      </c>
      <c r="H933">
        <f>Table1[[#This Row],[UnitPrice]]*0.7*Table1[[#This Row],[UnitsSold]]</f>
        <v>12818.089914893615</v>
      </c>
      <c r="I933">
        <v>1017.3087234042553</v>
      </c>
      <c r="J933">
        <v>0</v>
      </c>
      <c r="K933" t="s">
        <v>42</v>
      </c>
      <c r="L933" t="s">
        <v>55</v>
      </c>
      <c r="M933" s="3">
        <f t="shared" si="42"/>
        <v>18311.557021276596</v>
      </c>
      <c r="N933" t="str">
        <f t="shared" si="43"/>
        <v>February</v>
      </c>
      <c r="O933" t="str">
        <f t="shared" si="44"/>
        <v>2023</v>
      </c>
      <c r="P933" s="3">
        <f>Table1[[#This Row],[Revenue]]-Table1[[#This Row],[Cost]]</f>
        <v>5493.467106382981</v>
      </c>
      <c r="Q933"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934" spans="1:17" x14ac:dyDescent="0.2">
      <c r="A934" t="s">
        <v>238</v>
      </c>
      <c r="B934" s="1">
        <v>45277</v>
      </c>
      <c r="C934" t="s">
        <v>29</v>
      </c>
      <c r="D934" t="s">
        <v>83</v>
      </c>
      <c r="E934" t="s">
        <v>14</v>
      </c>
      <c r="F934" t="s">
        <v>26</v>
      </c>
      <c r="G934">
        <v>0</v>
      </c>
      <c r="H934">
        <f>Table1[[#This Row],[UnitPrice]]*0.7*Table1[[#This Row],[UnitsSold]]</f>
        <v>0</v>
      </c>
      <c r="I934">
        <v>1002.870425531915</v>
      </c>
      <c r="J934">
        <v>0</v>
      </c>
      <c r="K934" t="s">
        <v>16</v>
      </c>
      <c r="L934" t="s">
        <v>22</v>
      </c>
      <c r="M934" s="3">
        <f t="shared" si="42"/>
        <v>0</v>
      </c>
      <c r="N934" t="str">
        <f t="shared" si="43"/>
        <v>December</v>
      </c>
      <c r="O934" t="str">
        <f t="shared" si="44"/>
        <v>2023</v>
      </c>
      <c r="P934" s="3">
        <f>Table1[[#This Row],[Revenue]]-Table1[[#This Row],[Cost]]</f>
        <v>0</v>
      </c>
      <c r="Q93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35" spans="1:17" x14ac:dyDescent="0.2">
      <c r="A935" t="s">
        <v>201</v>
      </c>
      <c r="B935" s="1">
        <v>45313</v>
      </c>
      <c r="C935" t="s">
        <v>246</v>
      </c>
      <c r="D935" t="s">
        <v>31</v>
      </c>
      <c r="E935" t="s">
        <v>14</v>
      </c>
      <c r="F935" t="s">
        <v>26</v>
      </c>
      <c r="G935">
        <v>0</v>
      </c>
      <c r="H935">
        <f>Table1[[#This Row],[UnitPrice]]*0.7*Table1[[#This Row],[UnitsSold]]</f>
        <v>0</v>
      </c>
      <c r="I935">
        <v>1002.870425531915</v>
      </c>
      <c r="J935">
        <v>0</v>
      </c>
      <c r="K935" t="s">
        <v>52</v>
      </c>
      <c r="L935" t="s">
        <v>27</v>
      </c>
      <c r="M935" s="3">
        <f t="shared" si="42"/>
        <v>0</v>
      </c>
      <c r="N935" t="str">
        <f t="shared" si="43"/>
        <v>January</v>
      </c>
      <c r="O935" t="str">
        <f t="shared" si="44"/>
        <v>2024</v>
      </c>
      <c r="P935" s="3">
        <f>Table1[[#This Row],[Revenue]]-Table1[[#This Row],[Cost]]</f>
        <v>0</v>
      </c>
      <c r="Q93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36" spans="1:17" x14ac:dyDescent="0.2">
      <c r="A936" t="s">
        <v>162</v>
      </c>
      <c r="B936" s="1">
        <v>45128</v>
      </c>
      <c r="C936" t="s">
        <v>246</v>
      </c>
      <c r="D936" t="s">
        <v>83</v>
      </c>
      <c r="E936" t="s">
        <v>48</v>
      </c>
      <c r="F936" t="s">
        <v>39</v>
      </c>
      <c r="G936">
        <v>0</v>
      </c>
      <c r="H936">
        <f>Table1[[#This Row],[UnitPrice]]*0.7*Table1[[#This Row],[UnitsSold]]</f>
        <v>0</v>
      </c>
      <c r="I936">
        <v>925.84</v>
      </c>
      <c r="J936">
        <v>0</v>
      </c>
      <c r="K936" t="s">
        <v>283</v>
      </c>
      <c r="L936" t="s">
        <v>27</v>
      </c>
      <c r="M936" s="3">
        <f t="shared" si="42"/>
        <v>0</v>
      </c>
      <c r="N936" t="str">
        <f t="shared" si="43"/>
        <v>July</v>
      </c>
      <c r="O936" t="str">
        <f t="shared" si="44"/>
        <v>2023</v>
      </c>
      <c r="P936" s="3">
        <f>Table1[[#This Row],[Revenue]]-Table1[[#This Row],[Cost]]</f>
        <v>0</v>
      </c>
      <c r="Q93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37" spans="1:17" x14ac:dyDescent="0.2">
      <c r="A937" t="s">
        <v>181</v>
      </c>
      <c r="B937" s="1">
        <v>45231</v>
      </c>
      <c r="C937" t="s">
        <v>12</v>
      </c>
      <c r="D937" t="s">
        <v>267</v>
      </c>
      <c r="E937" t="s">
        <v>14</v>
      </c>
      <c r="F937" t="s">
        <v>26</v>
      </c>
      <c r="G937">
        <v>0</v>
      </c>
      <c r="H937">
        <f>Table1[[#This Row],[UnitPrice]]*0.7*Table1[[#This Row],[UnitsSold]]</f>
        <v>0</v>
      </c>
      <c r="I937">
        <v>669.3</v>
      </c>
      <c r="J937">
        <v>0</v>
      </c>
      <c r="K937" t="s">
        <v>283</v>
      </c>
      <c r="L937" t="s">
        <v>17</v>
      </c>
      <c r="M937" s="3">
        <f t="shared" si="42"/>
        <v>0</v>
      </c>
      <c r="N937" t="str">
        <f t="shared" si="43"/>
        <v>November</v>
      </c>
      <c r="O937" t="str">
        <f t="shared" si="44"/>
        <v>2023</v>
      </c>
      <c r="P937" s="3">
        <f>Table1[[#This Row],[Revenue]]-Table1[[#This Row],[Cost]]</f>
        <v>0</v>
      </c>
      <c r="Q93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38" spans="1:17" x14ac:dyDescent="0.2">
      <c r="A938" t="s">
        <v>177</v>
      </c>
      <c r="B938" s="1">
        <v>45294</v>
      </c>
      <c r="C938" t="s">
        <v>12</v>
      </c>
      <c r="D938" t="s">
        <v>13</v>
      </c>
      <c r="E938" t="s">
        <v>247</v>
      </c>
      <c r="F938" t="s">
        <v>26</v>
      </c>
      <c r="G938">
        <v>0</v>
      </c>
      <c r="H938">
        <f>Table1[[#This Row],[UnitPrice]]*0.7*Table1[[#This Row],[UnitsSold]]</f>
        <v>0</v>
      </c>
      <c r="I938">
        <v>981.36020408163256</v>
      </c>
      <c r="J938">
        <v>0</v>
      </c>
      <c r="K938" t="s">
        <v>283</v>
      </c>
      <c r="L938" t="s">
        <v>249</v>
      </c>
      <c r="M938" s="3">
        <f t="shared" si="42"/>
        <v>0</v>
      </c>
      <c r="N938" t="str">
        <f t="shared" si="43"/>
        <v>January</v>
      </c>
      <c r="O938" t="str">
        <f t="shared" si="44"/>
        <v>2024</v>
      </c>
      <c r="P938" s="3">
        <f>Table1[[#This Row],[Revenue]]-Table1[[#This Row],[Cost]]</f>
        <v>0</v>
      </c>
      <c r="Q93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39" spans="1:17" x14ac:dyDescent="0.2">
      <c r="A939" t="s">
        <v>79</v>
      </c>
      <c r="B939" s="1">
        <v>45248</v>
      </c>
      <c r="C939" t="s">
        <v>24</v>
      </c>
      <c r="D939" t="s">
        <v>13</v>
      </c>
      <c r="E939" t="s">
        <v>46</v>
      </c>
      <c r="F939" t="s">
        <v>26</v>
      </c>
      <c r="G939">
        <v>0</v>
      </c>
      <c r="H939">
        <f>Table1[[#This Row],[UnitPrice]]*0.7*Table1[[#This Row],[UnitsSold]]</f>
        <v>0</v>
      </c>
      <c r="I939">
        <v>409.39</v>
      </c>
      <c r="J939">
        <v>0</v>
      </c>
      <c r="K939" t="s">
        <v>16</v>
      </c>
      <c r="L939" t="s">
        <v>17</v>
      </c>
      <c r="M939" s="3">
        <f t="shared" si="42"/>
        <v>0</v>
      </c>
      <c r="N939" t="str">
        <f t="shared" si="43"/>
        <v>November</v>
      </c>
      <c r="O939" t="str">
        <f t="shared" si="44"/>
        <v>2023</v>
      </c>
      <c r="P939" s="3">
        <f>Table1[[#This Row],[Revenue]]-Table1[[#This Row],[Cost]]</f>
        <v>0</v>
      </c>
      <c r="Q93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40" spans="1:17" x14ac:dyDescent="0.2">
      <c r="A940" t="s">
        <v>241</v>
      </c>
      <c r="B940" s="1">
        <v>45053</v>
      </c>
      <c r="C940" t="s">
        <v>37</v>
      </c>
      <c r="D940" t="s">
        <v>19</v>
      </c>
      <c r="E940" t="s">
        <v>38</v>
      </c>
      <c r="F940" t="s">
        <v>34</v>
      </c>
      <c r="G940">
        <v>0</v>
      </c>
      <c r="H940">
        <f>Table1[[#This Row],[UnitPrice]]*0.7*Table1[[#This Row],[UnitsSold]]</f>
        <v>0</v>
      </c>
      <c r="I940">
        <v>787.52</v>
      </c>
      <c r="J940">
        <v>0</v>
      </c>
      <c r="K940" t="s">
        <v>16</v>
      </c>
      <c r="L940" t="s">
        <v>249</v>
      </c>
      <c r="M940" s="3">
        <f t="shared" si="42"/>
        <v>0</v>
      </c>
      <c r="N940" t="str">
        <f t="shared" si="43"/>
        <v>May</v>
      </c>
      <c r="O940" t="str">
        <f t="shared" si="44"/>
        <v>2023</v>
      </c>
      <c r="P940" s="3">
        <f>Table1[[#This Row],[Revenue]]-Table1[[#This Row],[Cost]]</f>
        <v>0</v>
      </c>
      <c r="Q94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41" spans="1:17" x14ac:dyDescent="0.2">
      <c r="A941" t="s">
        <v>182</v>
      </c>
      <c r="B941" s="1">
        <v>45060</v>
      </c>
      <c r="C941" t="s">
        <v>57</v>
      </c>
      <c r="D941" t="s">
        <v>267</v>
      </c>
      <c r="E941" t="s">
        <v>48</v>
      </c>
      <c r="F941" t="s">
        <v>39</v>
      </c>
      <c r="G941">
        <v>0</v>
      </c>
      <c r="H941">
        <f>Table1[[#This Row],[UnitPrice]]*0.7*Table1[[#This Row],[UnitsSold]]</f>
        <v>0</v>
      </c>
      <c r="I941">
        <v>301.02999999999997</v>
      </c>
      <c r="J941">
        <v>0</v>
      </c>
      <c r="K941" t="s">
        <v>283</v>
      </c>
      <c r="L941" t="s">
        <v>249</v>
      </c>
      <c r="M941" s="3">
        <f t="shared" si="42"/>
        <v>0</v>
      </c>
      <c r="N941" t="str">
        <f t="shared" si="43"/>
        <v>May</v>
      </c>
      <c r="O941" t="str">
        <f t="shared" si="44"/>
        <v>2023</v>
      </c>
      <c r="P941" s="3">
        <f>Table1[[#This Row],[Revenue]]-Table1[[#This Row],[Cost]]</f>
        <v>0</v>
      </c>
      <c r="Q94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42" spans="1:17" x14ac:dyDescent="0.2">
      <c r="A942" t="s">
        <v>187</v>
      </c>
      <c r="B942" s="1">
        <v>45188</v>
      </c>
      <c r="C942" t="s">
        <v>37</v>
      </c>
      <c r="D942" t="s">
        <v>83</v>
      </c>
      <c r="E942" t="s">
        <v>38</v>
      </c>
      <c r="F942" t="s">
        <v>34</v>
      </c>
      <c r="G942">
        <v>0</v>
      </c>
      <c r="H942">
        <f>Table1[[#This Row],[UnitPrice]]*0.7*Table1[[#This Row],[UnitsSold]]</f>
        <v>0</v>
      </c>
      <c r="I942">
        <v>936.79681818181825</v>
      </c>
      <c r="J942">
        <v>0</v>
      </c>
      <c r="K942" t="s">
        <v>52</v>
      </c>
      <c r="L942" t="s">
        <v>22</v>
      </c>
      <c r="M942" s="3">
        <f t="shared" si="42"/>
        <v>0</v>
      </c>
      <c r="N942" t="str">
        <f t="shared" si="43"/>
        <v>September</v>
      </c>
      <c r="O942" t="str">
        <f t="shared" si="44"/>
        <v>2023</v>
      </c>
      <c r="P942" s="3">
        <f>Table1[[#This Row],[Revenue]]-Table1[[#This Row],[Cost]]</f>
        <v>0</v>
      </c>
      <c r="Q942"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43" spans="1:17" x14ac:dyDescent="0.2">
      <c r="A943" t="s">
        <v>142</v>
      </c>
      <c r="B943" s="1">
        <v>45284</v>
      </c>
      <c r="C943" t="s">
        <v>12</v>
      </c>
      <c r="D943" t="s">
        <v>83</v>
      </c>
      <c r="E943" t="s">
        <v>38</v>
      </c>
      <c r="F943" t="s">
        <v>34</v>
      </c>
      <c r="G943">
        <v>5</v>
      </c>
      <c r="H943">
        <f>Table1[[#This Row],[UnitPrice]]*0.7*Table1[[#This Row],[UnitsSold]]</f>
        <v>2009.0349999999999</v>
      </c>
      <c r="I943">
        <v>574.01</v>
      </c>
      <c r="J943">
        <v>0.17</v>
      </c>
      <c r="K943" t="s">
        <v>248</v>
      </c>
      <c r="L943" t="s">
        <v>55</v>
      </c>
      <c r="M943" s="3">
        <f t="shared" si="42"/>
        <v>2382.1415000000002</v>
      </c>
      <c r="N943" t="str">
        <f t="shared" si="43"/>
        <v>December</v>
      </c>
      <c r="O943" t="str">
        <f t="shared" si="44"/>
        <v>2023</v>
      </c>
      <c r="P943" s="3">
        <f>Table1[[#This Row],[Revenue]]-Table1[[#This Row],[Cost]]</f>
        <v>373.10650000000032</v>
      </c>
      <c r="Q943" s="6">
        <f>IF(Table1[[#This Row],[UnitsSold]]*Table1[[#This Row],[UnitPrice]]*(1-Table1[[#This Row],[Discount]])=0, 0, ((Table1[[#This Row],[UnitsSold]]*Table1[[#This Row],[UnitPrice]]*(1-Table1[[#This Row],[Discount]])) - (Table1[[#This Row],[UnitsSold]]*Table1[[#This Row],[UnitPrice]]*0.7)) / (Table1[[#This Row],[UnitsSold]]*Table1[[#This Row],[UnitPrice]]*(1-Table1[[#This Row],[Discount]])))</f>
        <v>0.15662650602409642</v>
      </c>
    </row>
    <row r="944" spans="1:17" x14ac:dyDescent="0.2">
      <c r="A944" t="s">
        <v>168</v>
      </c>
      <c r="B944" s="1">
        <v>45257</v>
      </c>
      <c r="C944" t="s">
        <v>57</v>
      </c>
      <c r="D944" t="s">
        <v>19</v>
      </c>
      <c r="E944" t="s">
        <v>14</v>
      </c>
      <c r="F944" t="s">
        <v>26</v>
      </c>
      <c r="G944">
        <v>0</v>
      </c>
      <c r="H944">
        <f>Table1[[#This Row],[UnitPrice]]*0.7*Table1[[#This Row],[UnitsSold]]</f>
        <v>0</v>
      </c>
      <c r="I944">
        <v>922.12</v>
      </c>
      <c r="J944">
        <v>0</v>
      </c>
      <c r="K944" t="s">
        <v>248</v>
      </c>
      <c r="L944" t="s">
        <v>17</v>
      </c>
      <c r="M944" s="3">
        <f t="shared" si="42"/>
        <v>0</v>
      </c>
      <c r="N944" t="str">
        <f t="shared" si="43"/>
        <v>November</v>
      </c>
      <c r="O944" t="str">
        <f t="shared" si="44"/>
        <v>2023</v>
      </c>
      <c r="P944" s="3">
        <f>Table1[[#This Row],[Revenue]]-Table1[[#This Row],[Cost]]</f>
        <v>0</v>
      </c>
      <c r="Q94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45" spans="1:17" x14ac:dyDescent="0.2">
      <c r="A945" t="s">
        <v>225</v>
      </c>
      <c r="B945" s="1">
        <v>45105</v>
      </c>
      <c r="C945" t="s">
        <v>57</v>
      </c>
      <c r="D945" t="s">
        <v>31</v>
      </c>
      <c r="E945" t="s">
        <v>46</v>
      </c>
      <c r="F945" t="s">
        <v>26</v>
      </c>
      <c r="G945">
        <v>0</v>
      </c>
      <c r="H945">
        <f>Table1[[#This Row],[UnitPrice]]*0.7*Table1[[#This Row],[UnitsSold]]</f>
        <v>0</v>
      </c>
      <c r="I945">
        <v>1106.0261904761899</v>
      </c>
      <c r="J945">
        <v>0</v>
      </c>
      <c r="K945" t="s">
        <v>16</v>
      </c>
      <c r="L945" t="s">
        <v>55</v>
      </c>
      <c r="M945" s="3">
        <f t="shared" si="42"/>
        <v>0</v>
      </c>
      <c r="N945" t="str">
        <f t="shared" si="43"/>
        <v>June</v>
      </c>
      <c r="O945" t="str">
        <f t="shared" si="44"/>
        <v>2023</v>
      </c>
      <c r="P945" s="3">
        <f>Table1[[#This Row],[Revenue]]-Table1[[#This Row],[Cost]]</f>
        <v>0</v>
      </c>
      <c r="Q94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46" spans="1:17" x14ac:dyDescent="0.2">
      <c r="A946" t="s">
        <v>192</v>
      </c>
      <c r="B946" s="1">
        <v>45317</v>
      </c>
      <c r="C946" t="s">
        <v>24</v>
      </c>
      <c r="D946" t="s">
        <v>83</v>
      </c>
      <c r="E946" t="s">
        <v>46</v>
      </c>
      <c r="F946" t="s">
        <v>26</v>
      </c>
      <c r="G946">
        <v>0</v>
      </c>
      <c r="H946">
        <f>Table1[[#This Row],[UnitPrice]]*0.7*Table1[[#This Row],[UnitsSold]]</f>
        <v>0</v>
      </c>
      <c r="I946">
        <v>1215.6300000000001</v>
      </c>
      <c r="J946">
        <v>0</v>
      </c>
      <c r="K946" t="s">
        <v>283</v>
      </c>
      <c r="L946" t="s">
        <v>17</v>
      </c>
      <c r="M946" s="3">
        <f t="shared" si="42"/>
        <v>0</v>
      </c>
      <c r="N946" t="str">
        <f t="shared" si="43"/>
        <v>January</v>
      </c>
      <c r="O946" t="str">
        <f t="shared" si="44"/>
        <v>2024</v>
      </c>
      <c r="P946" s="3">
        <f>Table1[[#This Row],[Revenue]]-Table1[[#This Row],[Cost]]</f>
        <v>0</v>
      </c>
      <c r="Q94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47" spans="1:17" x14ac:dyDescent="0.2">
      <c r="A947" t="s">
        <v>206</v>
      </c>
      <c r="B947" s="1">
        <v>44993</v>
      </c>
      <c r="C947" t="s">
        <v>29</v>
      </c>
      <c r="D947" t="s">
        <v>31</v>
      </c>
      <c r="E947" t="s">
        <v>44</v>
      </c>
      <c r="F947" t="s">
        <v>26</v>
      </c>
      <c r="G947">
        <v>0</v>
      </c>
      <c r="H947">
        <f>Table1[[#This Row],[UnitPrice]]*0.7*Table1[[#This Row],[UnitsSold]]</f>
        <v>0</v>
      </c>
      <c r="I947">
        <v>1661.47</v>
      </c>
      <c r="J947">
        <v>0</v>
      </c>
      <c r="K947" t="s">
        <v>16</v>
      </c>
      <c r="L947" t="s">
        <v>249</v>
      </c>
      <c r="M947" s="3">
        <f t="shared" si="42"/>
        <v>0</v>
      </c>
      <c r="N947" t="str">
        <f t="shared" si="43"/>
        <v>March</v>
      </c>
      <c r="O947" t="str">
        <f t="shared" si="44"/>
        <v>2023</v>
      </c>
      <c r="P947" s="3">
        <f>Table1[[#This Row],[Revenue]]-Table1[[#This Row],[Cost]]</f>
        <v>0</v>
      </c>
      <c r="Q94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48" spans="1:17" x14ac:dyDescent="0.2">
      <c r="A948" t="s">
        <v>241</v>
      </c>
      <c r="B948" s="1">
        <v>45267</v>
      </c>
      <c r="C948" t="s">
        <v>12</v>
      </c>
      <c r="D948" t="s">
        <v>83</v>
      </c>
      <c r="E948" t="s">
        <v>48</v>
      </c>
      <c r="F948" t="s">
        <v>39</v>
      </c>
      <c r="G948">
        <v>11</v>
      </c>
      <c r="H948">
        <f>Table1[[#This Row],[UnitPrice]]*0.7*Table1[[#This Row],[UnitsSold]]</f>
        <v>7833.2771702127648</v>
      </c>
      <c r="I948">
        <v>1017.3087234042553</v>
      </c>
      <c r="J948">
        <v>0.24</v>
      </c>
      <c r="K948" t="s">
        <v>16</v>
      </c>
      <c r="L948" t="s">
        <v>22</v>
      </c>
      <c r="M948" s="3">
        <f t="shared" si="42"/>
        <v>8504.7009276595745</v>
      </c>
      <c r="N948" t="str">
        <f t="shared" si="43"/>
        <v>December</v>
      </c>
      <c r="O948" t="str">
        <f t="shared" si="44"/>
        <v>2023</v>
      </c>
      <c r="P948" s="3">
        <f>Table1[[#This Row],[Revenue]]-Table1[[#This Row],[Cost]]</f>
        <v>671.42375744680976</v>
      </c>
      <c r="Q948" s="6">
        <f>IF(Table1[[#This Row],[UnitsSold]]*Table1[[#This Row],[UnitPrice]]*(1-Table1[[#This Row],[Discount]])=0, 0, ((Table1[[#This Row],[UnitsSold]]*Table1[[#This Row],[UnitPrice]]*(1-Table1[[#This Row],[Discount]])) - (Table1[[#This Row],[UnitsSold]]*Table1[[#This Row],[UnitPrice]]*0.7)) / (Table1[[#This Row],[UnitsSold]]*Table1[[#This Row],[UnitPrice]]*(1-Table1[[#This Row],[Discount]])))</f>
        <v>7.894736842105278E-2</v>
      </c>
    </row>
    <row r="949" spans="1:17" x14ac:dyDescent="0.2">
      <c r="A949" t="s">
        <v>162</v>
      </c>
      <c r="B949" s="1">
        <v>45142</v>
      </c>
      <c r="C949" t="s">
        <v>12</v>
      </c>
      <c r="D949" t="s">
        <v>19</v>
      </c>
      <c r="E949" t="s">
        <v>44</v>
      </c>
      <c r="F949" t="s">
        <v>26</v>
      </c>
      <c r="G949">
        <v>4</v>
      </c>
      <c r="H949">
        <f>Table1[[#This Row],[UnitPrice]]*0.7*Table1[[#This Row],[UnitsSold]]</f>
        <v>4746.3919999999998</v>
      </c>
      <c r="I949">
        <v>1695.14</v>
      </c>
      <c r="J949">
        <v>0</v>
      </c>
      <c r="K949" t="s">
        <v>248</v>
      </c>
      <c r="L949" t="s">
        <v>27</v>
      </c>
      <c r="M949" s="3">
        <f t="shared" si="42"/>
        <v>6780.56</v>
      </c>
      <c r="N949" t="str">
        <f t="shared" si="43"/>
        <v>August</v>
      </c>
      <c r="O949" t="str">
        <f t="shared" si="44"/>
        <v>2023</v>
      </c>
      <c r="P949" s="3">
        <f>Table1[[#This Row],[Revenue]]-Table1[[#This Row],[Cost]]</f>
        <v>2034.1680000000006</v>
      </c>
      <c r="Q949"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950" spans="1:17" x14ac:dyDescent="0.2">
      <c r="A950" t="s">
        <v>117</v>
      </c>
      <c r="B950" s="1">
        <v>45091</v>
      </c>
      <c r="C950" t="s">
        <v>12</v>
      </c>
      <c r="D950" t="s">
        <v>13</v>
      </c>
      <c r="E950" t="s">
        <v>38</v>
      </c>
      <c r="F950" t="s">
        <v>34</v>
      </c>
      <c r="G950">
        <v>0</v>
      </c>
      <c r="H950">
        <f>Table1[[#This Row],[UnitPrice]]*0.7*Table1[[#This Row],[UnitsSold]]</f>
        <v>0</v>
      </c>
      <c r="I950">
        <v>1151.82</v>
      </c>
      <c r="J950">
        <v>0</v>
      </c>
      <c r="K950" t="s">
        <v>42</v>
      </c>
      <c r="L950" t="s">
        <v>55</v>
      </c>
      <c r="M950" s="3">
        <f t="shared" si="42"/>
        <v>0</v>
      </c>
      <c r="N950" t="str">
        <f t="shared" si="43"/>
        <v>June</v>
      </c>
      <c r="O950" t="str">
        <f t="shared" si="44"/>
        <v>2023</v>
      </c>
      <c r="P950" s="3">
        <f>Table1[[#This Row],[Revenue]]-Table1[[#This Row],[Cost]]</f>
        <v>0</v>
      </c>
      <c r="Q95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51" spans="1:17" x14ac:dyDescent="0.2">
      <c r="A951" t="s">
        <v>81</v>
      </c>
      <c r="B951" s="1">
        <v>45030</v>
      </c>
      <c r="C951" t="s">
        <v>246</v>
      </c>
      <c r="D951" t="s">
        <v>83</v>
      </c>
      <c r="E951" t="s">
        <v>25</v>
      </c>
      <c r="F951" t="s">
        <v>26</v>
      </c>
      <c r="G951">
        <v>7</v>
      </c>
      <c r="H951">
        <f>Table1[[#This Row],[UnitPrice]]*0.7*Table1[[#This Row],[UnitsSold]]</f>
        <v>4709.1773898305073</v>
      </c>
      <c r="I951">
        <v>961.05661016949136</v>
      </c>
      <c r="J951">
        <v>0.28999999999999998</v>
      </c>
      <c r="K951" t="s">
        <v>16</v>
      </c>
      <c r="L951" t="s">
        <v>27</v>
      </c>
      <c r="M951" s="3">
        <f t="shared" si="42"/>
        <v>4776.4513525423718</v>
      </c>
      <c r="N951" t="str">
        <f t="shared" si="43"/>
        <v>April</v>
      </c>
      <c r="O951" t="str">
        <f t="shared" si="44"/>
        <v>2023</v>
      </c>
      <c r="P951" s="3">
        <f>Table1[[#This Row],[Revenue]]-Table1[[#This Row],[Cost]]</f>
        <v>67.273962711864442</v>
      </c>
      <c r="Q951" s="6">
        <f>IF(Table1[[#This Row],[UnitsSold]]*Table1[[#This Row],[UnitPrice]]*(1-Table1[[#This Row],[Discount]])=0, 0, ((Table1[[#This Row],[UnitsSold]]*Table1[[#This Row],[UnitPrice]]*(1-Table1[[#This Row],[Discount]])) - (Table1[[#This Row],[UnitsSold]]*Table1[[#This Row],[UnitPrice]]*0.7)) / (Table1[[#This Row],[UnitsSold]]*Table1[[#This Row],[UnitPrice]]*(1-Table1[[#This Row],[Discount]])))</f>
        <v>1.4084507042253532E-2</v>
      </c>
    </row>
    <row r="952" spans="1:17" x14ac:dyDescent="0.2">
      <c r="A952" t="s">
        <v>138</v>
      </c>
      <c r="B952" s="1">
        <v>44929</v>
      </c>
      <c r="C952" t="s">
        <v>29</v>
      </c>
      <c r="D952" t="s">
        <v>267</v>
      </c>
      <c r="E952" t="s">
        <v>38</v>
      </c>
      <c r="F952" t="s">
        <v>34</v>
      </c>
      <c r="G952">
        <v>18</v>
      </c>
      <c r="H952">
        <f>Table1[[#This Row],[UnitPrice]]*0.7*Table1[[#This Row],[UnitsSold]]</f>
        <v>11803.639909090909</v>
      </c>
      <c r="I952">
        <v>936.79681818181825</v>
      </c>
      <c r="J952">
        <v>0</v>
      </c>
      <c r="K952" t="s">
        <v>283</v>
      </c>
      <c r="L952" t="s">
        <v>17</v>
      </c>
      <c r="M952" s="3">
        <f t="shared" si="42"/>
        <v>16862.342727272728</v>
      </c>
      <c r="N952" t="str">
        <f t="shared" si="43"/>
        <v>January</v>
      </c>
      <c r="O952" t="str">
        <f t="shared" si="44"/>
        <v>2023</v>
      </c>
      <c r="P952" s="3">
        <f>Table1[[#This Row],[Revenue]]-Table1[[#This Row],[Cost]]</f>
        <v>5058.7028181818187</v>
      </c>
      <c r="Q95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953" spans="1:17" x14ac:dyDescent="0.2">
      <c r="A953" t="s">
        <v>108</v>
      </c>
      <c r="B953" s="1">
        <v>45024</v>
      </c>
      <c r="C953" t="s">
        <v>37</v>
      </c>
      <c r="D953" t="s">
        <v>31</v>
      </c>
      <c r="E953" t="s">
        <v>25</v>
      </c>
      <c r="F953" t="s">
        <v>26</v>
      </c>
      <c r="G953">
        <v>0</v>
      </c>
      <c r="H953">
        <f>Table1[[#This Row],[UnitPrice]]*0.7*Table1[[#This Row],[UnitsSold]]</f>
        <v>0</v>
      </c>
      <c r="I953">
        <v>961.05661016949136</v>
      </c>
      <c r="J953">
        <v>0.26</v>
      </c>
      <c r="K953" t="s">
        <v>42</v>
      </c>
      <c r="L953" t="s">
        <v>22</v>
      </c>
      <c r="M953" s="3">
        <f t="shared" si="42"/>
        <v>0</v>
      </c>
      <c r="N953" t="str">
        <f t="shared" si="43"/>
        <v>April</v>
      </c>
      <c r="O953" t="str">
        <f t="shared" si="44"/>
        <v>2023</v>
      </c>
      <c r="P953" s="3">
        <f>Table1[[#This Row],[Revenue]]-Table1[[#This Row],[Cost]]</f>
        <v>0</v>
      </c>
      <c r="Q95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54" spans="1:17" x14ac:dyDescent="0.2">
      <c r="A954" t="s">
        <v>116</v>
      </c>
      <c r="B954" s="1">
        <v>45119</v>
      </c>
      <c r="C954" t="s">
        <v>12</v>
      </c>
      <c r="D954" t="s">
        <v>31</v>
      </c>
      <c r="E954" t="s">
        <v>46</v>
      </c>
      <c r="F954" t="s">
        <v>26</v>
      </c>
      <c r="G954">
        <v>0</v>
      </c>
      <c r="H954">
        <f>Table1[[#This Row],[UnitPrice]]*0.7*Table1[[#This Row],[UnitsSold]]</f>
        <v>0</v>
      </c>
      <c r="I954">
        <v>1106.0261904761899</v>
      </c>
      <c r="J954">
        <v>0</v>
      </c>
      <c r="K954" t="s">
        <v>248</v>
      </c>
      <c r="L954" t="s">
        <v>55</v>
      </c>
      <c r="M954" s="3">
        <f t="shared" si="42"/>
        <v>0</v>
      </c>
      <c r="N954" t="str">
        <f t="shared" si="43"/>
        <v>July</v>
      </c>
      <c r="O954" t="str">
        <f t="shared" si="44"/>
        <v>2023</v>
      </c>
      <c r="P954" s="3">
        <f>Table1[[#This Row],[Revenue]]-Table1[[#This Row],[Cost]]</f>
        <v>0</v>
      </c>
      <c r="Q95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55" spans="1:17" x14ac:dyDescent="0.2">
      <c r="A955" t="s">
        <v>202</v>
      </c>
      <c r="B955" s="1">
        <v>45041</v>
      </c>
      <c r="C955" t="s">
        <v>24</v>
      </c>
      <c r="D955" t="s">
        <v>267</v>
      </c>
      <c r="E955" t="s">
        <v>14</v>
      </c>
      <c r="F955" t="s">
        <v>26</v>
      </c>
      <c r="G955">
        <v>12</v>
      </c>
      <c r="H955">
        <f>Table1[[#This Row],[UnitPrice]]*0.7*Table1[[#This Row],[UnitsSold]]</f>
        <v>14667.743999999999</v>
      </c>
      <c r="I955">
        <v>1746.16</v>
      </c>
      <c r="J955">
        <v>0.28999999999999998</v>
      </c>
      <c r="K955" t="s">
        <v>248</v>
      </c>
      <c r="L955" t="s">
        <v>17</v>
      </c>
      <c r="M955" s="3">
        <f t="shared" si="42"/>
        <v>14877.2832</v>
      </c>
      <c r="N955" t="str">
        <f t="shared" si="43"/>
        <v>April</v>
      </c>
      <c r="O955" t="str">
        <f t="shared" si="44"/>
        <v>2023</v>
      </c>
      <c r="P955" s="3">
        <f>Table1[[#This Row],[Revenue]]-Table1[[#This Row],[Cost]]</f>
        <v>209.53920000000107</v>
      </c>
      <c r="Q955" s="6">
        <f>IF(Table1[[#This Row],[UnitsSold]]*Table1[[#This Row],[UnitPrice]]*(1-Table1[[#This Row],[Discount]])=0, 0, ((Table1[[#This Row],[UnitsSold]]*Table1[[#This Row],[UnitPrice]]*(1-Table1[[#This Row],[Discount]])) - (Table1[[#This Row],[UnitsSold]]*Table1[[#This Row],[UnitPrice]]*0.7)) / (Table1[[#This Row],[UnitsSold]]*Table1[[#This Row],[UnitPrice]]*(1-Table1[[#This Row],[Discount]])))</f>
        <v>1.4084507042253471E-2</v>
      </c>
    </row>
    <row r="956" spans="1:17" x14ac:dyDescent="0.2">
      <c r="A956" t="s">
        <v>172</v>
      </c>
      <c r="B956" s="1">
        <v>45192</v>
      </c>
      <c r="C956" t="s">
        <v>24</v>
      </c>
      <c r="D956" t="s">
        <v>83</v>
      </c>
      <c r="E956" t="s">
        <v>44</v>
      </c>
      <c r="F956" t="s">
        <v>26</v>
      </c>
      <c r="G956">
        <v>0</v>
      </c>
      <c r="H956">
        <f>Table1[[#This Row],[UnitPrice]]*0.7*Table1[[#This Row],[UnitsSold]]</f>
        <v>0</v>
      </c>
      <c r="I956">
        <v>1079.5765957446808</v>
      </c>
      <c r="J956">
        <v>0</v>
      </c>
      <c r="K956" t="s">
        <v>283</v>
      </c>
      <c r="L956" t="s">
        <v>27</v>
      </c>
      <c r="M956" s="3">
        <f t="shared" si="42"/>
        <v>0</v>
      </c>
      <c r="N956" t="str">
        <f t="shared" si="43"/>
        <v>September</v>
      </c>
      <c r="O956" t="str">
        <f t="shared" si="44"/>
        <v>2023</v>
      </c>
      <c r="P956" s="3">
        <f>Table1[[#This Row],[Revenue]]-Table1[[#This Row],[Cost]]</f>
        <v>0</v>
      </c>
      <c r="Q95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57" spans="1:17" x14ac:dyDescent="0.2">
      <c r="A957" t="s">
        <v>168</v>
      </c>
      <c r="B957" s="1">
        <v>45100</v>
      </c>
      <c r="C957" t="s">
        <v>57</v>
      </c>
      <c r="D957" t="s">
        <v>59</v>
      </c>
      <c r="E957" t="s">
        <v>247</v>
      </c>
      <c r="F957" t="s">
        <v>26</v>
      </c>
      <c r="G957">
        <v>2</v>
      </c>
      <c r="H957">
        <f>Table1[[#This Row],[UnitPrice]]*0.7*Table1[[#This Row],[UnitsSold]]</f>
        <v>1373.9042857142856</v>
      </c>
      <c r="I957">
        <v>981.36020408163256</v>
      </c>
      <c r="J957">
        <v>0</v>
      </c>
      <c r="K957" t="s">
        <v>16</v>
      </c>
      <c r="L957" t="s">
        <v>249</v>
      </c>
      <c r="M957" s="3">
        <f t="shared" si="42"/>
        <v>1962.7204081632651</v>
      </c>
      <c r="N957" t="str">
        <f t="shared" si="43"/>
        <v>June</v>
      </c>
      <c r="O957" t="str">
        <f t="shared" si="44"/>
        <v>2023</v>
      </c>
      <c r="P957" s="3">
        <f>Table1[[#This Row],[Revenue]]-Table1[[#This Row],[Cost]]</f>
        <v>588.81612244897951</v>
      </c>
      <c r="Q957"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958" spans="1:17" x14ac:dyDescent="0.2">
      <c r="A958" t="s">
        <v>45</v>
      </c>
      <c r="B958" s="1">
        <v>44964</v>
      </c>
      <c r="C958" t="s">
        <v>12</v>
      </c>
      <c r="D958" t="s">
        <v>59</v>
      </c>
      <c r="E958" t="s">
        <v>46</v>
      </c>
      <c r="F958" t="s">
        <v>26</v>
      </c>
      <c r="G958">
        <v>0</v>
      </c>
      <c r="H958">
        <f>Table1[[#This Row],[UnitPrice]]*0.7*Table1[[#This Row],[UnitsSold]]</f>
        <v>0</v>
      </c>
      <c r="I958">
        <v>1228.74</v>
      </c>
      <c r="J958">
        <v>0</v>
      </c>
      <c r="K958" t="s">
        <v>16</v>
      </c>
      <c r="L958" t="s">
        <v>55</v>
      </c>
      <c r="M958" s="3">
        <f t="shared" si="42"/>
        <v>0</v>
      </c>
      <c r="N958" t="str">
        <f t="shared" si="43"/>
        <v>February</v>
      </c>
      <c r="O958" t="str">
        <f t="shared" si="44"/>
        <v>2023</v>
      </c>
      <c r="P958" s="3">
        <f>Table1[[#This Row],[Revenue]]-Table1[[#This Row],[Cost]]</f>
        <v>0</v>
      </c>
      <c r="Q95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59" spans="1:17" x14ac:dyDescent="0.2">
      <c r="A959" t="s">
        <v>165</v>
      </c>
      <c r="B959" s="1">
        <v>44948</v>
      </c>
      <c r="C959" t="s">
        <v>12</v>
      </c>
      <c r="D959" t="s">
        <v>19</v>
      </c>
      <c r="E959" t="s">
        <v>38</v>
      </c>
      <c r="F959" t="s">
        <v>34</v>
      </c>
      <c r="G959">
        <v>0</v>
      </c>
      <c r="H959">
        <f>Table1[[#This Row],[UnitPrice]]*0.7*Table1[[#This Row],[UnitsSold]]</f>
        <v>0</v>
      </c>
      <c r="I959">
        <v>936.79681818181825</v>
      </c>
      <c r="J959">
        <v>0.09</v>
      </c>
      <c r="K959" t="s">
        <v>16</v>
      </c>
      <c r="L959" t="s">
        <v>27</v>
      </c>
      <c r="M959" s="3">
        <f t="shared" si="42"/>
        <v>0</v>
      </c>
      <c r="N959" t="str">
        <f t="shared" si="43"/>
        <v>January</v>
      </c>
      <c r="O959" t="str">
        <f t="shared" si="44"/>
        <v>2023</v>
      </c>
      <c r="P959" s="3">
        <f>Table1[[#This Row],[Revenue]]-Table1[[#This Row],[Cost]]</f>
        <v>0</v>
      </c>
      <c r="Q95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60" spans="1:17" x14ac:dyDescent="0.2">
      <c r="A960" t="s">
        <v>128</v>
      </c>
      <c r="B960" s="1">
        <v>45323</v>
      </c>
      <c r="C960" t="s">
        <v>37</v>
      </c>
      <c r="D960" t="s">
        <v>31</v>
      </c>
      <c r="E960" t="s">
        <v>44</v>
      </c>
      <c r="F960" t="s">
        <v>26</v>
      </c>
      <c r="G960">
        <v>0</v>
      </c>
      <c r="H960">
        <f>Table1[[#This Row],[UnitPrice]]*0.7*Table1[[#This Row],[UnitsSold]]</f>
        <v>0</v>
      </c>
      <c r="I960">
        <v>1079.5765957446808</v>
      </c>
      <c r="J960">
        <v>0</v>
      </c>
      <c r="K960" t="s">
        <v>16</v>
      </c>
      <c r="L960" t="s">
        <v>22</v>
      </c>
      <c r="M960" s="3">
        <f t="shared" si="42"/>
        <v>0</v>
      </c>
      <c r="N960" t="str">
        <f t="shared" si="43"/>
        <v>February</v>
      </c>
      <c r="O960" t="str">
        <f t="shared" si="44"/>
        <v>2024</v>
      </c>
      <c r="P960" s="3">
        <f>Table1[[#This Row],[Revenue]]-Table1[[#This Row],[Cost]]</f>
        <v>0</v>
      </c>
      <c r="Q96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61" spans="1:17" x14ac:dyDescent="0.2">
      <c r="A961" t="s">
        <v>244</v>
      </c>
      <c r="B961" s="1">
        <v>45145</v>
      </c>
      <c r="C961" t="s">
        <v>246</v>
      </c>
      <c r="D961" t="s">
        <v>19</v>
      </c>
      <c r="E961" t="s">
        <v>38</v>
      </c>
      <c r="F961" t="s">
        <v>34</v>
      </c>
      <c r="G961">
        <v>0</v>
      </c>
      <c r="H961">
        <f>Table1[[#This Row],[UnitPrice]]*0.7*Table1[[#This Row],[UnitsSold]]</f>
        <v>0</v>
      </c>
      <c r="I961">
        <v>936.79681818181825</v>
      </c>
      <c r="J961">
        <v>0.13</v>
      </c>
      <c r="K961" t="s">
        <v>16</v>
      </c>
      <c r="L961" t="s">
        <v>249</v>
      </c>
      <c r="M961" s="3">
        <f t="shared" si="42"/>
        <v>0</v>
      </c>
      <c r="N961" t="str">
        <f t="shared" si="43"/>
        <v>August</v>
      </c>
      <c r="O961" t="str">
        <f t="shared" si="44"/>
        <v>2023</v>
      </c>
      <c r="P961" s="3">
        <f>Table1[[#This Row],[Revenue]]-Table1[[#This Row],[Cost]]</f>
        <v>0</v>
      </c>
      <c r="Q96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62" spans="1:17" x14ac:dyDescent="0.2">
      <c r="A962" t="s">
        <v>126</v>
      </c>
      <c r="B962" s="1">
        <v>45228</v>
      </c>
      <c r="C962" t="s">
        <v>12</v>
      </c>
      <c r="D962" t="s">
        <v>19</v>
      </c>
      <c r="E962" t="s">
        <v>38</v>
      </c>
      <c r="F962" t="s">
        <v>34</v>
      </c>
      <c r="G962">
        <v>19</v>
      </c>
      <c r="H962">
        <f>Table1[[#This Row],[UnitPrice]]*0.7*Table1[[#This Row],[UnitsSold]]</f>
        <v>26360.200999999997</v>
      </c>
      <c r="I962">
        <v>1981.97</v>
      </c>
      <c r="J962">
        <v>0.26</v>
      </c>
      <c r="K962" t="s">
        <v>16</v>
      </c>
      <c r="L962" t="s">
        <v>27</v>
      </c>
      <c r="M962" s="3">
        <f t="shared" ref="M962:M999" si="45">G962*I962*(1-J962)</f>
        <v>27866.498199999998</v>
      </c>
      <c r="N962" t="str">
        <f t="shared" ref="N962:N999" si="46">TEXT(B962, "mmmm")</f>
        <v>October</v>
      </c>
      <c r="O962" t="str">
        <f t="shared" ref="O962:O999" si="47">TEXT(B962, "yyyy")</f>
        <v>2023</v>
      </c>
      <c r="P962" s="3">
        <f>Table1[[#This Row],[Revenue]]-Table1[[#This Row],[Cost]]</f>
        <v>1506.2972000000009</v>
      </c>
      <c r="Q962" s="6">
        <f>IF(Table1[[#This Row],[UnitsSold]]*Table1[[#This Row],[UnitPrice]]*(1-Table1[[#This Row],[Discount]])=0, 0, ((Table1[[#This Row],[UnitsSold]]*Table1[[#This Row],[UnitPrice]]*(1-Table1[[#This Row],[Discount]])) - (Table1[[#This Row],[UnitsSold]]*Table1[[#This Row],[UnitPrice]]*0.7)) / (Table1[[#This Row],[UnitsSold]]*Table1[[#This Row],[UnitPrice]]*(1-Table1[[#This Row],[Discount]])))</f>
        <v>5.4054054054054092E-2</v>
      </c>
    </row>
    <row r="963" spans="1:17" x14ac:dyDescent="0.2">
      <c r="A963" t="s">
        <v>53</v>
      </c>
      <c r="B963" s="1">
        <v>44991</v>
      </c>
      <c r="C963" t="s">
        <v>57</v>
      </c>
      <c r="D963" t="s">
        <v>19</v>
      </c>
      <c r="E963" t="s">
        <v>14</v>
      </c>
      <c r="F963" t="s">
        <v>26</v>
      </c>
      <c r="G963">
        <v>0</v>
      </c>
      <c r="H963">
        <f>Table1[[#This Row],[UnitPrice]]*0.7*Table1[[#This Row],[UnitsSold]]</f>
        <v>0</v>
      </c>
      <c r="I963">
        <v>1208.81</v>
      </c>
      <c r="J963">
        <v>0.3</v>
      </c>
      <c r="K963" t="s">
        <v>248</v>
      </c>
      <c r="L963" t="s">
        <v>22</v>
      </c>
      <c r="M963" s="3">
        <f t="shared" si="45"/>
        <v>0</v>
      </c>
      <c r="N963" t="str">
        <f t="shared" si="46"/>
        <v>March</v>
      </c>
      <c r="O963" t="str">
        <f t="shared" si="47"/>
        <v>2023</v>
      </c>
      <c r="P963" s="3">
        <f>Table1[[#This Row],[Revenue]]-Table1[[#This Row],[Cost]]</f>
        <v>0</v>
      </c>
      <c r="Q96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64" spans="1:17" x14ac:dyDescent="0.2">
      <c r="A964" t="s">
        <v>161</v>
      </c>
      <c r="B964" s="1">
        <v>45263</v>
      </c>
      <c r="C964" t="s">
        <v>12</v>
      </c>
      <c r="D964" t="s">
        <v>13</v>
      </c>
      <c r="E964" t="s">
        <v>46</v>
      </c>
      <c r="F964" t="s">
        <v>26</v>
      </c>
      <c r="G964">
        <v>0</v>
      </c>
      <c r="H964">
        <f>Table1[[#This Row],[UnitPrice]]*0.7*Table1[[#This Row],[UnitsSold]]</f>
        <v>0</v>
      </c>
      <c r="I964">
        <v>1106.0261904761899</v>
      </c>
      <c r="J964">
        <v>0</v>
      </c>
      <c r="K964" t="s">
        <v>16</v>
      </c>
      <c r="L964" t="s">
        <v>22</v>
      </c>
      <c r="M964" s="3">
        <f t="shared" si="45"/>
        <v>0</v>
      </c>
      <c r="N964" t="str">
        <f t="shared" si="46"/>
        <v>December</v>
      </c>
      <c r="O964" t="str">
        <f t="shared" si="47"/>
        <v>2023</v>
      </c>
      <c r="P964" s="3">
        <f>Table1[[#This Row],[Revenue]]-Table1[[#This Row],[Cost]]</f>
        <v>0</v>
      </c>
      <c r="Q96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65" spans="1:17" x14ac:dyDescent="0.2">
      <c r="A965" t="s">
        <v>195</v>
      </c>
      <c r="B965" s="1">
        <v>45081</v>
      </c>
      <c r="C965" t="s">
        <v>29</v>
      </c>
      <c r="D965" t="s">
        <v>267</v>
      </c>
      <c r="E965" t="s">
        <v>44</v>
      </c>
      <c r="F965" t="s">
        <v>26</v>
      </c>
      <c r="G965">
        <v>0</v>
      </c>
      <c r="H965">
        <f>Table1[[#This Row],[UnitPrice]]*0.7*Table1[[#This Row],[UnitsSold]]</f>
        <v>0</v>
      </c>
      <c r="I965">
        <v>1079.5765957446808</v>
      </c>
      <c r="J965">
        <v>0</v>
      </c>
      <c r="K965" t="s">
        <v>16</v>
      </c>
      <c r="L965" t="s">
        <v>27</v>
      </c>
      <c r="M965" s="3">
        <f t="shared" si="45"/>
        <v>0</v>
      </c>
      <c r="N965" t="str">
        <f t="shared" si="46"/>
        <v>June</v>
      </c>
      <c r="O965" t="str">
        <f t="shared" si="47"/>
        <v>2023</v>
      </c>
      <c r="P965" s="3">
        <f>Table1[[#This Row],[Revenue]]-Table1[[#This Row],[Cost]]</f>
        <v>0</v>
      </c>
      <c r="Q96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66" spans="1:17" x14ac:dyDescent="0.2">
      <c r="A966" t="s">
        <v>159</v>
      </c>
      <c r="B966" s="1">
        <v>45137</v>
      </c>
      <c r="C966" t="s">
        <v>57</v>
      </c>
      <c r="D966" t="s">
        <v>59</v>
      </c>
      <c r="E966" t="s">
        <v>46</v>
      </c>
      <c r="F966" t="s">
        <v>26</v>
      </c>
      <c r="G966">
        <v>0</v>
      </c>
      <c r="H966">
        <f>Table1[[#This Row],[UnitPrice]]*0.7*Table1[[#This Row],[UnitsSold]]</f>
        <v>0</v>
      </c>
      <c r="I966">
        <v>1106.0261904761899</v>
      </c>
      <c r="J966">
        <v>0.17</v>
      </c>
      <c r="K966" t="s">
        <v>52</v>
      </c>
      <c r="L966" t="s">
        <v>249</v>
      </c>
      <c r="M966" s="3">
        <f t="shared" si="45"/>
        <v>0</v>
      </c>
      <c r="N966" t="str">
        <f t="shared" si="46"/>
        <v>July</v>
      </c>
      <c r="O966" t="str">
        <f t="shared" si="47"/>
        <v>2023</v>
      </c>
      <c r="P966" s="3">
        <f>Table1[[#This Row],[Revenue]]-Table1[[#This Row],[Cost]]</f>
        <v>0</v>
      </c>
      <c r="Q96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67" spans="1:17" x14ac:dyDescent="0.2">
      <c r="A967" t="s">
        <v>73</v>
      </c>
      <c r="B967" s="1">
        <v>45047</v>
      </c>
      <c r="C967" t="s">
        <v>57</v>
      </c>
      <c r="D967" t="s">
        <v>13</v>
      </c>
      <c r="E967" t="s">
        <v>25</v>
      </c>
      <c r="F967" t="s">
        <v>26</v>
      </c>
      <c r="G967">
        <v>4</v>
      </c>
      <c r="H967">
        <f>Table1[[#This Row],[UnitPrice]]*0.7*Table1[[#This Row],[UnitsSold]]</f>
        <v>2807.924</v>
      </c>
      <c r="I967">
        <v>1002.83</v>
      </c>
      <c r="J967">
        <v>0</v>
      </c>
      <c r="K967" t="s">
        <v>42</v>
      </c>
      <c r="L967" t="s">
        <v>55</v>
      </c>
      <c r="M967" s="3">
        <f t="shared" si="45"/>
        <v>4011.32</v>
      </c>
      <c r="N967" t="str">
        <f t="shared" si="46"/>
        <v>May</v>
      </c>
      <c r="O967" t="str">
        <f t="shared" si="47"/>
        <v>2023</v>
      </c>
      <c r="P967" s="3">
        <f>Table1[[#This Row],[Revenue]]-Table1[[#This Row],[Cost]]</f>
        <v>1203.3960000000002</v>
      </c>
      <c r="Q967"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968" spans="1:17" x14ac:dyDescent="0.2">
      <c r="A968" t="s">
        <v>174</v>
      </c>
      <c r="B968" s="1">
        <v>44957</v>
      </c>
      <c r="C968" t="s">
        <v>24</v>
      </c>
      <c r="D968" t="s">
        <v>267</v>
      </c>
      <c r="E968" t="s">
        <v>44</v>
      </c>
      <c r="F968" t="s">
        <v>26</v>
      </c>
      <c r="G968">
        <v>16</v>
      </c>
      <c r="H968">
        <f>Table1[[#This Row],[UnitPrice]]*0.7*Table1[[#This Row],[UnitsSold]]</f>
        <v>12091.257872340424</v>
      </c>
      <c r="I968">
        <v>1079.5765957446808</v>
      </c>
      <c r="J968">
        <v>0.13</v>
      </c>
      <c r="K968" t="s">
        <v>16</v>
      </c>
      <c r="L968" t="s">
        <v>22</v>
      </c>
      <c r="M968" s="3">
        <f t="shared" si="45"/>
        <v>15027.706212765957</v>
      </c>
      <c r="N968" t="str">
        <f t="shared" si="46"/>
        <v>January</v>
      </c>
      <c r="O968" t="str">
        <f t="shared" si="47"/>
        <v>2023</v>
      </c>
      <c r="P968" s="3">
        <f>Table1[[#This Row],[Revenue]]-Table1[[#This Row],[Cost]]</f>
        <v>2936.4483404255334</v>
      </c>
      <c r="Q968" s="6">
        <f>IF(Table1[[#This Row],[UnitsSold]]*Table1[[#This Row],[UnitPrice]]*(1-Table1[[#This Row],[Discount]])=0, 0, ((Table1[[#This Row],[UnitsSold]]*Table1[[#This Row],[UnitPrice]]*(1-Table1[[#This Row],[Discount]])) - (Table1[[#This Row],[UnitsSold]]*Table1[[#This Row],[UnitPrice]]*0.7)) / (Table1[[#This Row],[UnitsSold]]*Table1[[#This Row],[UnitPrice]]*(1-Table1[[#This Row],[Discount]])))</f>
        <v>0.19540229885057481</v>
      </c>
    </row>
    <row r="969" spans="1:17" x14ac:dyDescent="0.2">
      <c r="A969" t="s">
        <v>171</v>
      </c>
      <c r="B969" s="1">
        <v>45264</v>
      </c>
      <c r="C969" t="s">
        <v>57</v>
      </c>
      <c r="D969" t="s">
        <v>31</v>
      </c>
      <c r="E969" t="s">
        <v>46</v>
      </c>
      <c r="F969" t="s">
        <v>26</v>
      </c>
      <c r="G969">
        <v>0</v>
      </c>
      <c r="H969">
        <f>Table1[[#This Row],[UnitPrice]]*0.7*Table1[[#This Row],[UnitsSold]]</f>
        <v>0</v>
      </c>
      <c r="I969">
        <v>1528.36</v>
      </c>
      <c r="J969">
        <v>0</v>
      </c>
      <c r="K969" t="s">
        <v>52</v>
      </c>
      <c r="L969" t="s">
        <v>17</v>
      </c>
      <c r="M969" s="3">
        <f t="shared" si="45"/>
        <v>0</v>
      </c>
      <c r="N969" t="str">
        <f t="shared" si="46"/>
        <v>December</v>
      </c>
      <c r="O969" t="str">
        <f t="shared" si="47"/>
        <v>2023</v>
      </c>
      <c r="P969" s="3">
        <f>Table1[[#This Row],[Revenue]]-Table1[[#This Row],[Cost]]</f>
        <v>0</v>
      </c>
      <c r="Q96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70" spans="1:17" x14ac:dyDescent="0.2">
      <c r="A970" t="s">
        <v>121</v>
      </c>
      <c r="B970" s="1">
        <v>45314</v>
      </c>
      <c r="C970" t="s">
        <v>12</v>
      </c>
      <c r="D970" t="s">
        <v>59</v>
      </c>
      <c r="E970" t="s">
        <v>48</v>
      </c>
      <c r="F970" t="s">
        <v>39</v>
      </c>
      <c r="G970">
        <v>0</v>
      </c>
      <c r="H970">
        <f>Table1[[#This Row],[UnitPrice]]*0.7*Table1[[#This Row],[UnitsSold]]</f>
        <v>0</v>
      </c>
      <c r="I970">
        <v>1017.3087234042553</v>
      </c>
      <c r="J970">
        <v>0.23</v>
      </c>
      <c r="K970" t="s">
        <v>248</v>
      </c>
      <c r="L970" t="s">
        <v>22</v>
      </c>
      <c r="M970" s="3">
        <f t="shared" si="45"/>
        <v>0</v>
      </c>
      <c r="N970" t="str">
        <f t="shared" si="46"/>
        <v>January</v>
      </c>
      <c r="O970" t="str">
        <f t="shared" si="47"/>
        <v>2024</v>
      </c>
      <c r="P970" s="3">
        <f>Table1[[#This Row],[Revenue]]-Table1[[#This Row],[Cost]]</f>
        <v>0</v>
      </c>
      <c r="Q970"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71" spans="1:17" x14ac:dyDescent="0.2">
      <c r="A971" t="s">
        <v>135</v>
      </c>
      <c r="B971" s="1">
        <v>45274</v>
      </c>
      <c r="C971" t="s">
        <v>24</v>
      </c>
      <c r="D971" t="s">
        <v>267</v>
      </c>
      <c r="E971" t="s">
        <v>44</v>
      </c>
      <c r="F971" t="s">
        <v>26</v>
      </c>
      <c r="G971">
        <v>0</v>
      </c>
      <c r="H971">
        <f>Table1[[#This Row],[UnitPrice]]*0.7*Table1[[#This Row],[UnitsSold]]</f>
        <v>0</v>
      </c>
      <c r="I971">
        <v>1079.5765957446808</v>
      </c>
      <c r="J971">
        <v>0</v>
      </c>
      <c r="K971" t="s">
        <v>42</v>
      </c>
      <c r="L971" t="s">
        <v>249</v>
      </c>
      <c r="M971" s="3">
        <f t="shared" si="45"/>
        <v>0</v>
      </c>
      <c r="N971" t="str">
        <f t="shared" si="46"/>
        <v>December</v>
      </c>
      <c r="O971" t="str">
        <f t="shared" si="47"/>
        <v>2023</v>
      </c>
      <c r="P971" s="3">
        <f>Table1[[#This Row],[Revenue]]-Table1[[#This Row],[Cost]]</f>
        <v>0</v>
      </c>
      <c r="Q97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72" spans="1:17" x14ac:dyDescent="0.2">
      <c r="A972" t="s">
        <v>193</v>
      </c>
      <c r="B972" s="1">
        <v>44934</v>
      </c>
      <c r="C972" t="s">
        <v>24</v>
      </c>
      <c r="D972" t="s">
        <v>267</v>
      </c>
      <c r="E972" t="s">
        <v>48</v>
      </c>
      <c r="F972" t="s">
        <v>39</v>
      </c>
      <c r="G972">
        <v>3</v>
      </c>
      <c r="H972">
        <f>Table1[[#This Row],[UnitPrice]]*0.7*Table1[[#This Row],[UnitsSold]]</f>
        <v>2136.3483191489358</v>
      </c>
      <c r="I972">
        <v>1017.3087234042553</v>
      </c>
      <c r="J972">
        <v>0</v>
      </c>
      <c r="K972" t="s">
        <v>16</v>
      </c>
      <c r="L972" t="s">
        <v>17</v>
      </c>
      <c r="M972" s="3">
        <f t="shared" si="45"/>
        <v>3051.926170212766</v>
      </c>
      <c r="N972" t="str">
        <f t="shared" si="46"/>
        <v>January</v>
      </c>
      <c r="O972" t="str">
        <f t="shared" si="47"/>
        <v>2023</v>
      </c>
      <c r="P972" s="3">
        <f>Table1[[#This Row],[Revenue]]-Table1[[#This Row],[Cost]]</f>
        <v>915.57785106383017</v>
      </c>
      <c r="Q972"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973" spans="1:17" x14ac:dyDescent="0.2">
      <c r="A973" t="s">
        <v>86</v>
      </c>
      <c r="B973" s="1">
        <v>45112</v>
      </c>
      <c r="C973" t="s">
        <v>24</v>
      </c>
      <c r="D973" t="s">
        <v>13</v>
      </c>
      <c r="E973" t="s">
        <v>14</v>
      </c>
      <c r="F973" t="s">
        <v>26</v>
      </c>
      <c r="G973">
        <v>1</v>
      </c>
      <c r="H973">
        <f>Table1[[#This Row],[UnitPrice]]*0.7*Table1[[#This Row],[UnitsSold]]</f>
        <v>702.00929787234043</v>
      </c>
      <c r="I973">
        <v>1002.870425531915</v>
      </c>
      <c r="J973">
        <v>0</v>
      </c>
      <c r="K973" t="s">
        <v>16</v>
      </c>
      <c r="L973" t="s">
        <v>22</v>
      </c>
      <c r="M973" s="3">
        <f t="shared" si="45"/>
        <v>1002.870425531915</v>
      </c>
      <c r="N973" t="str">
        <f t="shared" si="46"/>
        <v>July</v>
      </c>
      <c r="O973" t="str">
        <f t="shared" si="47"/>
        <v>2023</v>
      </c>
      <c r="P973" s="3">
        <f>Table1[[#This Row],[Revenue]]-Table1[[#This Row],[Cost]]</f>
        <v>300.86112765957455</v>
      </c>
      <c r="Q973"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974" spans="1:17" x14ac:dyDescent="0.2">
      <c r="A974" t="s">
        <v>84</v>
      </c>
      <c r="B974" s="1">
        <v>44935</v>
      </c>
      <c r="C974" t="s">
        <v>57</v>
      </c>
      <c r="D974" t="s">
        <v>19</v>
      </c>
      <c r="E974" t="s">
        <v>38</v>
      </c>
      <c r="F974" t="s">
        <v>34</v>
      </c>
      <c r="G974">
        <v>0</v>
      </c>
      <c r="H974">
        <f>Table1[[#This Row],[UnitPrice]]*0.7*Table1[[#This Row],[UnitsSold]]</f>
        <v>0</v>
      </c>
      <c r="I974">
        <v>936.79681818181825</v>
      </c>
      <c r="J974">
        <v>7.0000000000000007E-2</v>
      </c>
      <c r="K974" t="s">
        <v>248</v>
      </c>
      <c r="L974" t="s">
        <v>27</v>
      </c>
      <c r="M974" s="3">
        <f t="shared" si="45"/>
        <v>0</v>
      </c>
      <c r="N974" t="str">
        <f t="shared" si="46"/>
        <v>January</v>
      </c>
      <c r="O974" t="str">
        <f t="shared" si="47"/>
        <v>2023</v>
      </c>
      <c r="P974" s="3">
        <f>Table1[[#This Row],[Revenue]]-Table1[[#This Row],[Cost]]</f>
        <v>0</v>
      </c>
      <c r="Q97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75" spans="1:17" x14ac:dyDescent="0.2">
      <c r="A975" t="s">
        <v>86</v>
      </c>
      <c r="B975" s="1">
        <v>45239</v>
      </c>
      <c r="C975" t="s">
        <v>29</v>
      </c>
      <c r="D975" t="s">
        <v>19</v>
      </c>
      <c r="E975" t="s">
        <v>38</v>
      </c>
      <c r="F975" t="s">
        <v>34</v>
      </c>
      <c r="G975">
        <v>0</v>
      </c>
      <c r="H975">
        <f>Table1[[#This Row],[UnitPrice]]*0.7*Table1[[#This Row],[UnitsSold]]</f>
        <v>0</v>
      </c>
      <c r="I975">
        <v>936.79681818181825</v>
      </c>
      <c r="J975">
        <v>0</v>
      </c>
      <c r="K975" t="s">
        <v>16</v>
      </c>
      <c r="L975" t="s">
        <v>249</v>
      </c>
      <c r="M975" s="3">
        <f t="shared" si="45"/>
        <v>0</v>
      </c>
      <c r="N975" t="str">
        <f t="shared" si="46"/>
        <v>November</v>
      </c>
      <c r="O975" t="str">
        <f t="shared" si="47"/>
        <v>2023</v>
      </c>
      <c r="P975" s="3">
        <f>Table1[[#This Row],[Revenue]]-Table1[[#This Row],[Cost]]</f>
        <v>0</v>
      </c>
      <c r="Q97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76" spans="1:17" x14ac:dyDescent="0.2">
      <c r="A976" t="s">
        <v>151</v>
      </c>
      <c r="B976" s="1">
        <v>45262</v>
      </c>
      <c r="C976" t="s">
        <v>12</v>
      </c>
      <c r="D976" t="s">
        <v>19</v>
      </c>
      <c r="E976" t="s">
        <v>46</v>
      </c>
      <c r="F976" t="s">
        <v>26</v>
      </c>
      <c r="G976">
        <v>0</v>
      </c>
      <c r="H976">
        <f>Table1[[#This Row],[UnitPrice]]*0.7*Table1[[#This Row],[UnitsSold]]</f>
        <v>0</v>
      </c>
      <c r="I976">
        <v>1106.0261904761899</v>
      </c>
      <c r="J976">
        <v>0.17</v>
      </c>
      <c r="K976" t="s">
        <v>248</v>
      </c>
      <c r="L976" t="s">
        <v>249</v>
      </c>
      <c r="M976" s="3">
        <f t="shared" si="45"/>
        <v>0</v>
      </c>
      <c r="N976" t="str">
        <f t="shared" si="46"/>
        <v>December</v>
      </c>
      <c r="O976" t="str">
        <f t="shared" si="47"/>
        <v>2023</v>
      </c>
      <c r="P976" s="3">
        <f>Table1[[#This Row],[Revenue]]-Table1[[#This Row],[Cost]]</f>
        <v>0</v>
      </c>
      <c r="Q97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77" spans="1:17" x14ac:dyDescent="0.2">
      <c r="A977" t="s">
        <v>62</v>
      </c>
      <c r="B977" s="1">
        <v>45292</v>
      </c>
      <c r="C977" t="s">
        <v>24</v>
      </c>
      <c r="D977" t="s">
        <v>59</v>
      </c>
      <c r="E977" t="s">
        <v>46</v>
      </c>
      <c r="F977" t="s">
        <v>26</v>
      </c>
      <c r="G977">
        <v>0</v>
      </c>
      <c r="H977">
        <f>Table1[[#This Row],[UnitPrice]]*0.7*Table1[[#This Row],[UnitsSold]]</f>
        <v>0</v>
      </c>
      <c r="I977">
        <v>99.02</v>
      </c>
      <c r="J977">
        <v>0.1</v>
      </c>
      <c r="K977" t="s">
        <v>248</v>
      </c>
      <c r="L977" t="s">
        <v>22</v>
      </c>
      <c r="M977" s="3">
        <f t="shared" si="45"/>
        <v>0</v>
      </c>
      <c r="N977" t="str">
        <f t="shared" si="46"/>
        <v>January</v>
      </c>
      <c r="O977" t="str">
        <f t="shared" si="47"/>
        <v>2024</v>
      </c>
      <c r="P977" s="3">
        <f>Table1[[#This Row],[Revenue]]-Table1[[#This Row],[Cost]]</f>
        <v>0</v>
      </c>
      <c r="Q97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78" spans="1:17" x14ac:dyDescent="0.2">
      <c r="A978" t="s">
        <v>122</v>
      </c>
      <c r="B978" s="1">
        <v>45188</v>
      </c>
      <c r="C978" t="s">
        <v>12</v>
      </c>
      <c r="D978" t="s">
        <v>19</v>
      </c>
      <c r="E978" t="s">
        <v>247</v>
      </c>
      <c r="F978" t="s">
        <v>26</v>
      </c>
      <c r="G978">
        <v>0</v>
      </c>
      <c r="H978">
        <f>Table1[[#This Row],[UnitPrice]]*0.7*Table1[[#This Row],[UnitsSold]]</f>
        <v>0</v>
      </c>
      <c r="I978">
        <v>981.36020408163256</v>
      </c>
      <c r="J978">
        <v>0</v>
      </c>
      <c r="K978" t="s">
        <v>42</v>
      </c>
      <c r="L978" t="s">
        <v>55</v>
      </c>
      <c r="M978" s="3">
        <f t="shared" si="45"/>
        <v>0</v>
      </c>
      <c r="N978" t="str">
        <f t="shared" si="46"/>
        <v>September</v>
      </c>
      <c r="O978" t="str">
        <f t="shared" si="47"/>
        <v>2023</v>
      </c>
      <c r="P978" s="3">
        <f>Table1[[#This Row],[Revenue]]-Table1[[#This Row],[Cost]]</f>
        <v>0</v>
      </c>
      <c r="Q97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79" spans="1:17" x14ac:dyDescent="0.2">
      <c r="A979" t="s">
        <v>245</v>
      </c>
      <c r="B979" s="1">
        <v>44939</v>
      </c>
      <c r="C979" t="s">
        <v>29</v>
      </c>
      <c r="D979" t="s">
        <v>31</v>
      </c>
      <c r="E979" t="s">
        <v>25</v>
      </c>
      <c r="F979" t="s">
        <v>26</v>
      </c>
      <c r="G979">
        <v>0</v>
      </c>
      <c r="H979">
        <f>Table1[[#This Row],[UnitPrice]]*0.7*Table1[[#This Row],[UnitsSold]]</f>
        <v>0</v>
      </c>
      <c r="I979">
        <v>961.05661016949136</v>
      </c>
      <c r="J979">
        <v>0</v>
      </c>
      <c r="K979" t="s">
        <v>248</v>
      </c>
      <c r="L979" t="s">
        <v>27</v>
      </c>
      <c r="M979" s="3">
        <f t="shared" si="45"/>
        <v>0</v>
      </c>
      <c r="N979" t="str">
        <f t="shared" si="46"/>
        <v>January</v>
      </c>
      <c r="O979" t="str">
        <f t="shared" si="47"/>
        <v>2023</v>
      </c>
      <c r="P979" s="3">
        <f>Table1[[#This Row],[Revenue]]-Table1[[#This Row],[Cost]]</f>
        <v>0</v>
      </c>
      <c r="Q97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80" spans="1:17" x14ac:dyDescent="0.2">
      <c r="A980" t="s">
        <v>72</v>
      </c>
      <c r="B980" s="1">
        <v>45115</v>
      </c>
      <c r="C980" t="s">
        <v>12</v>
      </c>
      <c r="D980" t="s">
        <v>59</v>
      </c>
      <c r="E980" t="s">
        <v>247</v>
      </c>
      <c r="F980" t="s">
        <v>26</v>
      </c>
      <c r="G980">
        <v>1</v>
      </c>
      <c r="H980">
        <f>Table1[[#This Row],[UnitPrice]]*0.7*Table1[[#This Row],[UnitsSold]]</f>
        <v>686.9521428571428</v>
      </c>
      <c r="I980">
        <v>981.36020408163256</v>
      </c>
      <c r="J980">
        <v>0</v>
      </c>
      <c r="K980" t="s">
        <v>248</v>
      </c>
      <c r="L980" t="s">
        <v>17</v>
      </c>
      <c r="M980" s="3">
        <f t="shared" si="45"/>
        <v>981.36020408163256</v>
      </c>
      <c r="N980" t="str">
        <f t="shared" si="46"/>
        <v>July</v>
      </c>
      <c r="O980" t="str">
        <f t="shared" si="47"/>
        <v>2023</v>
      </c>
      <c r="P980" s="3">
        <f>Table1[[#This Row],[Revenue]]-Table1[[#This Row],[Cost]]</f>
        <v>294.40806122448976</v>
      </c>
      <c r="Q980"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981" spans="1:17" x14ac:dyDescent="0.2">
      <c r="A981" t="s">
        <v>195</v>
      </c>
      <c r="B981" s="1">
        <v>45103</v>
      </c>
      <c r="C981" t="s">
        <v>37</v>
      </c>
      <c r="D981" t="s">
        <v>83</v>
      </c>
      <c r="E981" t="s">
        <v>25</v>
      </c>
      <c r="F981" t="s">
        <v>26</v>
      </c>
      <c r="G981">
        <v>0</v>
      </c>
      <c r="H981">
        <f>Table1[[#This Row],[UnitPrice]]*0.7*Table1[[#This Row],[UnitsSold]]</f>
        <v>0</v>
      </c>
      <c r="I981">
        <v>961.05661016949136</v>
      </c>
      <c r="J981">
        <v>0</v>
      </c>
      <c r="K981" t="s">
        <v>16</v>
      </c>
      <c r="L981" t="s">
        <v>27</v>
      </c>
      <c r="M981" s="3">
        <f t="shared" si="45"/>
        <v>0</v>
      </c>
      <c r="N981" t="str">
        <f t="shared" si="46"/>
        <v>June</v>
      </c>
      <c r="O981" t="str">
        <f t="shared" si="47"/>
        <v>2023</v>
      </c>
      <c r="P981" s="3">
        <f>Table1[[#This Row],[Revenue]]-Table1[[#This Row],[Cost]]</f>
        <v>0</v>
      </c>
      <c r="Q981"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82" spans="1:17" x14ac:dyDescent="0.2">
      <c r="A982" t="s">
        <v>81</v>
      </c>
      <c r="B982" s="1">
        <v>45216</v>
      </c>
      <c r="C982" t="s">
        <v>57</v>
      </c>
      <c r="D982" t="s">
        <v>31</v>
      </c>
      <c r="E982" t="s">
        <v>48</v>
      </c>
      <c r="F982" t="s">
        <v>39</v>
      </c>
      <c r="G982">
        <v>17</v>
      </c>
      <c r="H982">
        <f>Table1[[#This Row],[UnitPrice]]*0.7*Table1[[#This Row],[UnitsSold]]</f>
        <v>12105.973808510636</v>
      </c>
      <c r="I982">
        <v>1017.3087234042553</v>
      </c>
      <c r="J982">
        <v>0</v>
      </c>
      <c r="K982" t="s">
        <v>52</v>
      </c>
      <c r="L982" t="s">
        <v>55</v>
      </c>
      <c r="M982" s="3">
        <f t="shared" si="45"/>
        <v>17294.248297872338</v>
      </c>
      <c r="N982" t="str">
        <f t="shared" si="46"/>
        <v>October</v>
      </c>
      <c r="O982" t="str">
        <f t="shared" si="47"/>
        <v>2023</v>
      </c>
      <c r="P982" s="3">
        <f>Table1[[#This Row],[Revenue]]-Table1[[#This Row],[Cost]]</f>
        <v>5188.2744893617019</v>
      </c>
      <c r="Q98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983" spans="1:17" x14ac:dyDescent="0.2">
      <c r="A983" t="s">
        <v>231</v>
      </c>
      <c r="B983" s="1">
        <v>45221</v>
      </c>
      <c r="C983" t="s">
        <v>24</v>
      </c>
      <c r="D983" t="s">
        <v>19</v>
      </c>
      <c r="E983" t="s">
        <v>14</v>
      </c>
      <c r="F983" t="s">
        <v>26</v>
      </c>
      <c r="G983">
        <v>12</v>
      </c>
      <c r="H983">
        <f>Table1[[#This Row],[UnitPrice]]*0.7*Table1[[#This Row],[UnitsSold]]</f>
        <v>8424.1115744680847</v>
      </c>
      <c r="I983">
        <v>1002.870425531915</v>
      </c>
      <c r="J983">
        <v>0</v>
      </c>
      <c r="K983" t="s">
        <v>16</v>
      </c>
      <c r="L983" t="s">
        <v>22</v>
      </c>
      <c r="M983" s="3">
        <f t="shared" si="45"/>
        <v>12034.44510638298</v>
      </c>
      <c r="N983" t="str">
        <f t="shared" si="46"/>
        <v>October</v>
      </c>
      <c r="O983" t="str">
        <f t="shared" si="47"/>
        <v>2023</v>
      </c>
      <c r="P983" s="3">
        <f>Table1[[#This Row],[Revenue]]-Table1[[#This Row],[Cost]]</f>
        <v>3610.3335319148955</v>
      </c>
      <c r="Q983"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984" spans="1:17" x14ac:dyDescent="0.2">
      <c r="A984" t="s">
        <v>210</v>
      </c>
      <c r="B984" s="1">
        <v>45136</v>
      </c>
      <c r="C984" t="s">
        <v>29</v>
      </c>
      <c r="D984" t="s">
        <v>19</v>
      </c>
      <c r="E984" t="s">
        <v>14</v>
      </c>
      <c r="F984" t="s">
        <v>26</v>
      </c>
      <c r="G984">
        <v>17</v>
      </c>
      <c r="H984">
        <f>Table1[[#This Row],[UnitPrice]]*0.7*Table1[[#This Row],[UnitsSold]]</f>
        <v>11934.158063829787</v>
      </c>
      <c r="I984">
        <v>1002.870425531915</v>
      </c>
      <c r="J984">
        <v>0.15</v>
      </c>
      <c r="K984" t="s">
        <v>42</v>
      </c>
      <c r="L984" t="s">
        <v>22</v>
      </c>
      <c r="M984" s="3">
        <f t="shared" si="45"/>
        <v>14491.477648936172</v>
      </c>
      <c r="N984" t="str">
        <f t="shared" si="46"/>
        <v>July</v>
      </c>
      <c r="O984" t="str">
        <f t="shared" si="47"/>
        <v>2023</v>
      </c>
      <c r="P984" s="3">
        <f>Table1[[#This Row],[Revenue]]-Table1[[#This Row],[Cost]]</f>
        <v>2557.3195851063847</v>
      </c>
      <c r="Q984" s="6">
        <f>IF(Table1[[#This Row],[UnitsSold]]*Table1[[#This Row],[UnitPrice]]*(1-Table1[[#This Row],[Discount]])=0, 0, ((Table1[[#This Row],[UnitsSold]]*Table1[[#This Row],[UnitPrice]]*(1-Table1[[#This Row],[Discount]])) - (Table1[[#This Row],[UnitsSold]]*Table1[[#This Row],[UnitPrice]]*0.7)) / (Table1[[#This Row],[UnitsSold]]*Table1[[#This Row],[UnitPrice]]*(1-Table1[[#This Row],[Discount]])))</f>
        <v>0.17647058823529421</v>
      </c>
    </row>
    <row r="985" spans="1:17" x14ac:dyDescent="0.2">
      <c r="A985" t="s">
        <v>96</v>
      </c>
      <c r="B985" s="1">
        <v>45218</v>
      </c>
      <c r="C985" t="s">
        <v>246</v>
      </c>
      <c r="D985" t="s">
        <v>31</v>
      </c>
      <c r="E985" t="s">
        <v>247</v>
      </c>
      <c r="F985" t="s">
        <v>26</v>
      </c>
      <c r="G985">
        <v>0</v>
      </c>
      <c r="H985">
        <f>Table1[[#This Row],[UnitPrice]]*0.7*Table1[[#This Row],[UnitsSold]]</f>
        <v>0</v>
      </c>
      <c r="I985">
        <v>981.36020408163256</v>
      </c>
      <c r="J985">
        <v>0</v>
      </c>
      <c r="K985" t="s">
        <v>52</v>
      </c>
      <c r="L985" t="s">
        <v>27</v>
      </c>
      <c r="M985" s="3">
        <f t="shared" si="45"/>
        <v>0</v>
      </c>
      <c r="N985" t="str">
        <f t="shared" si="46"/>
        <v>October</v>
      </c>
      <c r="O985" t="str">
        <f t="shared" si="47"/>
        <v>2023</v>
      </c>
      <c r="P985" s="3">
        <f>Table1[[#This Row],[Revenue]]-Table1[[#This Row],[Cost]]</f>
        <v>0</v>
      </c>
      <c r="Q985"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86" spans="1:17" x14ac:dyDescent="0.2">
      <c r="A986" t="s">
        <v>236</v>
      </c>
      <c r="B986" s="1">
        <v>45136</v>
      </c>
      <c r="C986" t="s">
        <v>57</v>
      </c>
      <c r="D986" t="s">
        <v>31</v>
      </c>
      <c r="E986" t="s">
        <v>247</v>
      </c>
      <c r="F986" t="s">
        <v>26</v>
      </c>
      <c r="G986">
        <v>0</v>
      </c>
      <c r="H986">
        <f>Table1[[#This Row],[UnitPrice]]*0.7*Table1[[#This Row],[UnitsSold]]</f>
        <v>0</v>
      </c>
      <c r="I986">
        <v>1764.07</v>
      </c>
      <c r="J986">
        <v>0</v>
      </c>
      <c r="K986" t="s">
        <v>16</v>
      </c>
      <c r="L986" t="s">
        <v>249</v>
      </c>
      <c r="M986" s="3">
        <f t="shared" si="45"/>
        <v>0</v>
      </c>
      <c r="N986" t="str">
        <f t="shared" si="46"/>
        <v>July</v>
      </c>
      <c r="O986" t="str">
        <f t="shared" si="47"/>
        <v>2023</v>
      </c>
      <c r="P986" s="3">
        <f>Table1[[#This Row],[Revenue]]-Table1[[#This Row],[Cost]]</f>
        <v>0</v>
      </c>
      <c r="Q98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87" spans="1:17" x14ac:dyDescent="0.2">
      <c r="A987" t="s">
        <v>131</v>
      </c>
      <c r="B987" s="1">
        <v>45141</v>
      </c>
      <c r="C987" t="s">
        <v>24</v>
      </c>
      <c r="D987" t="s">
        <v>267</v>
      </c>
      <c r="E987" t="s">
        <v>44</v>
      </c>
      <c r="F987" t="s">
        <v>26</v>
      </c>
      <c r="G987">
        <v>4</v>
      </c>
      <c r="H987">
        <f>Table1[[#This Row],[UnitPrice]]*0.7*Table1[[#This Row],[UnitsSold]]</f>
        <v>3022.814468085106</v>
      </c>
      <c r="I987">
        <v>1079.5765957446808</v>
      </c>
      <c r="J987">
        <v>0.01</v>
      </c>
      <c r="K987" t="s">
        <v>16</v>
      </c>
      <c r="L987" t="s">
        <v>249</v>
      </c>
      <c r="M987" s="3">
        <f t="shared" si="45"/>
        <v>4275.1233191489364</v>
      </c>
      <c r="N987" t="str">
        <f t="shared" si="46"/>
        <v>August</v>
      </c>
      <c r="O987" t="str">
        <f t="shared" si="47"/>
        <v>2023</v>
      </c>
      <c r="P987" s="3">
        <f>Table1[[#This Row],[Revenue]]-Table1[[#This Row],[Cost]]</f>
        <v>1252.3088510638304</v>
      </c>
      <c r="Q987" s="6">
        <f>IF(Table1[[#This Row],[UnitsSold]]*Table1[[#This Row],[UnitPrice]]*(1-Table1[[#This Row],[Discount]])=0, 0, ((Table1[[#This Row],[UnitsSold]]*Table1[[#This Row],[UnitPrice]]*(1-Table1[[#This Row],[Discount]])) - (Table1[[#This Row],[UnitsSold]]*Table1[[#This Row],[UnitPrice]]*0.7)) / (Table1[[#This Row],[UnitsSold]]*Table1[[#This Row],[UnitPrice]]*(1-Table1[[#This Row],[Discount]])))</f>
        <v>0.29292929292929304</v>
      </c>
    </row>
    <row r="988" spans="1:17" x14ac:dyDescent="0.2">
      <c r="A988" t="s">
        <v>145</v>
      </c>
      <c r="B988" s="1">
        <v>45198</v>
      </c>
      <c r="C988" t="s">
        <v>57</v>
      </c>
      <c r="D988" t="s">
        <v>83</v>
      </c>
      <c r="E988" t="s">
        <v>14</v>
      </c>
      <c r="F988" t="s">
        <v>26</v>
      </c>
      <c r="G988">
        <v>0</v>
      </c>
      <c r="H988">
        <f>Table1[[#This Row],[UnitPrice]]*0.7*Table1[[#This Row],[UnitsSold]]</f>
        <v>0</v>
      </c>
      <c r="I988">
        <v>1002.870425531915</v>
      </c>
      <c r="J988">
        <v>0</v>
      </c>
      <c r="K988" t="s">
        <v>52</v>
      </c>
      <c r="L988" t="s">
        <v>17</v>
      </c>
      <c r="M988" s="3">
        <f t="shared" si="45"/>
        <v>0</v>
      </c>
      <c r="N988" t="str">
        <f t="shared" si="46"/>
        <v>September</v>
      </c>
      <c r="O988" t="str">
        <f t="shared" si="47"/>
        <v>2023</v>
      </c>
      <c r="P988" s="3">
        <f>Table1[[#This Row],[Revenue]]-Table1[[#This Row],[Cost]]</f>
        <v>0</v>
      </c>
      <c r="Q98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89" spans="1:17" x14ac:dyDescent="0.2">
      <c r="A989" t="s">
        <v>124</v>
      </c>
      <c r="B989" s="1">
        <v>45242</v>
      </c>
      <c r="C989" t="s">
        <v>12</v>
      </c>
      <c r="D989" t="s">
        <v>13</v>
      </c>
      <c r="E989" t="s">
        <v>46</v>
      </c>
      <c r="F989" t="s">
        <v>26</v>
      </c>
      <c r="G989">
        <v>0</v>
      </c>
      <c r="H989">
        <f>Table1[[#This Row],[UnitPrice]]*0.7*Table1[[#This Row],[UnitsSold]]</f>
        <v>0</v>
      </c>
      <c r="I989">
        <v>1106.0261904761899</v>
      </c>
      <c r="J989">
        <v>0</v>
      </c>
      <c r="K989" t="s">
        <v>52</v>
      </c>
      <c r="L989" t="s">
        <v>22</v>
      </c>
      <c r="M989" s="3">
        <f t="shared" si="45"/>
        <v>0</v>
      </c>
      <c r="N989" t="str">
        <f t="shared" si="46"/>
        <v>November</v>
      </c>
      <c r="O989" t="str">
        <f t="shared" si="47"/>
        <v>2023</v>
      </c>
      <c r="P989" s="3">
        <f>Table1[[#This Row],[Revenue]]-Table1[[#This Row],[Cost]]</f>
        <v>0</v>
      </c>
      <c r="Q98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90" spans="1:17" x14ac:dyDescent="0.2">
      <c r="A990" t="s">
        <v>244</v>
      </c>
      <c r="B990" s="1">
        <v>44995</v>
      </c>
      <c r="C990" t="s">
        <v>246</v>
      </c>
      <c r="D990" t="s">
        <v>13</v>
      </c>
      <c r="E990" t="s">
        <v>25</v>
      </c>
      <c r="F990" t="s">
        <v>26</v>
      </c>
      <c r="G990">
        <v>17</v>
      </c>
      <c r="H990">
        <f>Table1[[#This Row],[UnitPrice]]*0.7*Table1[[#This Row],[UnitsSold]]</f>
        <v>3724.5809999999997</v>
      </c>
      <c r="I990">
        <v>312.99</v>
      </c>
      <c r="J990">
        <v>0</v>
      </c>
      <c r="K990" t="s">
        <v>283</v>
      </c>
      <c r="L990" t="s">
        <v>22</v>
      </c>
      <c r="M990" s="3">
        <f t="shared" si="45"/>
        <v>5320.83</v>
      </c>
      <c r="N990" t="str">
        <f t="shared" si="46"/>
        <v>March</v>
      </c>
      <c r="O990" t="str">
        <f t="shared" si="47"/>
        <v>2023</v>
      </c>
      <c r="P990" s="3">
        <f>Table1[[#This Row],[Revenue]]-Table1[[#This Row],[Cost]]</f>
        <v>1596.2490000000003</v>
      </c>
      <c r="Q990"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991" spans="1:17" x14ac:dyDescent="0.2">
      <c r="A991" t="s">
        <v>28</v>
      </c>
      <c r="B991" s="1">
        <v>45091</v>
      </c>
      <c r="C991" t="s">
        <v>57</v>
      </c>
      <c r="D991" t="s">
        <v>19</v>
      </c>
      <c r="E991" t="s">
        <v>44</v>
      </c>
      <c r="F991" t="s">
        <v>26</v>
      </c>
      <c r="G991">
        <v>9</v>
      </c>
      <c r="H991">
        <f>Table1[[#This Row],[UnitPrice]]*0.7*Table1[[#This Row],[UnitsSold]]</f>
        <v>6801.3325531914888</v>
      </c>
      <c r="I991">
        <v>1079.5765957446808</v>
      </c>
      <c r="J991">
        <v>0</v>
      </c>
      <c r="K991" t="s">
        <v>248</v>
      </c>
      <c r="L991" t="s">
        <v>17</v>
      </c>
      <c r="M991" s="3">
        <f t="shared" si="45"/>
        <v>9716.1893617021269</v>
      </c>
      <c r="N991" t="str">
        <f t="shared" si="46"/>
        <v>June</v>
      </c>
      <c r="O991" t="str">
        <f t="shared" si="47"/>
        <v>2023</v>
      </c>
      <c r="P991" s="3">
        <f>Table1[[#This Row],[Revenue]]-Table1[[#This Row],[Cost]]</f>
        <v>2914.8568085106381</v>
      </c>
      <c r="Q991" s="6">
        <f>IF(Table1[[#This Row],[UnitsSold]]*Table1[[#This Row],[UnitPrice]]*(1-Table1[[#This Row],[Discount]])=0, 0, ((Table1[[#This Row],[UnitsSold]]*Table1[[#This Row],[UnitPrice]]*(1-Table1[[#This Row],[Discount]])) - (Table1[[#This Row],[UnitsSold]]*Table1[[#This Row],[UnitPrice]]*0.7)) / (Table1[[#This Row],[UnitsSold]]*Table1[[#This Row],[UnitPrice]]*(1-Table1[[#This Row],[Discount]])))</f>
        <v>0.3</v>
      </c>
    </row>
    <row r="992" spans="1:17" x14ac:dyDescent="0.2">
      <c r="A992" t="s">
        <v>220</v>
      </c>
      <c r="B992" s="1">
        <v>45187</v>
      </c>
      <c r="C992" t="s">
        <v>57</v>
      </c>
      <c r="D992" t="s">
        <v>59</v>
      </c>
      <c r="E992" t="s">
        <v>14</v>
      </c>
      <c r="F992" t="s">
        <v>26</v>
      </c>
      <c r="G992">
        <v>11</v>
      </c>
      <c r="H992">
        <f>Table1[[#This Row],[UnitPrice]]*0.7*Table1[[#This Row],[UnitsSold]]</f>
        <v>14687.672999999999</v>
      </c>
      <c r="I992">
        <v>1907.49</v>
      </c>
      <c r="J992">
        <v>0</v>
      </c>
      <c r="K992" t="s">
        <v>283</v>
      </c>
      <c r="L992" t="s">
        <v>249</v>
      </c>
      <c r="M992" s="3">
        <f t="shared" si="45"/>
        <v>20982.39</v>
      </c>
      <c r="N992" t="str">
        <f t="shared" si="46"/>
        <v>September</v>
      </c>
      <c r="O992" t="str">
        <f t="shared" si="47"/>
        <v>2023</v>
      </c>
      <c r="P992" s="3">
        <f>Table1[[#This Row],[Revenue]]-Table1[[#This Row],[Cost]]</f>
        <v>6294.7170000000006</v>
      </c>
      <c r="Q992"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993" spans="1:17" x14ac:dyDescent="0.2">
      <c r="A993" t="s">
        <v>234</v>
      </c>
      <c r="B993" s="1">
        <v>45192</v>
      </c>
      <c r="C993" t="s">
        <v>24</v>
      </c>
      <c r="D993" t="s">
        <v>31</v>
      </c>
      <c r="E993" t="s">
        <v>44</v>
      </c>
      <c r="F993" t="s">
        <v>26</v>
      </c>
      <c r="G993">
        <v>0</v>
      </c>
      <c r="H993">
        <f>Table1[[#This Row],[UnitPrice]]*0.7*Table1[[#This Row],[UnitsSold]]</f>
        <v>0</v>
      </c>
      <c r="I993">
        <v>576.73</v>
      </c>
      <c r="J993">
        <v>0</v>
      </c>
      <c r="K993" t="s">
        <v>42</v>
      </c>
      <c r="L993" t="s">
        <v>249</v>
      </c>
      <c r="M993" s="3">
        <f t="shared" si="45"/>
        <v>0</v>
      </c>
      <c r="N993" t="str">
        <f t="shared" si="46"/>
        <v>September</v>
      </c>
      <c r="O993" t="str">
        <f t="shared" si="47"/>
        <v>2023</v>
      </c>
      <c r="P993" s="3">
        <f>Table1[[#This Row],[Revenue]]-Table1[[#This Row],[Cost]]</f>
        <v>0</v>
      </c>
      <c r="Q993"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94" spans="1:17" x14ac:dyDescent="0.2">
      <c r="A994" t="s">
        <v>187</v>
      </c>
      <c r="B994" s="1">
        <v>45074</v>
      </c>
      <c r="C994" t="s">
        <v>24</v>
      </c>
      <c r="D994" t="s">
        <v>31</v>
      </c>
      <c r="E994" t="s">
        <v>25</v>
      </c>
      <c r="F994" t="s">
        <v>26</v>
      </c>
      <c r="G994">
        <v>0</v>
      </c>
      <c r="H994">
        <f>Table1[[#This Row],[UnitPrice]]*0.7*Table1[[#This Row],[UnitsSold]]</f>
        <v>0</v>
      </c>
      <c r="I994">
        <v>564.47</v>
      </c>
      <c r="J994">
        <v>0</v>
      </c>
      <c r="K994" t="s">
        <v>16</v>
      </c>
      <c r="L994" t="s">
        <v>27</v>
      </c>
      <c r="M994" s="3">
        <f t="shared" si="45"/>
        <v>0</v>
      </c>
      <c r="N994" t="str">
        <f t="shared" si="46"/>
        <v>May</v>
      </c>
      <c r="O994" t="str">
        <f t="shared" si="47"/>
        <v>2023</v>
      </c>
      <c r="P994" s="3">
        <f>Table1[[#This Row],[Revenue]]-Table1[[#This Row],[Cost]]</f>
        <v>0</v>
      </c>
      <c r="Q994"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95" spans="1:17" x14ac:dyDescent="0.2">
      <c r="A995" t="s">
        <v>109</v>
      </c>
      <c r="B995" s="1">
        <v>44947</v>
      </c>
      <c r="C995" t="s">
        <v>37</v>
      </c>
      <c r="D995" t="s">
        <v>19</v>
      </c>
      <c r="E995" t="s">
        <v>38</v>
      </c>
      <c r="F995" t="s">
        <v>34</v>
      </c>
      <c r="G995">
        <v>12</v>
      </c>
      <c r="H995">
        <f>Table1[[#This Row],[UnitPrice]]*0.7*Table1[[#This Row],[UnitsSold]]</f>
        <v>7869.0932727272721</v>
      </c>
      <c r="I995">
        <v>936.79681818181825</v>
      </c>
      <c r="J995">
        <v>0</v>
      </c>
      <c r="K995" t="s">
        <v>248</v>
      </c>
      <c r="L995" t="s">
        <v>249</v>
      </c>
      <c r="M995" s="3">
        <f t="shared" si="45"/>
        <v>11241.561818181819</v>
      </c>
      <c r="N995" t="str">
        <f t="shared" si="46"/>
        <v>January</v>
      </c>
      <c r="O995" t="str">
        <f t="shared" si="47"/>
        <v>2023</v>
      </c>
      <c r="P995" s="3">
        <f>Table1[[#This Row],[Revenue]]-Table1[[#This Row],[Cost]]</f>
        <v>3372.468545454547</v>
      </c>
      <c r="Q995" s="6">
        <f>IF(Table1[[#This Row],[UnitsSold]]*Table1[[#This Row],[UnitPrice]]*(1-Table1[[#This Row],[Discount]])=0, 0, ((Table1[[#This Row],[UnitsSold]]*Table1[[#This Row],[UnitPrice]]*(1-Table1[[#This Row],[Discount]])) - (Table1[[#This Row],[UnitsSold]]*Table1[[#This Row],[UnitPrice]]*0.7)) / (Table1[[#This Row],[UnitsSold]]*Table1[[#This Row],[UnitPrice]]*(1-Table1[[#This Row],[Discount]])))</f>
        <v>0.30000000000000004</v>
      </c>
    </row>
    <row r="996" spans="1:17" x14ac:dyDescent="0.2">
      <c r="A996" t="s">
        <v>125</v>
      </c>
      <c r="B996" s="1">
        <v>45078</v>
      </c>
      <c r="C996" t="s">
        <v>12</v>
      </c>
      <c r="D996" t="s">
        <v>13</v>
      </c>
      <c r="E996" t="s">
        <v>48</v>
      </c>
      <c r="F996" t="s">
        <v>39</v>
      </c>
      <c r="G996">
        <v>0</v>
      </c>
      <c r="H996">
        <f>Table1[[#This Row],[UnitPrice]]*0.7*Table1[[#This Row],[UnitsSold]]</f>
        <v>0</v>
      </c>
      <c r="I996">
        <v>991.58</v>
      </c>
      <c r="J996">
        <v>0</v>
      </c>
      <c r="K996" t="s">
        <v>283</v>
      </c>
      <c r="L996" t="s">
        <v>27</v>
      </c>
      <c r="M996" s="3">
        <f t="shared" si="45"/>
        <v>0</v>
      </c>
      <c r="N996" t="str">
        <f t="shared" si="46"/>
        <v>June</v>
      </c>
      <c r="O996" t="str">
        <f t="shared" si="47"/>
        <v>2023</v>
      </c>
      <c r="P996" s="3">
        <f>Table1[[#This Row],[Revenue]]-Table1[[#This Row],[Cost]]</f>
        <v>0</v>
      </c>
      <c r="Q996"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97" spans="1:17" x14ac:dyDescent="0.2">
      <c r="A997" t="s">
        <v>127</v>
      </c>
      <c r="B997" s="1">
        <v>44967</v>
      </c>
      <c r="C997" t="s">
        <v>37</v>
      </c>
      <c r="D997" t="s">
        <v>13</v>
      </c>
      <c r="E997" t="s">
        <v>46</v>
      </c>
      <c r="F997" t="s">
        <v>26</v>
      </c>
      <c r="G997">
        <v>0</v>
      </c>
      <c r="H997">
        <f>Table1[[#This Row],[UnitPrice]]*0.7*Table1[[#This Row],[UnitsSold]]</f>
        <v>0</v>
      </c>
      <c r="I997">
        <v>1106.0261904761899</v>
      </c>
      <c r="J997">
        <v>0</v>
      </c>
      <c r="K997" t="s">
        <v>283</v>
      </c>
      <c r="L997" t="s">
        <v>27</v>
      </c>
      <c r="M997" s="3">
        <f t="shared" si="45"/>
        <v>0</v>
      </c>
      <c r="N997" t="str">
        <f t="shared" si="46"/>
        <v>February</v>
      </c>
      <c r="O997" t="str">
        <f t="shared" si="47"/>
        <v>2023</v>
      </c>
      <c r="P997" s="3">
        <f>Table1[[#This Row],[Revenue]]-Table1[[#This Row],[Cost]]</f>
        <v>0</v>
      </c>
      <c r="Q997"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98" spans="1:17" x14ac:dyDescent="0.2">
      <c r="A998" t="s">
        <v>157</v>
      </c>
      <c r="B998" s="1">
        <v>45279</v>
      </c>
      <c r="C998" t="s">
        <v>29</v>
      </c>
      <c r="D998" t="s">
        <v>19</v>
      </c>
      <c r="E998" t="s">
        <v>38</v>
      </c>
      <c r="F998" t="s">
        <v>34</v>
      </c>
      <c r="G998">
        <v>0</v>
      </c>
      <c r="H998">
        <f>Table1[[#This Row],[UnitPrice]]*0.7*Table1[[#This Row],[UnitsSold]]</f>
        <v>0</v>
      </c>
      <c r="I998">
        <v>936.79681818181825</v>
      </c>
      <c r="J998">
        <v>0</v>
      </c>
      <c r="K998" t="s">
        <v>16</v>
      </c>
      <c r="L998" t="s">
        <v>27</v>
      </c>
      <c r="M998" s="3">
        <f t="shared" si="45"/>
        <v>0</v>
      </c>
      <c r="N998" t="str">
        <f t="shared" si="46"/>
        <v>December</v>
      </c>
      <c r="O998" t="str">
        <f t="shared" si="47"/>
        <v>2023</v>
      </c>
      <c r="P998" s="3">
        <f>Table1[[#This Row],[Revenue]]-Table1[[#This Row],[Cost]]</f>
        <v>0</v>
      </c>
      <c r="Q998"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row r="999" spans="1:17" x14ac:dyDescent="0.2">
      <c r="A999" t="s">
        <v>61</v>
      </c>
      <c r="B999" s="1">
        <v>44997</v>
      </c>
      <c r="C999" t="s">
        <v>57</v>
      </c>
      <c r="D999" t="s">
        <v>267</v>
      </c>
      <c r="E999" t="s">
        <v>247</v>
      </c>
      <c r="F999" t="s">
        <v>26</v>
      </c>
      <c r="G999">
        <v>0</v>
      </c>
      <c r="H999">
        <f>Table1[[#This Row],[UnitPrice]]*0.7*Table1[[#This Row],[UnitsSold]]</f>
        <v>0</v>
      </c>
      <c r="I999">
        <v>311.35000000000002</v>
      </c>
      <c r="J999">
        <v>0</v>
      </c>
      <c r="K999" t="s">
        <v>16</v>
      </c>
      <c r="L999" t="s">
        <v>249</v>
      </c>
      <c r="M999" s="3">
        <f t="shared" si="45"/>
        <v>0</v>
      </c>
      <c r="N999" t="str">
        <f t="shared" si="46"/>
        <v>March</v>
      </c>
      <c r="O999" t="str">
        <f t="shared" si="47"/>
        <v>2023</v>
      </c>
      <c r="P999" s="3">
        <f>Table1[[#This Row],[Revenue]]-Table1[[#This Row],[Cost]]</f>
        <v>0</v>
      </c>
      <c r="Q999" s="6">
        <f>IF(Table1[[#This Row],[UnitsSold]]*Table1[[#This Row],[UnitPrice]]*(1-Table1[[#This Row],[Discount]])=0, 0, ((Table1[[#This Row],[UnitsSold]]*Table1[[#This Row],[UnitPrice]]*(1-Table1[[#This Row],[Discount]])) - (Table1[[#This Row],[UnitsSold]]*Table1[[#This Row],[UnitPrice]]*0.7)) / (Table1[[#This Row],[UnitsSold]]*Table1[[#This Row],[UnitPrice]]*(1-Table1[[#This Row],[Discount]])))</f>
        <v>0</v>
      </c>
    </row>
  </sheetData>
  <phoneticPr fontId="19" type="noConversion"/>
  <conditionalFormatting sqref="Q1:Q999">
    <cfRule type="iconSet" priority="1">
      <iconSet iconSet="3Flags">
        <cfvo type="percent" val="0"/>
        <cfvo type="percent" val="33"/>
        <cfvo type="percent" val="67"/>
      </iconSet>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5FC3D-7ADB-424F-A1AE-752EA819FBF6}">
  <dimension ref="A1:T36"/>
  <sheetViews>
    <sheetView showGridLines="0" showRowColHeaders="0" tabSelected="1" zoomScale="93" zoomScaleNormal="93" workbookViewId="0">
      <selection activeCell="B32" sqref="B32"/>
    </sheetView>
  </sheetViews>
  <sheetFormatPr baseColWidth="10" defaultRowHeight="16" x14ac:dyDescent="0.2"/>
  <cols>
    <col min="1" max="1" width="13.83203125" bestFit="1" customWidth="1"/>
    <col min="2" max="2" width="9.1640625" bestFit="1" customWidth="1"/>
    <col min="3" max="3" width="25.1640625" customWidth="1"/>
    <col min="4" max="4" width="13" customWidth="1"/>
    <col min="5" max="5" width="12.1640625" customWidth="1"/>
    <col min="6" max="6" width="15.6640625" customWidth="1"/>
    <col min="7" max="7" width="13" customWidth="1"/>
    <col min="8" max="8" width="12.1640625" customWidth="1"/>
    <col min="10" max="10" width="13" customWidth="1"/>
    <col min="11" max="11" width="12.1640625" customWidth="1"/>
    <col min="19" max="19" width="13.83203125" bestFit="1" customWidth="1"/>
    <col min="20" max="20" width="13" bestFit="1" customWidth="1"/>
  </cols>
  <sheetData>
    <row r="1" spans="1:20" x14ac:dyDescent="0.2">
      <c r="A1" s="4" t="s">
        <v>253</v>
      </c>
      <c r="B1" t="s">
        <v>274</v>
      </c>
      <c r="S1" s="4" t="s">
        <v>253</v>
      </c>
      <c r="T1" t="s">
        <v>274</v>
      </c>
    </row>
    <row r="2" spans="1:20" ht="34" x14ac:dyDescent="0.45">
      <c r="A2" s="5" t="s">
        <v>48</v>
      </c>
      <c r="B2" s="7">
        <v>501016.1290212766</v>
      </c>
      <c r="F2" s="8"/>
      <c r="G2" s="12" t="s">
        <v>278</v>
      </c>
      <c r="H2" s="13"/>
      <c r="I2" s="13"/>
      <c r="J2" s="13"/>
      <c r="K2" s="13"/>
      <c r="L2" s="8"/>
      <c r="M2" s="8"/>
      <c r="N2" s="8"/>
      <c r="S2" s="5" t="s">
        <v>259</v>
      </c>
      <c r="T2" s="7">
        <v>485310.06210985128</v>
      </c>
    </row>
    <row r="3" spans="1:20" ht="29" x14ac:dyDescent="0.35">
      <c r="A3" s="5" t="s">
        <v>44</v>
      </c>
      <c r="B3" s="7">
        <v>495947.52233191498</v>
      </c>
      <c r="F3" s="9" t="s">
        <v>279</v>
      </c>
      <c r="G3" s="10"/>
      <c r="H3" s="9" t="s">
        <v>280</v>
      </c>
      <c r="I3" s="10"/>
      <c r="J3" s="9" t="s">
        <v>281</v>
      </c>
      <c r="K3" s="10"/>
      <c r="L3" s="9" t="s">
        <v>282</v>
      </c>
      <c r="M3" s="10"/>
      <c r="N3" s="10"/>
      <c r="S3" s="5" t="s">
        <v>265</v>
      </c>
      <c r="T3" s="7">
        <v>284019.68277094734</v>
      </c>
    </row>
    <row r="4" spans="1:20" ht="29" x14ac:dyDescent="0.35">
      <c r="A4" s="5" t="s">
        <v>14</v>
      </c>
      <c r="B4" s="7">
        <v>442911.36677446828</v>
      </c>
      <c r="F4" s="14">
        <f>GETPIVOTDATA("Revenue",$A$9)</f>
        <v>3080571.0986198122</v>
      </c>
      <c r="G4" s="14"/>
      <c r="H4" s="14">
        <f>GETPIVOTDATA("Profit",$A$18)</f>
        <v>806106.3299650572</v>
      </c>
      <c r="I4" s="14"/>
      <c r="J4" s="15">
        <f>GETPIVOTDATA("OrderStatus",$A$30)</f>
        <v>998</v>
      </c>
      <c r="K4" s="15"/>
      <c r="L4" s="11">
        <f>H4/F4</f>
        <v>0.26167431432639776</v>
      </c>
      <c r="M4" s="11"/>
      <c r="N4" s="11"/>
      <c r="S4" s="5" t="s">
        <v>262</v>
      </c>
      <c r="T4" s="7">
        <v>274818.68754597311</v>
      </c>
    </row>
    <row r="5" spans="1:20" x14ac:dyDescent="0.2">
      <c r="A5" s="5" t="s">
        <v>25</v>
      </c>
      <c r="B5" s="7">
        <v>439603.84935254231</v>
      </c>
      <c r="S5" s="5" t="s">
        <v>257</v>
      </c>
      <c r="T5" s="7">
        <v>272797.54364150524</v>
      </c>
    </row>
    <row r="6" spans="1:20" x14ac:dyDescent="0.2">
      <c r="A6" s="5" t="s">
        <v>46</v>
      </c>
      <c r="B6" s="7">
        <v>434693.66548571415</v>
      </c>
      <c r="S6" s="5" t="s">
        <v>258</v>
      </c>
      <c r="T6" s="7">
        <v>269333.96949854126</v>
      </c>
    </row>
    <row r="7" spans="1:20" x14ac:dyDescent="0.2">
      <c r="A7" s="5" t="s">
        <v>254</v>
      </c>
      <c r="B7" s="7">
        <v>2314172.5329659162</v>
      </c>
      <c r="S7" s="5" t="s">
        <v>263</v>
      </c>
      <c r="T7" s="7">
        <v>258564.99263459054</v>
      </c>
    </row>
    <row r="8" spans="1:20" x14ac:dyDescent="0.2">
      <c r="S8" s="5" t="s">
        <v>264</v>
      </c>
      <c r="T8" s="7">
        <v>254328.23609945228</v>
      </c>
    </row>
    <row r="9" spans="1:20" x14ac:dyDescent="0.2">
      <c r="A9" s="4" t="s">
        <v>253</v>
      </c>
      <c r="B9" t="s">
        <v>274</v>
      </c>
      <c r="S9" s="5" t="s">
        <v>266</v>
      </c>
      <c r="T9" s="7">
        <v>242605.29535071552</v>
      </c>
    </row>
    <row r="10" spans="1:20" x14ac:dyDescent="0.2">
      <c r="A10" s="5" t="s">
        <v>57</v>
      </c>
      <c r="B10" s="7">
        <v>848182.09206600708</v>
      </c>
      <c r="S10" s="5" t="s">
        <v>261</v>
      </c>
      <c r="T10" s="7">
        <v>209980.45664346148</v>
      </c>
    </row>
    <row r="11" spans="1:20" x14ac:dyDescent="0.2">
      <c r="A11" s="5" t="s">
        <v>12</v>
      </c>
      <c r="B11" s="7">
        <v>650920.17374208348</v>
      </c>
      <c r="S11" s="5" t="s">
        <v>255</v>
      </c>
      <c r="T11" s="7">
        <v>183127.05068160172</v>
      </c>
    </row>
    <row r="12" spans="1:20" x14ac:dyDescent="0.2">
      <c r="A12" s="5" t="s">
        <v>29</v>
      </c>
      <c r="B12" s="7">
        <v>465188.30142091983</v>
      </c>
      <c r="S12" s="5" t="s">
        <v>260</v>
      </c>
      <c r="T12" s="7">
        <v>173765.81800674996</v>
      </c>
    </row>
    <row r="13" spans="1:20" x14ac:dyDescent="0.2">
      <c r="A13" s="5" t="s">
        <v>246</v>
      </c>
      <c r="B13" s="7">
        <v>407972.33971575659</v>
      </c>
      <c r="S13" s="5" t="s">
        <v>256</v>
      </c>
      <c r="T13" s="7">
        <v>171919.30363642264</v>
      </c>
    </row>
    <row r="14" spans="1:20" x14ac:dyDescent="0.2">
      <c r="A14" s="5" t="s">
        <v>24</v>
      </c>
      <c r="B14" s="7">
        <v>392198.95713431714</v>
      </c>
      <c r="S14" s="5" t="s">
        <v>254</v>
      </c>
      <c r="T14" s="7">
        <v>3080571.0986198126</v>
      </c>
    </row>
    <row r="15" spans="1:20" x14ac:dyDescent="0.2">
      <c r="A15" s="5" t="s">
        <v>37</v>
      </c>
      <c r="B15" s="7">
        <v>316109.23454072844</v>
      </c>
    </row>
    <row r="16" spans="1:20" x14ac:dyDescent="0.2">
      <c r="A16" s="5" t="s">
        <v>254</v>
      </c>
      <c r="B16" s="7">
        <v>3080571.0986198122</v>
      </c>
      <c r="S16" s="4" t="s">
        <v>253</v>
      </c>
      <c r="T16" t="s">
        <v>274</v>
      </c>
    </row>
    <row r="17" spans="1:20" x14ac:dyDescent="0.2">
      <c r="S17" s="5" t="s">
        <v>19</v>
      </c>
      <c r="T17" s="7">
        <v>888683.34475365607</v>
      </c>
    </row>
    <row r="18" spans="1:20" x14ac:dyDescent="0.2">
      <c r="A18" s="4" t="s">
        <v>253</v>
      </c>
      <c r="B18" t="s">
        <v>277</v>
      </c>
      <c r="S18" s="5" t="s">
        <v>59</v>
      </c>
      <c r="T18" s="7">
        <v>546218.85204219818</v>
      </c>
    </row>
    <row r="19" spans="1:20" x14ac:dyDescent="0.2">
      <c r="A19" s="5" t="s">
        <v>48</v>
      </c>
      <c r="B19" s="7">
        <v>140017.89165957447</v>
      </c>
      <c r="S19" s="5" t="s">
        <v>83</v>
      </c>
      <c r="T19" s="7">
        <v>533053.7997474249</v>
      </c>
    </row>
    <row r="20" spans="1:20" x14ac:dyDescent="0.2">
      <c r="A20" s="5" t="s">
        <v>44</v>
      </c>
      <c r="B20" s="7">
        <v>134845.42760851068</v>
      </c>
      <c r="S20" s="5" t="s">
        <v>13</v>
      </c>
      <c r="T20" s="7">
        <v>404051.72826271062</v>
      </c>
    </row>
    <row r="21" spans="1:20" x14ac:dyDescent="0.2">
      <c r="A21" s="5" t="s">
        <v>14</v>
      </c>
      <c r="B21" s="7">
        <v>111738.48351914898</v>
      </c>
      <c r="S21" s="5" t="s">
        <v>267</v>
      </c>
      <c r="T21" s="7">
        <v>359847.73956825479</v>
      </c>
    </row>
    <row r="22" spans="1:20" x14ac:dyDescent="0.2">
      <c r="A22" s="5" t="s">
        <v>247</v>
      </c>
      <c r="B22" s="7">
        <v>111188.93098571427</v>
      </c>
      <c r="S22" s="5" t="s">
        <v>31</v>
      </c>
      <c r="T22" s="7">
        <v>348715.63424556749</v>
      </c>
    </row>
    <row r="23" spans="1:20" x14ac:dyDescent="0.2">
      <c r="A23" s="5" t="s">
        <v>25</v>
      </c>
      <c r="B23" s="7">
        <v>109706.57167457626</v>
      </c>
      <c r="S23" s="5" t="s">
        <v>254</v>
      </c>
      <c r="T23" s="7">
        <v>3080571.0986198122</v>
      </c>
    </row>
    <row r="24" spans="1:20" x14ac:dyDescent="0.2">
      <c r="A24" s="5" t="s">
        <v>46</v>
      </c>
      <c r="B24" s="7">
        <v>105883.84448571425</v>
      </c>
    </row>
    <row r="25" spans="1:20" x14ac:dyDescent="0.2">
      <c r="A25" s="5" t="s">
        <v>38</v>
      </c>
      <c r="B25" s="7">
        <v>92725.180031818192</v>
      </c>
      <c r="S25" s="4" t="s">
        <v>253</v>
      </c>
      <c r="T25" t="s">
        <v>275</v>
      </c>
    </row>
    <row r="26" spans="1:20" x14ac:dyDescent="0.2">
      <c r="A26" s="5" t="s">
        <v>254</v>
      </c>
      <c r="B26" s="7">
        <v>806106.3299650572</v>
      </c>
      <c r="S26" s="5" t="s">
        <v>44</v>
      </c>
      <c r="T26" s="6">
        <v>0.10476573086085886</v>
      </c>
    </row>
    <row r="27" spans="1:20" x14ac:dyDescent="0.2">
      <c r="S27" s="5" t="s">
        <v>48</v>
      </c>
      <c r="T27" s="6">
        <v>9.1532736828098302E-2</v>
      </c>
    </row>
    <row r="28" spans="1:20" x14ac:dyDescent="0.2">
      <c r="S28" s="5" t="s">
        <v>247</v>
      </c>
      <c r="T28" s="6">
        <v>8.4727182906546961E-2</v>
      </c>
    </row>
    <row r="29" spans="1:20" x14ac:dyDescent="0.2">
      <c r="S29" s="5" t="s">
        <v>38</v>
      </c>
      <c r="T29" s="6">
        <v>7.6008241302759488E-2</v>
      </c>
    </row>
    <row r="30" spans="1:20" x14ac:dyDescent="0.2">
      <c r="A30" s="4" t="s">
        <v>253</v>
      </c>
      <c r="B30" t="s">
        <v>276</v>
      </c>
      <c r="S30" s="5" t="s">
        <v>14</v>
      </c>
      <c r="T30" s="6">
        <v>7.5201653226021417E-2</v>
      </c>
    </row>
    <row r="31" spans="1:20" x14ac:dyDescent="0.2">
      <c r="A31" s="5" t="s">
        <v>22</v>
      </c>
      <c r="B31" s="16">
        <v>205</v>
      </c>
      <c r="S31" s="5" t="s">
        <v>25</v>
      </c>
      <c r="T31" s="6">
        <v>7.4924760091183581E-2</v>
      </c>
    </row>
    <row r="32" spans="1:20" x14ac:dyDescent="0.2">
      <c r="A32" s="5" t="s">
        <v>55</v>
      </c>
      <c r="B32" s="16">
        <v>204</v>
      </c>
      <c r="S32" s="5" t="s">
        <v>46</v>
      </c>
      <c r="T32" s="6">
        <v>5.9716254968628778E-2</v>
      </c>
    </row>
    <row r="33" spans="1:20" x14ac:dyDescent="0.2">
      <c r="A33" s="5" t="s">
        <v>17</v>
      </c>
      <c r="B33" s="16">
        <v>197</v>
      </c>
      <c r="S33" s="5" t="s">
        <v>254</v>
      </c>
      <c r="T33" s="6">
        <v>8.0501616762597913E-2</v>
      </c>
    </row>
    <row r="34" spans="1:20" x14ac:dyDescent="0.2">
      <c r="A34" s="5" t="s">
        <v>27</v>
      </c>
      <c r="B34" s="16">
        <v>197</v>
      </c>
    </row>
    <row r="35" spans="1:20" x14ac:dyDescent="0.2">
      <c r="A35" s="5" t="s">
        <v>249</v>
      </c>
      <c r="B35" s="16">
        <v>195</v>
      </c>
    </row>
    <row r="36" spans="1:20" x14ac:dyDescent="0.2">
      <c r="A36" s="5" t="s">
        <v>254</v>
      </c>
      <c r="B36" s="16">
        <v>998</v>
      </c>
    </row>
  </sheetData>
  <mergeCells count="9">
    <mergeCell ref="L3:N3"/>
    <mergeCell ref="L4:N4"/>
    <mergeCell ref="G2:K2"/>
    <mergeCell ref="F3:G3"/>
    <mergeCell ref="F4:G4"/>
    <mergeCell ref="H3:I3"/>
    <mergeCell ref="H4:I4"/>
    <mergeCell ref="J3:K3"/>
    <mergeCell ref="J4:K4"/>
  </mergeCells>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x14:cfRule type="iconSet" priority="4" id="{C49BDF57-931B-D14D-A1C9-67376F409B5C}">
            <x14:iconSet iconSet="3Triangles">
              <x14:cfvo type="percent">
                <xm:f>0</xm:f>
              </x14:cfvo>
              <x14:cfvo type="percent">
                <xm:f>33</xm:f>
              </x14:cfvo>
              <x14:cfvo type="percent">
                <xm:f>67</xm:f>
              </x14:cfvo>
            </x14:iconSet>
          </x14:cfRule>
          <xm:sqref>F4:G4</xm:sqref>
        </x14:conditionalFormatting>
        <x14:conditionalFormatting xmlns:xm="http://schemas.microsoft.com/office/excel/2006/main">
          <x14:cfRule type="iconSet" priority="3" id="{0BEE6B74-5CF3-F842-B484-48B1BEBB8B81}">
            <x14:iconSet iconSet="3Triangles">
              <x14:cfvo type="percent">
                <xm:f>0</xm:f>
              </x14:cfvo>
              <x14:cfvo type="percent">
                <xm:f>33</xm:f>
              </x14:cfvo>
              <x14:cfvo type="percent">
                <xm:f>67</xm:f>
              </x14:cfvo>
            </x14:iconSet>
          </x14:cfRule>
          <xm:sqref>H4:I4</xm:sqref>
        </x14:conditionalFormatting>
        <x14:conditionalFormatting xmlns:xm="http://schemas.microsoft.com/office/excel/2006/main">
          <x14:cfRule type="iconSet" priority="2" id="{EB07CA78-C0EC-0043-83EA-616CDA1AD2C0}">
            <x14:iconSet iconSet="3Triangles">
              <x14:cfvo type="percent">
                <xm:f>0</xm:f>
              </x14:cfvo>
              <x14:cfvo type="percent">
                <xm:f>33</xm:f>
              </x14:cfvo>
              <x14:cfvo type="percent">
                <xm:f>67</xm:f>
              </x14:cfvo>
            </x14:iconSet>
          </x14:cfRule>
          <xm:sqref>J4:K4</xm:sqref>
        </x14:conditionalFormatting>
        <x14:conditionalFormatting xmlns:xm="http://schemas.microsoft.com/office/excel/2006/main">
          <x14:cfRule type="iconSet" priority="1" id="{08DDC8DD-C977-D541-A277-C07F8A303DC2}">
            <x14:iconSet iconSet="3Triangles">
              <x14:cfvo type="percent">
                <xm:f>0</xm:f>
              </x14:cfvo>
              <x14:cfvo type="percent">
                <xm:f>33</xm:f>
              </x14:cfvo>
              <x14:cfvo type="percent">
                <xm:f>67</xm:f>
              </x14:cfvo>
            </x14:iconSet>
          </x14:cfRule>
          <xm:sqref>L4:N4</xm:sqref>
        </x14:conditionalFormatting>
      </x14:conditionalFormattings>
    </ex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Raw DataSet</vt:lpstr>
      <vt:lpstr>Cleaned Data</vt:lpstr>
      <vt:lpstr>Pivot Tables and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kelechi emmanuel</dc:creator>
  <cp:lastModifiedBy>kelechi emmanuel</cp:lastModifiedBy>
  <dcterms:created xsi:type="dcterms:W3CDTF">2026-02-24T11:41:31Z</dcterms:created>
  <dcterms:modified xsi:type="dcterms:W3CDTF">2026-02-25T09:06:14Z</dcterms:modified>
</cp:coreProperties>
</file>